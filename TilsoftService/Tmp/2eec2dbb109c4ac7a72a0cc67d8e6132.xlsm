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TILSOFTv1\SOLUTION\TilsoftService\Reports\"/>
    </mc:Choice>
  </mc:AlternateContent>
  <bookViews>
    <workbookView xWindow="240" yWindow="105" windowWidth="14805" windowHeight="8010" activeTab="3"/>
  </bookViews>
  <sheets>
    <sheet name="Data1" sheetId="2" r:id="rId1"/>
    <sheet name="Data2" sheetId="3" r:id="rId2"/>
    <sheet name="Data3" sheetId="4" r:id="rId3"/>
    <sheet name="Sample Order Overview" sheetId="5" r:id="rId4"/>
  </sheets>
  <functionGroups builtInGroupCount="18"/>
  <definedNames>
    <definedName name="_xlnm._FilterDatabase" localSheetId="3">'Sample Order Overview'!$A$4:$AE$4</definedName>
  </definedNames>
  <calcPr calcId="162913" fullCalcOnLoad="1"/>
</workbook>
</file>

<file path=xl/sharedStrings.xml><?xml version="1.0" encoding="utf-8"?>
<sst xmlns="http://schemas.openxmlformats.org/spreadsheetml/2006/main" count="11487" uniqueCount="11487">
  <si>
    <t>SAMPLE ORDER OVERVIEW</t>
  </si>
  <si>
    <t>#</t>
  </si>
  <si>
    <t>Image</t>
  </si>
  <si>
    <t>Factory</t>
  </si>
  <si>
    <t>Deadline</t>
  </si>
  <si>
    <t>Description</t>
  </si>
  <si>
    <t>Sample Qty</t>
  </si>
  <si>
    <t>Material Name</t>
  </si>
  <si>
    <t>Material Type Name</t>
  </si>
  <si>
    <t>Material Color Name</t>
  </si>
  <si>
    <t>Material 2 Name</t>
  </si>
  <si>
    <t>Material 2 Type Name</t>
  </si>
  <si>
    <t>Material 2 Color Name</t>
  </si>
  <si>
    <t>Material 3 Name</t>
  </si>
  <si>
    <t>Material 3 Type Name</t>
  </si>
  <si>
    <t>Material 3 Color Name</t>
  </si>
  <si>
    <t>Seat Cushion Name</t>
  </si>
  <si>
    <t>Back Cushion Name</t>
  </si>
  <si>
    <t>Cushion Color Name</t>
  </si>
  <si>
    <t>Intern Remark</t>
  </si>
  <si>
    <t>Adding Intern Remark</t>
  </si>
  <si>
    <t>QA / FAC Remark</t>
  </si>
  <si>
    <t xml:space="preserve"> Adding QA / FAC Remark</t>
  </si>
  <si>
    <t>Sub Factory</t>
  </si>
  <si>
    <t>Hard Deadline</t>
  </si>
  <si>
    <t>Status</t>
  </si>
  <si>
    <t>Client Code / Name</t>
  </si>
  <si>
    <t>Sample Order</t>
  </si>
  <si>
    <t>Purpose</t>
  </si>
  <si>
    <t>Transport Type</t>
  </si>
  <si>
    <t>Destination</t>
  </si>
  <si>
    <t>Remark</t>
  </si>
  <si>
    <t>SampleOrderID</t>
  </si>
  <si>
    <t>SampleOrderUD</t>
  </si>
  <si>
    <t>ClientUD</t>
  </si>
  <si>
    <t>00000613</t>
  </si>
  <si>
    <t>001200</t>
  </si>
  <si>
    <t>00000617</t>
  </si>
  <si>
    <t>001591</t>
  </si>
  <si>
    <t>00000616</t>
  </si>
  <si>
    <t>909589</t>
  </si>
  <si>
    <t>00000609</t>
  </si>
  <si>
    <t>000002</t>
  </si>
  <si>
    <t>00000611</t>
  </si>
  <si>
    <t>001052</t>
  </si>
  <si>
    <t>00000608</t>
  </si>
  <si>
    <t>000902</t>
  </si>
  <si>
    <t>00000602</t>
  </si>
  <si>
    <t>909543</t>
  </si>
  <si>
    <t>00000605</t>
  </si>
  <si>
    <t>000429</t>
  </si>
  <si>
    <t>00000603</t>
  </si>
  <si>
    <t>910106</t>
  </si>
  <si>
    <t>00000597</t>
  </si>
  <si>
    <t>00000604</t>
  </si>
  <si>
    <t>00000589</t>
  </si>
  <si>
    <t>0012053</t>
  </si>
  <si>
    <t>00000599</t>
  </si>
  <si>
    <t>001072</t>
  </si>
  <si>
    <t>00000593</t>
  </si>
  <si>
    <t>000822</t>
  </si>
  <si>
    <t>00000601</t>
  </si>
  <si>
    <t>00000594</t>
  </si>
  <si>
    <t>001019</t>
  </si>
  <si>
    <t>00000590</t>
  </si>
  <si>
    <t>000874</t>
  </si>
  <si>
    <t>00000591</t>
  </si>
  <si>
    <t>000294</t>
  </si>
  <si>
    <t>00000588</t>
  </si>
  <si>
    <t>909539</t>
  </si>
  <si>
    <t>00000579</t>
  </si>
  <si>
    <t>001668</t>
  </si>
  <si>
    <t>00000586</t>
  </si>
  <si>
    <t>900217</t>
  </si>
  <si>
    <t>00000585</t>
  </si>
  <si>
    <t>001263</t>
  </si>
  <si>
    <t>00000587</t>
  </si>
  <si>
    <t>909357</t>
  </si>
  <si>
    <t>00000583</t>
  </si>
  <si>
    <t>00000577</t>
  </si>
  <si>
    <t>000705</t>
  </si>
  <si>
    <t>00000565</t>
  </si>
  <si>
    <t>00000580</t>
  </si>
  <si>
    <t>001327</t>
  </si>
  <si>
    <t>00000575</t>
  </si>
  <si>
    <t>001282</t>
  </si>
  <si>
    <t>00000578</t>
  </si>
  <si>
    <t>001007</t>
  </si>
  <si>
    <t>00000576</t>
  </si>
  <si>
    <t>909314</t>
  </si>
  <si>
    <t>00000568</t>
  </si>
  <si>
    <t>000784</t>
  </si>
  <si>
    <t>00000569</t>
  </si>
  <si>
    <t>00000572</t>
  </si>
  <si>
    <t>001071</t>
  </si>
  <si>
    <t>00000570</t>
  </si>
  <si>
    <t>00000567</t>
  </si>
  <si>
    <t>00000571</t>
  </si>
  <si>
    <t>00000556</t>
  </si>
  <si>
    <t>00000558</t>
  </si>
  <si>
    <t>00000557</t>
  </si>
  <si>
    <t>00000553</t>
  </si>
  <si>
    <t>00000564</t>
  </si>
  <si>
    <t>00000562</t>
  </si>
  <si>
    <t>001260</t>
  </si>
  <si>
    <t>00000559</t>
  </si>
  <si>
    <t>00000560</t>
  </si>
  <si>
    <t>001682</t>
  </si>
  <si>
    <t>00000563</t>
  </si>
  <si>
    <t>00000555</t>
  </si>
  <si>
    <t>00000552</t>
  </si>
  <si>
    <t>00000548</t>
  </si>
  <si>
    <t>001577</t>
  </si>
  <si>
    <t>00000549</t>
  </si>
  <si>
    <t>00000550</t>
  </si>
  <si>
    <t>000621</t>
  </si>
  <si>
    <t>00000547</t>
  </si>
  <si>
    <t>00000551</t>
  </si>
  <si>
    <t>00000538</t>
  </si>
  <si>
    <t>00000545</t>
  </si>
  <si>
    <t>00000532</t>
  </si>
  <si>
    <t>00000543</t>
  </si>
  <si>
    <t>00000525</t>
  </si>
  <si>
    <t>000823</t>
  </si>
  <si>
    <t>00000541</t>
  </si>
  <si>
    <t>00000546</t>
  </si>
  <si>
    <t>901101</t>
  </si>
  <si>
    <t>00000528</t>
  </si>
  <si>
    <t>00000533</t>
  </si>
  <si>
    <t>00000540</t>
  </si>
  <si>
    <t>001284</t>
  </si>
  <si>
    <t>00000527</t>
  </si>
  <si>
    <t>00000537</t>
  </si>
  <si>
    <t>00000536</t>
  </si>
  <si>
    <t>00000531</t>
  </si>
  <si>
    <t>00000516</t>
  </si>
  <si>
    <t>001319</t>
  </si>
  <si>
    <t>00000523</t>
  </si>
  <si>
    <t>001500</t>
  </si>
  <si>
    <t>00000468</t>
  </si>
  <si>
    <t>00000515</t>
  </si>
  <si>
    <t>00000529</t>
  </si>
  <si>
    <t>000984</t>
  </si>
  <si>
    <t>00000530</t>
  </si>
  <si>
    <t>00000519</t>
  </si>
  <si>
    <t>00000524</t>
  </si>
  <si>
    <t>001262</t>
  </si>
  <si>
    <t>00000518</t>
  </si>
  <si>
    <t>00000521</t>
  </si>
  <si>
    <t>00000522</t>
  </si>
  <si>
    <t>001075</t>
  </si>
  <si>
    <t>00000520</t>
  </si>
  <si>
    <t>00000508</t>
  </si>
  <si>
    <t>00000494</t>
  </si>
  <si>
    <t>00000496</t>
  </si>
  <si>
    <t>00000501</t>
  </si>
  <si>
    <t>00000502</t>
  </si>
  <si>
    <t>00000507</t>
  </si>
  <si>
    <t>00000486</t>
  </si>
  <si>
    <t>001511</t>
  </si>
  <si>
    <t>00000511</t>
  </si>
  <si>
    <t>00000512</t>
  </si>
  <si>
    <t>0008679</t>
  </si>
  <si>
    <t>00000504</t>
  </si>
  <si>
    <t>00000510</t>
  </si>
  <si>
    <t>909901</t>
  </si>
  <si>
    <t>00000505</t>
  </si>
  <si>
    <t>00000503</t>
  </si>
  <si>
    <t>00000495</t>
  </si>
  <si>
    <t>00000499</t>
  </si>
  <si>
    <t>00000491</t>
  </si>
  <si>
    <t>000780</t>
  </si>
  <si>
    <t>00000493</t>
  </si>
  <si>
    <t>00000490</t>
  </si>
  <si>
    <t>00000487</t>
  </si>
  <si>
    <t>00000475</t>
  </si>
  <si>
    <t>00000485</t>
  </si>
  <si>
    <t>00000483</t>
  </si>
  <si>
    <t>000272</t>
  </si>
  <si>
    <t>00000477</t>
  </si>
  <si>
    <t>00000474</t>
  </si>
  <si>
    <t>000783</t>
  </si>
  <si>
    <t>00000472</t>
  </si>
  <si>
    <t>00000473</t>
  </si>
  <si>
    <t>00000469</t>
  </si>
  <si>
    <t>00000471</t>
  </si>
  <si>
    <t>00000467</t>
  </si>
  <si>
    <t>00000464</t>
  </si>
  <si>
    <t>001105</t>
  </si>
  <si>
    <t>00000461</t>
  </si>
  <si>
    <t>001207</t>
  </si>
  <si>
    <t>00000466</t>
  </si>
  <si>
    <t>00000437</t>
  </si>
  <si>
    <t>909523</t>
  </si>
  <si>
    <t>00000456</t>
  </si>
  <si>
    <t>001084</t>
  </si>
  <si>
    <t>00000460</t>
  </si>
  <si>
    <t>00000454</t>
  </si>
  <si>
    <t>00000451</t>
  </si>
  <si>
    <t>00000455</t>
  </si>
  <si>
    <t>00000459</t>
  </si>
  <si>
    <t>00000450</t>
  </si>
  <si>
    <t>00000443</t>
  </si>
  <si>
    <t>00000438</t>
  </si>
  <si>
    <t>00000436</t>
  </si>
  <si>
    <t>00000470</t>
  </si>
  <si>
    <t>000298</t>
  </si>
  <si>
    <t>00000478</t>
  </si>
  <si>
    <t>00000479</t>
  </si>
  <si>
    <t>00000480</t>
  </si>
  <si>
    <t>00000481</t>
  </si>
  <si>
    <t>00000482</t>
  </si>
  <si>
    <t>00000492</t>
  </si>
  <si>
    <t>00000497</t>
  </si>
  <si>
    <t>00000498</t>
  </si>
  <si>
    <t>00000500</t>
  </si>
  <si>
    <t>00000506</t>
  </si>
  <si>
    <t>00000513</t>
  </si>
  <si>
    <t>00000535</t>
  </si>
  <si>
    <t>00000542</t>
  </si>
  <si>
    <t>00000544</t>
  </si>
  <si>
    <t>00000554</t>
  </si>
  <si>
    <t>910104</t>
  </si>
  <si>
    <t>00000566</t>
  </si>
  <si>
    <t>000947</t>
  </si>
  <si>
    <t>00000574</t>
  </si>
  <si>
    <t>00000581</t>
  </si>
  <si>
    <t>00000584</t>
  </si>
  <si>
    <t>00000595</t>
  </si>
  <si>
    <t>00000600</t>
  </si>
  <si>
    <t>00000606</t>
  </si>
  <si>
    <t>Season</t>
  </si>
  <si>
    <t>2019/2020</t>
  </si>
  <si>
    <t>SampleProductID</t>
  </si>
  <si>
    <t>ThumbnailLocation</t>
  </si>
  <si>
    <t>VNSuggestedFactoryUD</t>
  </si>
  <si>
    <t>ArticleDescription</t>
  </si>
  <si>
    <t>Quantity</t>
  </si>
  <si>
    <t>MaterialDescription</t>
  </si>
  <si>
    <t>MaterialTypeDescription</t>
  </si>
  <si>
    <t>MaterialColorDescription</t>
  </si>
  <si>
    <t>Material2Description</t>
  </si>
  <si>
    <t>Material2TypeDescription</t>
  </si>
  <si>
    <t>Material2ColorDescription</t>
  </si>
  <si>
    <t>Material3Description</t>
  </si>
  <si>
    <t>Material3TypeDescription</t>
  </si>
  <si>
    <t>Material3ColorDescription</t>
  </si>
  <si>
    <t>SeatCushionDescription</t>
  </si>
  <si>
    <t>BackCushionDescription</t>
  </si>
  <si>
    <t>CushionColorDescription</t>
  </si>
  <si>
    <t>LastMinuteTableRemark</t>
  </si>
  <si>
    <t>InternRemark</t>
  </si>
  <si>
    <t>LastProgressThumbnailLocation</t>
  </si>
  <si>
    <t>SubFactory</t>
  </si>
  <si>
    <t>HardDeadline</t>
  </si>
  <si>
    <t>SampleProductStatusNM</t>
  </si>
  <si>
    <t>ClientNM</t>
  </si>
  <si>
    <t>PurposeNM</t>
  </si>
  <si>
    <t>TransportTypeNM</t>
  </si>
  <si>
    <t>SampleOrderStatusNM</t>
  </si>
  <si>
    <t>FrameMaterialDescription</t>
  </si>
  <si>
    <t>FrameMaterialColorDescription</t>
  </si>
  <si>
    <t>SubMaterialDescription</t>
  </si>
  <si>
    <t>SubMaterialColorDescription</t>
  </si>
  <si>
    <t>SeatCushionSpecification</t>
  </si>
  <si>
    <t>BackCushionSpecification</t>
  </si>
  <si>
    <t>OverallDimL</t>
  </si>
  <si>
    <t>OverallDimW</t>
  </si>
  <si>
    <t>OverallDimH</t>
  </si>
  <si>
    <t>TechnicalDrawingStatusNM</t>
  </si>
  <si>
    <t>NetWeight</t>
  </si>
  <si>
    <t>GrossWeight</t>
  </si>
  <si>
    <t>LoadAbility20DC</t>
  </si>
  <si>
    <t>LoadAbility40DC</t>
  </si>
  <si>
    <t>LoadAbility40HC</t>
  </si>
  <si>
    <t>ItemPerBox</t>
  </si>
  <si>
    <t>BoxPerSet</t>
  </si>
  <si>
    <t>CartonBoxDimL</t>
  </si>
  <si>
    <t>CartonBoxDimW</t>
  </si>
  <si>
    <t>CartonBoxDimH</t>
  </si>
  <si>
    <t>SampleOrderStatusID</t>
  </si>
  <si>
    <t>VNSuggestedFactoryID</t>
  </si>
  <si>
    <t>ClientID</t>
  </si>
  <si>
    <t>SampleProductStatusID</t>
  </si>
  <si>
    <t>CodeSample</t>
  </si>
  <si>
    <t>IndicatedPrice</t>
  </si>
  <si>
    <t>RowIndex</t>
  </si>
  <si>
    <t>Barcode</t>
  </si>
  <si>
    <t>SampleProductUD</t>
  </si>
  <si>
    <t>9/02102018/1a0c07cffabd4169919f961e259bceac.jpg</t>
  </si>
  <si>
    <t>TEC-40-VHM</t>
  </si>
  <si>
    <t>2018-10-16</t>
  </si>
  <si>
    <t>BERN DINING CHAIR</t>
  </si>
  <si>
    <t>WOOD</t>
  </si>
  <si>
    <t>ACACIA</t>
  </si>
  <si>
    <t>LIGHT TEAK LOOK</t>
  </si>
  <si>
    <t xml:space="preserve">1. PEPIJN VAN DEN BRINK(02-10-2018 13:50:34)
Prepare 1x bern dining chair which will meet 1084 testing requirements.
Create construction to fit 2pcs/box, fully assembled.
</t>
  </si>
  <si>
    <t>c/16102018/3516a8e8344d41df98d98fb35559c400.jpg</t>
  </si>
  <si>
    <t>SAMPLE APPROVED</t>
  </si>
  <si>
    <t>AT HOME</t>
  </si>
  <si>
    <t>SHOWROOM VISIT</t>
  </si>
  <si>
    <t>SAMPLE FINISHED</t>
  </si>
  <si>
    <t>53</t>
  </si>
  <si>
    <t>55</t>
  </si>
  <si>
    <t>77</t>
  </si>
  <si>
    <t>NO NEED</t>
  </si>
  <si>
    <t>5.6</t>
  </si>
  <si>
    <t>17</t>
  </si>
  <si>
    <t>2</t>
  </si>
  <si>
    <t>65</t>
  </si>
  <si>
    <t>60</t>
  </si>
  <si>
    <t>87</t>
  </si>
  <si>
    <t>7 SAMPLE APPROVED- Code: 20181002/TEC/001084/00000436/007</t>
  </si>
  <si>
    <t>20181002/TEC/001084/00000436/007</t>
  </si>
  <si>
    <t>0/05102018/650bb38a5cf74faeb9238efb027722b7.jpg</t>
  </si>
  <si>
    <t>PAL-01-VHM</t>
  </si>
  <si>
    <t>2018-10-14</t>
  </si>
  <si>
    <t>Campinas lounge corner set</t>
  </si>
  <si>
    <t>STEEL FRAME</t>
  </si>
  <si>
    <t>WICKER</t>
  </si>
  <si>
    <t>DHR 7MM</t>
  </si>
  <si>
    <t>LIGHT KOBO GREY</t>
  </si>
  <si>
    <t>ANTIQUE GREY</t>
  </si>
  <si>
    <t>STANDARD</t>
  </si>
  <si>
    <t>ROYAL STONE GREY</t>
  </si>
  <si>
    <t xml:space="preserve">1. PEPIJN VAN DEN BRINK(05-10-2018 13:35:43)
Make set as sampled before for Intergamma but replace HR by DHR wicker to cut costs. Frame in steel instead of Alu.
</t>
  </si>
  <si>
    <t>9/17102018/b5db28d2b5ed4f8e800f576609cb41ec.jpg</t>
  </si>
  <si>
    <t>73/73/73/73</t>
  </si>
  <si>
    <t>141/150/36/36</t>
  </si>
  <si>
    <t>66/66/31/31</t>
  </si>
  <si>
    <t>20.4/23.5/4.5/4.5</t>
  </si>
  <si>
    <t>4</t>
  </si>
  <si>
    <t>1</t>
  </si>
  <si>
    <t>192</t>
  </si>
  <si>
    <t>86.5</t>
  </si>
  <si>
    <t>87.5</t>
  </si>
  <si>
    <t>12 SAMPLE APPROVED- Code: 20181005/PAL/001084/00000436/012</t>
  </si>
  <si>
    <t>20181005/PAL/001084/00000436/012</t>
  </si>
  <si>
    <t>6/28092018/a7de751433d5403891bb114130f06e68.jpg</t>
  </si>
  <si>
    <t>APO-04-VHU</t>
  </si>
  <si>
    <t>COVENTRY HIGH BACK CHAIR</t>
  </si>
  <si>
    <t>BANANA BARK</t>
  </si>
  <si>
    <t>MIXED NATURAL</t>
  </si>
  <si>
    <t>NONE</t>
  </si>
  <si>
    <t>NATURAL TAUPE</t>
  </si>
  <si>
    <t xml:space="preserve">1. PEPIJN VAN DEN BRINK(28-09-2018 15:38:51)
Change frame to steel and move up the skirt (total height from the ground on all sides approx 12,5cm. Open the seat. 
Only proceed sampling this chair in case target cost of  62,5$ can be met (incl 1084 packing standard).
</t>
  </si>
  <si>
    <t>6/22102018/49547d54cf2f4e0d9778cc3eaaa8b820.jpg</t>
  </si>
  <si>
    <t>FINISHED</t>
  </si>
  <si>
    <t>73.5</t>
  </si>
  <si>
    <t>66</t>
  </si>
  <si>
    <t>90</t>
  </si>
  <si>
    <t>75.5</t>
  </si>
  <si>
    <t>68</t>
  </si>
  <si>
    <t>93</t>
  </si>
  <si>
    <t>2 FINISHED- Code: 20180928/APO/001084/00000436/002</t>
  </si>
  <si>
    <t>20180928/APO/001084/00000436/002</t>
  </si>
  <si>
    <t>7/28092018/5bfb4fdc847047bbab38dd24cb41d4bc.jpg</t>
  </si>
  <si>
    <t>Delhi ARMLESS lounge chair 1084</t>
  </si>
  <si>
    <t>Wood</t>
  </si>
  <si>
    <t>light teak look</t>
  </si>
  <si>
    <t>wicker</t>
  </si>
  <si>
    <t>flat 7mm</t>
  </si>
  <si>
    <t>rattan grey</t>
  </si>
  <si>
    <t xml:space="preserve">1. PEPIJN VAN DEN BRINK(28-09-2018 16:04:52)
PAL made the chair in reference image before (sample request 284). Now we have to make some changes:
-Remove the arms
-Keep construction KD
-Change weave to flat 7mm basket weave like Norton (see attached example).
Please make sure front legs are positioned in a nice way. Please send pictures of the frame for approval.
</t>
  </si>
  <si>
    <t>e/11102018/9531902ec7f940279e03f86474cf6924.jpg</t>
  </si>
  <si>
    <t>80.5</t>
  </si>
  <si>
    <t>59.5</t>
  </si>
  <si>
    <t>72.5</t>
  </si>
  <si>
    <t>5.8</t>
  </si>
  <si>
    <t>8.2</t>
  </si>
  <si>
    <t>CARTON BOX-ISTA 1A</t>
  </si>
  <si>
    <t>92</t>
  </si>
  <si>
    <t>64</t>
  </si>
  <si>
    <t>24</t>
  </si>
  <si>
    <t>3 SAMPLE APPROVED- Code: 20180928/PAL/001084/00000436/003</t>
  </si>
  <si>
    <t>20180928/PAL/001084/00000436/003</t>
  </si>
  <si>
    <t>8/28092018/e44ed997105b4e0290a6e549dddaafa7.jpg</t>
  </si>
  <si>
    <t>Kent lounge corner set (1x bench, 1x corner, 1x chair, 2x nested round tables)</t>
  </si>
  <si>
    <t>wood</t>
  </si>
  <si>
    <t>acacia</t>
  </si>
  <si>
    <t>pp rope</t>
  </si>
  <si>
    <t>taupe</t>
  </si>
  <si>
    <t>(standard like kent)</t>
  </si>
  <si>
    <t>standard (like kent)</t>
  </si>
  <si>
    <t>royal stone grey</t>
  </si>
  <si>
    <t xml:space="preserve">1. PEPIJN VAN DEN BRINK(28-09-2018 16:04:52)
Basically we follow Kent set as per catalogue but we apply taupe rope back pannels in the backparts (so that this set is an extension to the current Helsinki items that ID 1084 is ordering).
PLEASE ONLY MAKE 1X MIDDLE CHAIR.
</t>
  </si>
  <si>
    <t>f/16102018/33d2340eb0034de6bcb128a3915ab8e6.jpg</t>
  </si>
  <si>
    <t>80</t>
  </si>
  <si>
    <t>69.5</t>
  </si>
  <si>
    <t>18.5</t>
  </si>
  <si>
    <t>23</t>
  </si>
  <si>
    <t>78</t>
  </si>
  <si>
    <t>94</t>
  </si>
  <si>
    <t>43</t>
  </si>
  <si>
    <t>4 SAMPLE APPROVED- Code: 20180928/TEC/001084/00000436/004</t>
  </si>
  <si>
    <t>20180928/TEC/001084/00000436/004</t>
  </si>
  <si>
    <t>2/28092018/2dd4923d673b4389bfcebae4fb1b18ba.jpg</t>
  </si>
  <si>
    <t>Las Palmas 2pc corner set (right &amp; left arm)</t>
  </si>
  <si>
    <t>ROUND 10MM</t>
  </si>
  <si>
    <t>Rattan mixed natural</t>
  </si>
  <si>
    <t>STEEL</t>
  </si>
  <si>
    <t>10CM THICKNESS, SAME DESIGN AS CURRENT CUSHION FOR LAS PALMAS CORNER</t>
  </si>
  <si>
    <t>SEE INTERNAL REMARKS</t>
  </si>
  <si>
    <t>Royal blended black</t>
  </si>
  <si>
    <t xml:space="preserve">1. PEPIJN VAN DEN BRINK(28-09-2018 15:28:08)
This set (produced @ BIG initially) has to be redesigned to fit inside the 1084 price range.
-Change to 3seater right arm &amp; 2seater left arm (no separate corner)
-Change frame from ALU to steel
-Reduce seat width of the left arm from approx 152 with 8cm.
-Reduce seat depth of the set with 5cm
-Reduce seatwidth of the right arm in the same way (set should be symmetric)
-Reduce the frame width of the arms (&amp;back) with 3,5cm
-Open the seats like we do for 1075
-Seat cushion thickness to become 10cm
-Back cushion: same design &amp; height as current cushion but reduce the thickness. The sewing lines on top of the cushion have 14cm in between them. This should be reduced to 8cm. Rest of cushion to remain unchanged.
All these adjustments should result in a target factory cost of 450$ (for the 2 pc corner set incl 1084 packing standard).
</t>
  </si>
  <si>
    <t>7/22102018/4793e981006447559d1ac100f13f94a6.jpg</t>
  </si>
  <si>
    <t>100/100</t>
  </si>
  <si>
    <t>258/165</t>
  </si>
  <si>
    <t>77/77</t>
  </si>
  <si>
    <t>104/104</t>
  </si>
  <si>
    <t>262/169</t>
  </si>
  <si>
    <t>82/82</t>
  </si>
  <si>
    <t>1 FINISHED- Code: 20180928/APO/001084/00000436/001</t>
  </si>
  <si>
    <t>20180928/APO/001084/00000436/001</t>
  </si>
  <si>
    <t>4/05102018/e93764d39e3c4b1e8050f42938d3e2e9.jpg</t>
  </si>
  <si>
    <t>MIRA DINING CHAIR 1262</t>
  </si>
  <si>
    <t>DHR</t>
  </si>
  <si>
    <t>BLENDED ANTHRACITE</t>
  </si>
  <si>
    <t>teak look</t>
  </si>
  <si>
    <t>ROYAL GREY</t>
  </si>
  <si>
    <t xml:space="preserve">1. PEPIJN VAN DEN BRINK(05-10-2018 10:25:02)
Take frame from 1262 production.
</t>
  </si>
  <si>
    <t>7/17102018/0545472e491744de9b9d9cf401e326f7.jpg</t>
  </si>
  <si>
    <t>59</t>
  </si>
  <si>
    <t>7.5</t>
  </si>
  <si>
    <t>19</t>
  </si>
  <si>
    <t>61.5</t>
  </si>
  <si>
    <t>61</t>
  </si>
  <si>
    <t>10 SAMPLE APPROVED- Code: 20181005/PAL/001084/00000436/010</t>
  </si>
  <si>
    <t>20181005/PAL/001084/00000436/010</t>
  </si>
  <si>
    <t>a/09102018/ac35ecad6f214ab8ac0e6e20db2fe837.jpg</t>
  </si>
  <si>
    <t>2018-10-18</t>
  </si>
  <si>
    <t>Open weave set 1084 (stackable like lenco) - 2x chair, 1x bench</t>
  </si>
  <si>
    <t>DR 10mm</t>
  </si>
  <si>
    <t>10cm thickness</t>
  </si>
  <si>
    <t>none</t>
  </si>
  <si>
    <t>natural grey</t>
  </si>
  <si>
    <t xml:space="preserve">1. PEPIJN VAN DEN BRINK(09-10-2018 11:32:08)
-Same stacking method as for Lenco (see attached)
-Following shape as per reference image
-Seat height to be 43cm (including cushion)
-Overall seat size to match with Altea lounge chair
-Please create frames for approval (like done for 1075 in the past)
-Need 2 chairs, 1 bench
</t>
  </si>
  <si>
    <t>7/22102018/8774769960504f77be32614f155e710b.jpg</t>
  </si>
  <si>
    <t>77.5/77.5/77.5</t>
  </si>
  <si>
    <t>76/76/152</t>
  </si>
  <si>
    <t>79.5/79.5/79.5</t>
  </si>
  <si>
    <t>6.5/11</t>
  </si>
  <si>
    <t>32</t>
  </si>
  <si>
    <t>84</t>
  </si>
  <si>
    <t>165</t>
  </si>
  <si>
    <t>90.5</t>
  </si>
  <si>
    <t>13 FINISHED- Code: 20181009/APO/001084/00000436/013</t>
  </si>
  <si>
    <t>20181009/APO/001084/00000436/013</t>
  </si>
  <si>
    <t>8/05102018/d4ce637b0a374e1ab26c7986774a8b96.jpg</t>
  </si>
  <si>
    <t>Oregon lounge set (DHR wicker)</t>
  </si>
  <si>
    <t>DOUBLE HALF ROUND</t>
  </si>
  <si>
    <t>standard</t>
  </si>
  <si>
    <t>TV-005</t>
  </si>
  <si>
    <t xml:space="preserve">1. PEPIJN VAN DEN BRINK(05-10-2018 12:02:01)
Take 1 set of 1262 out of production and apply DHR wicker, fabric remains unchanged.
</t>
  </si>
  <si>
    <t>c/14102018/b305a7adebcd4171b4a5d79426868765.jpg</t>
  </si>
  <si>
    <t>94.5/94.5/ 84.5/84.5/71</t>
  </si>
  <si>
    <t>71.5 /71.5 /63.5/63.5/ 41.0</t>
  </si>
  <si>
    <t>65 /65/32/ 32/ 52</t>
  </si>
  <si>
    <t>15/15/8.5/8.5/8.5</t>
  </si>
  <si>
    <t>52</t>
  </si>
  <si>
    <t>132</t>
  </si>
  <si>
    <t>98</t>
  </si>
  <si>
    <t>77.5</t>
  </si>
  <si>
    <t>11 SAMPLE APPROVED- Code: 20181005/PAL/001084/00000436/011</t>
  </si>
  <si>
    <t>20181005/PAL/001084/00000436/011</t>
  </si>
  <si>
    <t>2/01102018/43489e7c225d4a2b98393401ab4d0d6a.jpg</t>
  </si>
  <si>
    <t>2018-10-15</t>
  </si>
  <si>
    <t>OSIRE LOUNGE CHAIR</t>
  </si>
  <si>
    <t>STEEL UPPER &amp; UNDER FRAME</t>
  </si>
  <si>
    <t>BLACK</t>
  </si>
  <si>
    <t>ROUND 6MM</t>
  </si>
  <si>
    <t>RATTAN MIXED NATURAL</t>
  </si>
  <si>
    <t xml:space="preserve">1. PEPIJN VAN DEN BRINK(01-10-2018 15:19:52)
Think of a way to KD the underframe to optimize load ability
Change frame to steel
Target cost for chair to be 61$ (high order volume)
</t>
  </si>
  <si>
    <t>a/08102018/980886fae6c94e5b9042284161c8a21c.jpg</t>
  </si>
  <si>
    <t>85</t>
  </si>
  <si>
    <t>13.5</t>
  </si>
  <si>
    <t>18</t>
  </si>
  <si>
    <t>109</t>
  </si>
  <si>
    <t>6 SAMPLE APPROVED- Code: 20181001/PAL/001084/00000436/006</t>
  </si>
  <si>
    <t>20181001/PAL/001084/00000436/006</t>
  </si>
  <si>
    <t>b/02102018/7d539279d89e4b579a3b7b9cf0f48086.jpg</t>
  </si>
  <si>
    <t>Round pattern weave chair black white (steel frame)</t>
  </si>
  <si>
    <t>POWDERCOATED BLACK</t>
  </si>
  <si>
    <t>FLAT 7MM</t>
  </si>
  <si>
    <t>BLACK &amp; WHITE</t>
  </si>
  <si>
    <t xml:space="preserve">1. PEPIJN VAN DEN BRINK(02-10-2018 17:58:33)
Please check attached suggestions and sample the chair accordingly (very simple construction). 
Pattern weave must be nice and comfort must be good without cushion. Therefore, angle of the back is important.
Target cost for this chair (fully assembled, 1084 packing standards 1 pc/box) = 40-45$.
</t>
  </si>
  <si>
    <t>1/17102018/37d4cfa879c84a34865b489b21c9fd52.jpg</t>
  </si>
  <si>
    <t>86</t>
  </si>
  <si>
    <t>6.8</t>
  </si>
  <si>
    <t>12</t>
  </si>
  <si>
    <t>72</t>
  </si>
  <si>
    <t>83</t>
  </si>
  <si>
    <t>9 SAMPLE APPROVED- Code: 20181002/PAL/001084/00000436/009</t>
  </si>
  <si>
    <t>20181002/PAL/001084/00000436/009</t>
  </si>
  <si>
    <t>e/01102018/88a72b5eed9445bf85793cf46c99cc94.jpg</t>
  </si>
  <si>
    <t>Tuscany barstool 1084</t>
  </si>
  <si>
    <t>TEXTILENE</t>
  </si>
  <si>
    <t>WHITE</t>
  </si>
  <si>
    <t xml:space="preserve">1. PEPIJN VAN DEN BRINK(01-10-2018 15:16:22)
-Please use TD attached and make sure item passes US standards.
-Barstool will be sold in same range as Tuscany chair 1084
</t>
  </si>
  <si>
    <t>f/11102018/9682ed0c62344086bf1d464413ec79ef.jpg</t>
  </si>
  <si>
    <t>54</t>
  </si>
  <si>
    <t>103</t>
  </si>
  <si>
    <t>8</t>
  </si>
  <si>
    <t>88</t>
  </si>
  <si>
    <t>58</t>
  </si>
  <si>
    <t>5 SAMPLE APPROVED- Code: 20181001/TEC/001084/00000436/005</t>
  </si>
  <si>
    <t>20181001/TEC/001084/00000436/005</t>
  </si>
  <si>
    <t>Wates dining chair 1084</t>
  </si>
  <si>
    <t>ALU</t>
  </si>
  <si>
    <t>STEEL UNDERFRAME</t>
  </si>
  <si>
    <t xml:space="preserve">1. PEPIJN VAN DEN BRINK(02-10-2018 17:28:46)
Please create 1x chair as for 1084 but fully black.
</t>
  </si>
  <si>
    <t>8/22102018/cf2128be37fa4b4d8908ba927a13893a.jpg</t>
  </si>
  <si>
    <t>65.5</t>
  </si>
  <si>
    <t>69</t>
  </si>
  <si>
    <t>85.5</t>
  </si>
  <si>
    <t>15</t>
  </si>
  <si>
    <t>21</t>
  </si>
  <si>
    <t>57</t>
  </si>
  <si>
    <t>8 FINISHED- Code: 20181002/APO/001084/00000436/008</t>
  </si>
  <si>
    <t>20181002/APO/001084/00000436/008</t>
  </si>
  <si>
    <t>2/04102018/f494a26391704f8e8229d50a23a53515.jpg</t>
  </si>
  <si>
    <t>2018-12-18</t>
  </si>
  <si>
    <t>AURORA HOCKER</t>
  </si>
  <si>
    <t>DOUBLE ROUND 10MM</t>
  </si>
  <si>
    <t>RATTAN GREY</t>
  </si>
  <si>
    <t>METAL</t>
  </si>
  <si>
    <t>ROYAL STONE BROWN 240</t>
  </si>
  <si>
    <t>4/24122018/cfbdda05ee3142aea2c7df15adf42917.jpg</t>
  </si>
  <si>
    <t>2018-12-25</t>
  </si>
  <si>
    <t>ISSUED</t>
  </si>
  <si>
    <t>Lahdesmaki OY</t>
  </si>
  <si>
    <t>SEND TO CLIENT</t>
  </si>
  <si>
    <t>CONTAINER</t>
  </si>
  <si>
    <t>Finland</t>
  </si>
  <si>
    <t>6 ISSUED- Code: 20181001/PAL/909523/00000437/006</t>
  </si>
  <si>
    <t>20181001/PAL/909523/00000437/006</t>
  </si>
  <si>
    <t>4/04102018/0be9b14e671843aa8e9615905e346fb3.jpg</t>
  </si>
  <si>
    <t>AURORA LOUNGE CHAIR</t>
  </si>
  <si>
    <t>2/24122018/71d94e5c1668425684a6472a9e21ed70.jpg</t>
  </si>
  <si>
    <t>5 ISSUED- Code: 20181001/PAL/909523/00000437/005</t>
  </si>
  <si>
    <t>20181001/PAL/909523/00000437/005</t>
  </si>
  <si>
    <t>9/19122018/00aebd21177944539269b1416d81bd5c.jpg</t>
  </si>
  <si>
    <t>MAURO LOUNGE CORNER SET 3 PCS (LEFT ARM, RIGHT ARM, TABLE)</t>
  </si>
  <si>
    <t>WICKER ROPE</t>
  </si>
  <si>
    <t>BEIGE</t>
  </si>
  <si>
    <t>1 ISSUED- Code: 20181001/PAL/909523/00000437/001</t>
  </si>
  <si>
    <t>20181001/PAL/909523/00000437/001</t>
  </si>
  <si>
    <t>d/04102018/fc9cc1df023d45c4b8a66132921f7029.jpg</t>
  </si>
  <si>
    <t>REIMS DINING TABLE 180X90X76CM</t>
  </si>
  <si>
    <t>ANTHRACITE</t>
  </si>
  <si>
    <t>2/24122018/8de17883a273444799e78901b2d392fd.jpg</t>
  </si>
  <si>
    <t>2 ISSUED- Code: 20181001/PAL/909523/00000437/002</t>
  </si>
  <si>
    <t>20181001/PAL/909523/00000437/002</t>
  </si>
  <si>
    <t>6/19122018/e2d4e21c12194bda967466b0a9141977.jpg</t>
  </si>
  <si>
    <t>REIMS STACKABLE LOUNGE SET 4PCS (2X CHAIR, BENCH, TABLE)</t>
  </si>
  <si>
    <t>ROPE</t>
  </si>
  <si>
    <t>SERVAL ANTHRACITE 240</t>
  </si>
  <si>
    <t>6/19122018/e580508d38ac4210b1efd922562b3918.jpg</t>
  </si>
  <si>
    <t>4 ISSUED- Code: 20181001/PAL/909523/00000437/004</t>
  </si>
  <si>
    <t>20181001/PAL/909523/00000437/004</t>
  </si>
  <si>
    <t>7/04102018/630e6af478b540839d23a5ef792a38b3.jpg</t>
  </si>
  <si>
    <t>TONGA DINING CHAIR</t>
  </si>
  <si>
    <t>2/19122018/4af3ca1346594ab094a47a6ae38f027e.jpg</t>
  </si>
  <si>
    <t>3 ISSUED- Code: 20181001/PAL/909523/00000437/003</t>
  </si>
  <si>
    <t>20181001/PAL/909523/00000437/003</t>
  </si>
  <si>
    <t>6/03102018/7915d4bc379a4f1784c0aa96b77444d0.jpg</t>
  </si>
  <si>
    <t>2018-11-10</t>
  </si>
  <si>
    <t>OPO0188 - BATEA LOUNGE CHAIR 12053 - LEG ONLY</t>
  </si>
  <si>
    <t>ROYAL BLENDED BLACK 240</t>
  </si>
  <si>
    <t xml:space="preserve">1. (03-10-2018 14:00:57)
MAKE 1 SET LEG ONLY.
</t>
  </si>
  <si>
    <t>Client C</t>
  </si>
  <si>
    <t>FLYING</t>
  </si>
  <si>
    <t>CANADA</t>
  </si>
  <si>
    <t>96</t>
  </si>
  <si>
    <t>95.5</t>
  </si>
  <si>
    <t>96.5</t>
  </si>
  <si>
    <t>1 ISSUED- Code: 20181003/ROS/0012053/00000438/001</t>
  </si>
  <si>
    <t>20181003/ROS/0012053/00000438/001</t>
  </si>
  <si>
    <t>8/03102018/62eabd3ef469442db0c9918c51af73de.jpg</t>
  </si>
  <si>
    <t>APH-41-VHM</t>
  </si>
  <si>
    <t xml:space="preserve">OPO0193 - COPENHAGEN  ROUND DN TABLE</t>
  </si>
  <si>
    <t>POLYSTONE</t>
  </si>
  <si>
    <t>CONCRETE</t>
  </si>
  <si>
    <t>CONCRETE LOOK</t>
  </si>
  <si>
    <t>a/12112018/f82129af70004ed3a43e61b02d957ccd.jpg</t>
  </si>
  <si>
    <t>81</t>
  </si>
  <si>
    <t>98.5</t>
  </si>
  <si>
    <t>22.5</t>
  </si>
  <si>
    <t>2 SAMPLE APPROVED- Code: 20181003/APH/0012053/00000438/002</t>
  </si>
  <si>
    <t>20181003/APH/0012053/00000438/002</t>
  </si>
  <si>
    <t>1/03102018/7a541d4684fe4a3d81928f5ccb0244fd.jpg</t>
  </si>
  <si>
    <t>OPO0195 - REIMS STACKING DINING CHAIR 12053</t>
  </si>
  <si>
    <t>PP ROPE</t>
  </si>
  <si>
    <t>ROUND 4.5MM</t>
  </si>
  <si>
    <t>ALUMINIUM</t>
  </si>
  <si>
    <t>BLACK POWDER COAT</t>
  </si>
  <si>
    <t xml:space="preserve">1. (16-10-2018 12:45:57)
CROOKED SHAPE ON THE LEG NOT ALLOW!
</t>
  </si>
  <si>
    <t>2/23112018/2113c437d02a49ef9c2066f79246a49a.jpg</t>
  </si>
  <si>
    <t>82</t>
  </si>
  <si>
    <t>100</t>
  </si>
  <si>
    <t>7 SAMPLE APPROVED- Code: 20181003/PAL/0012053/00000438/007</t>
  </si>
  <si>
    <t>20181003/PAL/0012053/00000438/007</t>
  </si>
  <si>
    <t>0/03102018/3e1f5e60f0dc40f58c893a1105af6f85.jpg</t>
  </si>
  <si>
    <t>OPO0199 - REIMS LOUNGE TABLE 12053</t>
  </si>
  <si>
    <t>LIGHT GREY POWDER COAT</t>
  </si>
  <si>
    <t xml:space="preserve">1. (16-10-2018 12:45:57)
1/ FRAME LIGHT GREY MATTE SURFACE, NO TEXTURE.
2/ BENT CORNER BLOCK NOT ALLOWED.
</t>
  </si>
  <si>
    <t>f/24122018/43ad163a3d924df2869d21f35d7958ea.jpg</t>
  </si>
  <si>
    <t>130</t>
  </si>
  <si>
    <t>70</t>
  </si>
  <si>
    <t>34.5</t>
  </si>
  <si>
    <t>139</t>
  </si>
  <si>
    <t>79</t>
  </si>
  <si>
    <t>16</t>
  </si>
  <si>
    <t>11 ISSUED- Code: 20181003/PAL/0012053/00000438/011</t>
  </si>
  <si>
    <t>20181003/PAL/0012053/00000438/011</t>
  </si>
  <si>
    <t>2018-11-29</t>
  </si>
  <si>
    <t>OPO0202 - NOVARA STACKING SIDECHAIR YELLOW L64 X W53 X H90CM</t>
  </si>
  <si>
    <t>YELLOW 14-0756TPX</t>
  </si>
  <si>
    <t>4.5MM</t>
  </si>
  <si>
    <t>N/A</t>
  </si>
  <si>
    <t>c/09122018/2fa9b52ee7e34a049de4cca8002a2d8a.jpg</t>
  </si>
  <si>
    <t>35 FINISHED- Code: 20181127/PAL/0012053/00000438/035</t>
  </si>
  <si>
    <t>20181127/PAL/0012053/00000438/035</t>
  </si>
  <si>
    <t>9/03102018/bf8d9b715d26446bb0cc35b1d44652ec.jpg</t>
  </si>
  <si>
    <t>OPO0205 - REIMS DN TABLE 12053 L240 X W100 X H76CM</t>
  </si>
  <si>
    <t>3/23112018/8f04293acc16475f86054f5be79c01fc.jpg</t>
  </si>
  <si>
    <t>240</t>
  </si>
  <si>
    <t>76</t>
  </si>
  <si>
    <t>249</t>
  </si>
  <si>
    <t>111</t>
  </si>
  <si>
    <t>12 SAMPLE APPROVED- Code: 20181003/PAL/0012053/00000438/012</t>
  </si>
  <si>
    <t>20181003/PAL/0012053/00000438/012</t>
  </si>
  <si>
    <t>9/03102018/c5e07fa9987f4e7f9ae5a2d4600aad5e.jpg</t>
  </si>
  <si>
    <t>OPO0206 - REIMS DN TABLE 12053 L280 X W100 X H76CM - LEGS ONLY</t>
  </si>
  <si>
    <t xml:space="preserve">1. (03-10-2018 14:00:57)
MAKE 1 SET OF LEGS ONLY
</t>
  </si>
  <si>
    <t>6/24122018/1ef482e2d54146bfba46a065d7f470ec.jpg</t>
  </si>
  <si>
    <t>280</t>
  </si>
  <si>
    <t>289</t>
  </si>
  <si>
    <t>14 ISSUED- Code: 20181003/PAL/0012053/00000438/014</t>
  </si>
  <si>
    <t>20181003/PAL/0012053/00000438/014</t>
  </si>
  <si>
    <t>OPO0207 - NOVARA STACKING ARMCHAIR YELLOW 12053 L64 X W53 X H90CM</t>
  </si>
  <si>
    <t>7/09122018/94fa0d50192745f8aeda5a60c7de07b7.jpg</t>
  </si>
  <si>
    <t>34 FINISHED- Code: 20181127/PAL/0012053/00000438/034</t>
  </si>
  <si>
    <t>20181127/PAL/0012053/00000438/034</t>
  </si>
  <si>
    <t>a/03102018/1a5d579944554315a3ac229086dbbc32.jpg</t>
  </si>
  <si>
    <t xml:space="preserve">OPO0210  - KONA LOUNGE CHAIR 12053  L 74.5 X W83.5 X H77CM</t>
  </si>
  <si>
    <t>OLIVE</t>
  </si>
  <si>
    <t>OLIVE POWDER COAT</t>
  </si>
  <si>
    <t>NATURAL GREY 240</t>
  </si>
  <si>
    <t>5/23112018/e27fab88a57b424782ed3c3a29280a5e.jpg</t>
  </si>
  <si>
    <t>74.5</t>
  </si>
  <si>
    <t>83.5</t>
  </si>
  <si>
    <t>91.5</t>
  </si>
  <si>
    <t>15 SAMPLE APPROVED- Code: 20181003/PAL/0012053/00000438/015</t>
  </si>
  <si>
    <t>20181003/PAL/0012053/00000438/015</t>
  </si>
  <si>
    <t>9/03102018/268406550ced4f0ca20efb1f285b19b4.jpg</t>
  </si>
  <si>
    <t>ROS-02-VQN</t>
  </si>
  <si>
    <t>OPO0211 - LEEDS LOUNGE BENCH 3-SEATER L90XW225XH66M - CUSHIONS ONLY</t>
  </si>
  <si>
    <t>HALFROUND 7MM</t>
  </si>
  <si>
    <t>NATURAL WHITE GREY</t>
  </si>
  <si>
    <t>LIGHT GREY</t>
  </si>
  <si>
    <t>ROYAL STONE GREY 240</t>
  </si>
  <si>
    <t xml:space="preserve">1. (03-10-2018 14:00:58)
MAKE 1 SET OF CUSHIONS ONLY
</t>
  </si>
  <si>
    <t>e/14112018/aee077bc2f284e8695c0e6eff3de648f.jpg</t>
  </si>
  <si>
    <t>225</t>
  </si>
  <si>
    <t>242</t>
  </si>
  <si>
    <t>95</t>
  </si>
  <si>
    <t>22 SAMPLE APPROVED- Code: 20181003/ROS/0012053/00000438/022</t>
  </si>
  <si>
    <t>20181003/ROS/0012053/00000438/022</t>
  </si>
  <si>
    <t>c/03102018/7eba3c1be4254b029e87bde7f31efc31.jpg</t>
  </si>
  <si>
    <t xml:space="preserve">OPO0212 - KONA LOUNGE CHAIR 12053  L 74.5 X W83.5 X H77CM</t>
  </si>
  <si>
    <t>NAVY</t>
  </si>
  <si>
    <t>NAVY POWDER COAT</t>
  </si>
  <si>
    <t>ROYAL ANTHRACITE 240</t>
  </si>
  <si>
    <t>0/23112018/b8323b828f244e70823ec81875285ae0.jpg</t>
  </si>
  <si>
    <t>16 SAMPLE APPROVED- Code: 20181003/PAL/0012053/00000438/016</t>
  </si>
  <si>
    <t>20181003/PAL/0012053/00000438/016</t>
  </si>
  <si>
    <t>3/03102018/d3f02401a52f4936a9ebc67e415a483b.jpg</t>
  </si>
  <si>
    <t>OPO0213 - KONA LOUNGE BENCH 2S 12053 L74.5 X W204 X H77CM</t>
  </si>
  <si>
    <t xml:space="preserve">1. (16-10-2018 12:45:57)
ATTENTION CONSTRUCTION TO AVOID LEG SPREAD WHEN SITTING
</t>
  </si>
  <si>
    <t>6/23112018/9fef078077e84cde9c4b0fb45f5ee053.jpg</t>
  </si>
  <si>
    <t>204</t>
  </si>
  <si>
    <t>210.5</t>
  </si>
  <si>
    <t>71.5</t>
  </si>
  <si>
    <t>17 FINISHED- Code: 20181003/PAL/0012053/00000438/017</t>
  </si>
  <si>
    <t>20181003/PAL/0012053/00000438/017</t>
  </si>
  <si>
    <t>b/03102018/39cbf9379f17420a9c03c64029561cea.jpg</t>
  </si>
  <si>
    <t>OPO0215 - KONA LOUNGE BENCH 2S 12053 L74.5 X W204 X H77CM</t>
  </si>
  <si>
    <t>d/23112018/c237ea277ebe4f7d9b6c6082f4e0647f.jpg</t>
  </si>
  <si>
    <t>18 SAMPLE APPROVED- Code: 20181003/PAL/0012053/00000438/018</t>
  </si>
  <si>
    <t>20181003/PAL/0012053/00000438/018</t>
  </si>
  <si>
    <t>6/03102018/3770cdda2fc64363afbbbf474594c86e.jpg</t>
  </si>
  <si>
    <t>OPO0216 - LEEDS MIDDLE CHAIR L90XW90XH66CM (12053) - CUSHIONS ONLY</t>
  </si>
  <si>
    <t>8/14112018/f2d7cad4fac347458c4204573017dcf0.jpg</t>
  </si>
  <si>
    <t>39</t>
  </si>
  <si>
    <t>23 FINISHED- Code: 20181003/ROS/0012053/00000438/023</t>
  </si>
  <si>
    <t>20181003/ROS/0012053/00000438/023</t>
  </si>
  <si>
    <t>2/03102018/955bf14d9e1b4991a7d8b68f594d9ead.jpg</t>
  </si>
  <si>
    <t>OPO0218 - COPENHAGEN RECT. DN TABLE W. POLYSTONE TOP L200 X W100 X H75.5CM</t>
  </si>
  <si>
    <t xml:space="preserve">1. (16-10-2018 12:45:57)
USE CORNER METAL PLATE 4.8MM THICK
</t>
  </si>
  <si>
    <t>4/12112018/de4a90bbbb9b438fb68fdd4813c1f0bd.jpg</t>
  </si>
  <si>
    <t>200</t>
  </si>
  <si>
    <t>19 SAMPLE APPROVED- Code: 20181003/APH/0012053/00000438/019</t>
  </si>
  <si>
    <t>20181003/APH/0012053/00000438/019</t>
  </si>
  <si>
    <t>OPO0219 - ALBUFEIRA LOUNGE CORNER LEFT ARM 12053</t>
  </si>
  <si>
    <t>POWDER COATED ANTHRACITE</t>
  </si>
  <si>
    <t xml:space="preserve">1. (16-10-2018 12:45:57)
1/ Welding joints NO wavy flanges
2/ 1mm tolerance allow gap between wood slat &amp; metal bracket 
3/ Powder coat NO chip-off.
4/ Allow wood-overhang 2mm.
</t>
  </si>
  <si>
    <t>108</t>
  </si>
  <si>
    <t>3 ISSUED- Code: 20181003/PAL/0012053/00000438/003</t>
  </si>
  <si>
    <t>20181003/PAL/0012053/00000438/003</t>
  </si>
  <si>
    <t>6/03102018/399549b1530840f1b6c2218a4203b2e6.jpg</t>
  </si>
  <si>
    <t>OPO0220 - ALBUFEIRA LOUNGE CORNER RIGHT ARM 12053 - CUSHION ONLY</t>
  </si>
  <si>
    <t xml:space="preserve">1. (03-10-2018 14:00:57)
MAKE 1 SET OF CUSHIONS ONLY.
</t>
  </si>
  <si>
    <t>b/24112018/63c15e7d14a14604aaa04566f218f80c.jpg</t>
  </si>
  <si>
    <t>4 SAMPLE APPROVED- Code: 20181003/PAL/0012053/00000438/004</t>
  </si>
  <si>
    <t>20181003/PAL/0012053/00000438/004</t>
  </si>
  <si>
    <t>c/03102018/ad395049837d4edab54c4f215e9f2b14.jpg</t>
  </si>
  <si>
    <t>OPO0221 - ALBUFEIRA LOUNGE MIDDLE 12053</t>
  </si>
  <si>
    <t>70.5</t>
  </si>
  <si>
    <t>5 ISSUED- Code: 20181003/PAL/0012053/00000438/005</t>
  </si>
  <si>
    <t>20181003/PAL/0012053/00000438/005</t>
  </si>
  <si>
    <t>1/03102018/75fae287311d4ba086e44331adcf78ea.jpg</t>
  </si>
  <si>
    <t xml:space="preserve">OPO0222  -ALBUFEIRA LOUNGE CORNER - CUSHIONS ONLY</t>
  </si>
  <si>
    <t>7/24112018/6313dab6247a4a5e9c2f6e8fdccc63fa.jpg</t>
  </si>
  <si>
    <t>6 SAMPLE APPROVED- Code: 20181003/PAL/0012053/00000438/006</t>
  </si>
  <si>
    <t>20181003/PAL/0012053/00000438/006</t>
  </si>
  <si>
    <t>8/03102018/3e7613cd830445d999d7b321a358f02c.jpg</t>
  </si>
  <si>
    <t>OPO0223 - REIMS STACKING DINING CHAIR</t>
  </si>
  <si>
    <t>PP ROPE PR201</t>
  </si>
  <si>
    <t>GREY</t>
  </si>
  <si>
    <t>LIGHT GREY PANTONE 17-5102 TPG</t>
  </si>
  <si>
    <t xml:space="preserve">1. (16-10-2018 12:45:57)
1/ CROOKED SHAPE ON THE LEG NOT ALLOW!
2/  FRAME LIGHT GREY MATTE SURFACE, NO TEXTURE.
</t>
  </si>
  <si>
    <t>6/24122018/bb88f8af86a44b44a3a1e33821b5c9d3.jpg</t>
  </si>
  <si>
    <t>8 ISSUED- Code: 20181003/PAL/0012053/00000438/008</t>
  </si>
  <si>
    <t>20181003/PAL/0012053/00000438/008</t>
  </si>
  <si>
    <t>8/03102018/1d1e8efff2cb4accaabeca82034c728a.jpg</t>
  </si>
  <si>
    <t>OPO0224 - REIMS LOUNGE CHAIR 12053</t>
  </si>
  <si>
    <t xml:space="preserve">1. (16-10-2018 12:45:57)
1/ CROOKED SHAPE ON THE LEG NOT ALLOW!
2/ FRAME LIGHT GREY MATTE SURFACE, NO TEXTURE.
</t>
  </si>
  <si>
    <t>e/24122018/024500f82551426680c3129d492b39c5.jpg</t>
  </si>
  <si>
    <t>89</t>
  </si>
  <si>
    <t>9 ISSUED- Code: 20181003/PAL/0012053/00000438/009</t>
  </si>
  <si>
    <t>20181003/PAL/0012053/00000438/009</t>
  </si>
  <si>
    <t>a/03102018/0dd2c143fdb248be89c0140664f1bdd8.jpg</t>
  </si>
  <si>
    <t>OPO0225 - REIMS LOUNGE BENCH 2S 12053</t>
  </si>
  <si>
    <t>e/24122018/a029e034661f4178ae68b40c736db245.jpg</t>
  </si>
  <si>
    <t>173</t>
  </si>
  <si>
    <t>180</t>
  </si>
  <si>
    <t>91</t>
  </si>
  <si>
    <t>10 ISSUED- Code: 20181003/PAL/0012053/00000438/010</t>
  </si>
  <si>
    <t>20181003/PAL/0012053/00000438/010</t>
  </si>
  <si>
    <t>2/03102018/c96c535fc89249daaf34577328466213.jpg</t>
  </si>
  <si>
    <t>OPO0226 - REIMS DN TABLE 12053 L200 X W100 X H76CM</t>
  </si>
  <si>
    <t xml:space="preserve">1. (16-10-2018 12:45:57)
FRAME LIGHT GREY MATTE SURFACE, NO TEXTURE.
</t>
  </si>
  <si>
    <t>9/24122018/9d4b80ac87bc46cf8e754245cbfe1ef5.jpg</t>
  </si>
  <si>
    <t>209</t>
  </si>
  <si>
    <t>13 ISSUED- Code: 20181003/PAL/0012053/00000438/013</t>
  </si>
  <si>
    <t>20181003/PAL/0012053/00000438/013</t>
  </si>
  <si>
    <t>d/03102018/22762ef0347946f78f90a691759ecc0d.jpg</t>
  </si>
  <si>
    <t>OPO0228 - KONA LOUNGE TABLE 12053 L120 X W80 X W40.5CM</t>
  </si>
  <si>
    <t>GLASS</t>
  </si>
  <si>
    <t xml:space="preserve">1. (16-10-2018 12:45:57)
1/ CORNER METAL BLOCK NOT BENT.
2/ USE PROPER GOOD SUCTION CUP FOR GLASS TOP.
</t>
  </si>
  <si>
    <t>9/23112018/02f2c00f05354522a51e5b35d509f4ef.jpg</t>
  </si>
  <si>
    <t>120</t>
  </si>
  <si>
    <t>40</t>
  </si>
  <si>
    <t>40.5</t>
  </si>
  <si>
    <t>147</t>
  </si>
  <si>
    <t>20 SAMPLE APPROVED- Code: 20181003/PAL/0012053/00000438/020</t>
  </si>
  <si>
    <t>20181003/PAL/0012053/00000438/020</t>
  </si>
  <si>
    <t>7/03102018/4c4d7ca04a2e494cb409a81bca39a9de.jpg</t>
  </si>
  <si>
    <t>OPO0229 - KONA LOUNGE TABLE 12053 L120 X W80 X W40.5CM</t>
  </si>
  <si>
    <t>1/23112018/c25c6f4c08704a97b92da8e8a7b51215.jpg</t>
  </si>
  <si>
    <t>21 FINISHED- Code: 20181003/PAL/0012053/00000438/021</t>
  </si>
  <si>
    <t>20181003/PAL/0012053/00000438/021</t>
  </si>
  <si>
    <t>5/03102018/5bf6a0c798e246729a7f3ce002416ae1.jpg</t>
  </si>
  <si>
    <t>OPO0230 - NOVARA STACKING ARMCHAIR 12053 L64 X W53 X H90CM</t>
  </si>
  <si>
    <t>ROPE PP 15-4825TPX 4.5MM</t>
  </si>
  <si>
    <t>AQUA</t>
  </si>
  <si>
    <t>AQUA POWDER COAT</t>
  </si>
  <si>
    <t xml:space="preserve">1. (16-10-2018 12:45:57)
ATTENTION WELDING POINT AESTHETICS
</t>
  </si>
  <si>
    <t>2/23112018/3e958743d392434d995ecd08a03b565d.jpg</t>
  </si>
  <si>
    <t>62</t>
  </si>
  <si>
    <t>104</t>
  </si>
  <si>
    <t>24 SAMPLE APPROVED- Code: 20181003/PAL/0012053/00000438/024</t>
  </si>
  <si>
    <t>20181003/PAL/0012053/00000438/024</t>
  </si>
  <si>
    <t>1/03102018/fb6ac391569946d18bebcafda2f008bf.jpg</t>
  </si>
  <si>
    <t>OPO0232 - NOVARA STACKING ARMCHAIR L64 X W53 X H90CM (12053 )</t>
  </si>
  <si>
    <t>ROPE PP PR201 4.5MM</t>
  </si>
  <si>
    <t>LIGHT GREY POWDER COATED</t>
  </si>
  <si>
    <t>0/24122018/13b71ae8726840a1b1b24471abf3f8cd.jpg</t>
  </si>
  <si>
    <t>25 ISSUED- Code: 20181003/PAL/0012053/00000438/025</t>
  </si>
  <si>
    <t>20181003/PAL/0012053/00000438/025</t>
  </si>
  <si>
    <t>2/03102018/ec89e7ac043145f88d24980479882ebb.jpg</t>
  </si>
  <si>
    <t>OPO0233 - NOVARA STACKING SIDECHAIR L64 X W53 X H90CM</t>
  </si>
  <si>
    <t>AQUA POWDER COATED</t>
  </si>
  <si>
    <t>7/23112018/6b18c5101bba4d93b936454f5d0b4fd8.jpg</t>
  </si>
  <si>
    <t>26 SAMPLE APPROVED- Code: 20181003/PAL/0012053/00000438/026</t>
  </si>
  <si>
    <t>20181003/PAL/0012053/00000438/026</t>
  </si>
  <si>
    <t>c/03102018/571ff3ce67454d38a8bfa7beb258932d.jpg</t>
  </si>
  <si>
    <t>OPO0235 - NOVARA STACKING SIDECHAIR L64 X W53 X H90CM</t>
  </si>
  <si>
    <t>9/24122018/458db554683542c899b57b89edbc6b93.jpg</t>
  </si>
  <si>
    <t>27 ISSUED- Code: 20181003/PAL/0012053/00000438/027</t>
  </si>
  <si>
    <t>20181003/PAL/0012053/00000438/027</t>
  </si>
  <si>
    <t>8/03102018/1fc796e2278a48138dbc6ee7c024e572.jpg</t>
  </si>
  <si>
    <t>OPO0239 - FURNITURE COVER MIRA LOUNGE SOFA 3S L94 X W50 X H76CM</t>
  </si>
  <si>
    <t>Polyester fabric</t>
  </si>
  <si>
    <t>FABRIC UV &amp; WATER RESISTANCE</t>
  </si>
  <si>
    <t>9/23112018/6bc1297e5919454f9d3499b3d108b473.jpg</t>
  </si>
  <si>
    <t>250</t>
  </si>
  <si>
    <t>44</t>
  </si>
  <si>
    <t>34</t>
  </si>
  <si>
    <t>28 SAMPLE APPROVED- Code: 20181003/PAL/0012053/00000438/028</t>
  </si>
  <si>
    <t>20181003/PAL/0012053/00000438/028</t>
  </si>
  <si>
    <t>8/03102018/341114dab2d948dea20bbfb89c849336.jpg</t>
  </si>
  <si>
    <t>OPO0240 - FURNITURE COVER MIRA DINING CHAIR L75 X W80 X H80CM</t>
  </si>
  <si>
    <t>POLYESTER FABRIC</t>
  </si>
  <si>
    <t>5/23112018/d6309c037fbc414c95ce8a4c40bcac6c.jpg</t>
  </si>
  <si>
    <t>75</t>
  </si>
  <si>
    <t>36</t>
  </si>
  <si>
    <t>30</t>
  </si>
  <si>
    <t>29 SAMPLE APPROVED- Code: 20181003/PAL/0012053/00000438/029</t>
  </si>
  <si>
    <t>20181003/PAL/0012053/00000438/029</t>
  </si>
  <si>
    <t>7/03102018/6a0fc10eba6447d2bade15f47337b6cd.jpg</t>
  </si>
  <si>
    <t>OPO0241 - FURNITURE COVER MIRA LOUNGE CHAIR L94 X W94 X H57.5CM</t>
  </si>
  <si>
    <t>e/23112018/526842f21aa345b8b9e808f8549a06dd.jpg</t>
  </si>
  <si>
    <t>57.5</t>
  </si>
  <si>
    <t>30 SAMPLE APPROVED- Code: 20181003/PAL/0012053/00000438/030</t>
  </si>
  <si>
    <t>20181003/PAL/0012053/00000438/030</t>
  </si>
  <si>
    <t>c/03102018/5f17e9b5cabb409cb859b9f1e64ddb9a.jpg</t>
  </si>
  <si>
    <t>OPO0242 - FURNITURE COVER MIRA LOUNGE CORNER LEFTARM L94 X W160 X H75CM</t>
  </si>
  <si>
    <t>3/23112018/1db11462d29d4d01b110399efbbba381.jpg</t>
  </si>
  <si>
    <t>160</t>
  </si>
  <si>
    <t>31 SAMPLE APPROVED- Code: 20181003/PAL/0012053/00000438/031</t>
  </si>
  <si>
    <t>20181003/PAL/0012053/00000438/031</t>
  </si>
  <si>
    <t>1/03102018/bd0c08bcdf3b40bd886a1e4188db58fb.jpg</t>
  </si>
  <si>
    <t>OPO0243 - FURNITURE COVER MIRA LOUNGE CORNER RIGHT ARM L94 X W235 X H75 CM</t>
  </si>
  <si>
    <t>a/23112018/d76dd04b9063436dae761f49eecde16c.jpg</t>
  </si>
  <si>
    <t>235</t>
  </si>
  <si>
    <t>32 FINISHED- Code: 20181003/PAL/0012053/00000438/032</t>
  </si>
  <si>
    <t>20181003/PAL/0012053/00000438/032</t>
  </si>
  <si>
    <t>7/03102018/de7d9478807d426fbf3f22d6f97c924a.jpg</t>
  </si>
  <si>
    <t>OPO0244 - FURNITURE COVER MIRA LOUNGER L80 X W210 X H30CM</t>
  </si>
  <si>
    <t>COMPLETED</t>
  </si>
  <si>
    <t>210</t>
  </si>
  <si>
    <t>33 COMPLETED- Code: 20181003/PAL/0012053/00000438/033</t>
  </si>
  <si>
    <t>20181003/PAL/0012053/00000438/033</t>
  </si>
  <si>
    <t>7/01112018/7217d4e85b224e26a063520cd200cdb1.jpg</t>
  </si>
  <si>
    <t>2018-11-11</t>
  </si>
  <si>
    <t>BAHAMAS DINING CHAIR</t>
  </si>
  <si>
    <t>OLIVER GREEN</t>
  </si>
  <si>
    <t>TAUPE 180</t>
  </si>
  <si>
    <t xml:space="preserve">1. Hoang Thi Van Anh(01-11-2018 06:42:35)
WEAVING SEAT AND BACK AS PICTURE
</t>
  </si>
  <si>
    <t>e/08112018/692276d36719438f807043a28bc1e6e8.jpg</t>
  </si>
  <si>
    <t>2018-11-14</t>
  </si>
  <si>
    <t>EUROMATE GMBH</t>
  </si>
  <si>
    <t>3.4</t>
  </si>
  <si>
    <t>99</t>
  </si>
  <si>
    <t>21 FINISHED- Code: 20181101/PAL/001262/00000443/021</t>
  </si>
  <si>
    <t>20181101/PAL/001262/00000443/021</t>
  </si>
  <si>
    <t>b/30102018/1186029bef6548a2ab6c04833931fdac.jpg</t>
  </si>
  <si>
    <t>BATAVIA COFFEE BENCH 150 CM WITH TRAY</t>
  </si>
  <si>
    <t>SMOOTH FADED WHITE</t>
  </si>
  <si>
    <t>6/12112018/3cb903f178e841f58d3b158a5bdde58c.jpg</t>
  </si>
  <si>
    <t>150</t>
  </si>
  <si>
    <t>15 FINISHED- Code: 20181030/ROS/001262/00000443/015</t>
  </si>
  <si>
    <t>20181030/ROS/001262/00000443/015</t>
  </si>
  <si>
    <t>f/30102018/4e85fef1d6f54efb82952cbcb1ed021e.jpg</t>
  </si>
  <si>
    <t>COFFEE LOUNGE CHAIR + HOCKER</t>
  </si>
  <si>
    <t>STANDARD WITH PIPING</t>
  </si>
  <si>
    <t>4 BUTTONS</t>
  </si>
  <si>
    <t>ROYAL ANTRACITE</t>
  </si>
  <si>
    <t>0/11112018/e0441476e1f1494cb93f00fd1ba5ecde.jpg</t>
  </si>
  <si>
    <t>91/57</t>
  </si>
  <si>
    <t>74/65.5</t>
  </si>
  <si>
    <t>88/32</t>
  </si>
  <si>
    <t>12.6/6</t>
  </si>
  <si>
    <t>16 FINISHED- Code: 20181030/PAL/001262/00000443/016</t>
  </si>
  <si>
    <t>20181030/PAL/001262/00000443/016</t>
  </si>
  <si>
    <t>c/29102018/e33ba10b02924d099c35994b0346a77b.jpg</t>
  </si>
  <si>
    <t>CORFU COFFEE TABLE</t>
  </si>
  <si>
    <t>ROUND</t>
  </si>
  <si>
    <t>ROYAL TAUPE</t>
  </si>
  <si>
    <t>2/13112018/ea590f1c4cc34c6fb70c082d0e08ee0e.jpg</t>
  </si>
  <si>
    <t>12.2</t>
  </si>
  <si>
    <t>13</t>
  </si>
  <si>
    <t>2 FINISHED- Code: 20181017/APO/001262/00000443/002</t>
  </si>
  <si>
    <t>20181017/APO/001262/00000443/002</t>
  </si>
  <si>
    <t>e/29102018/fbb361e9ba2c4ceea092afc53cec4bf1.jpg</t>
  </si>
  <si>
    <t>CORFU DINING SET 1262 ( 2XCHAIR + 1X BENCH + 1 TABLE)</t>
  </si>
  <si>
    <t xml:space="preserve">1. Vo Thi My Dieu(30-10-2018 06:24:37)
TARGET PRICE FOR CHAIR : 45$
WEAVING PATTERN AS PICTURE
</t>
  </si>
  <si>
    <t>3/13112018/ae244906eb234ea68b16670c0862805c.jpg</t>
  </si>
  <si>
    <t>78/78/169</t>
  </si>
  <si>
    <t>70/134/94</t>
  </si>
  <si>
    <t>89/89/75.5</t>
  </si>
  <si>
    <t>10/16/41.5</t>
  </si>
  <si>
    <t>11/18/43.5</t>
  </si>
  <si>
    <t>1/1/1</t>
  </si>
  <si>
    <t>79/79/171</t>
  </si>
  <si>
    <t>71/135/95</t>
  </si>
  <si>
    <t>91/91/25</t>
  </si>
  <si>
    <t>1 FINISHED- Code: 20181017/APO/001262/00000443/001</t>
  </si>
  <si>
    <t>20181017/APO/001262/00000443/001</t>
  </si>
  <si>
    <t>9/30102018/024cfb1aad634c72ad261b8f7adab928.jpg</t>
  </si>
  <si>
    <t>EMERALD LOUNGE CORNER SET</t>
  </si>
  <si>
    <t>DARK GREY 180</t>
  </si>
  <si>
    <t xml:space="preserve">1. Vo Thi My Dieu(17-10-2018 06:29:25)
TARGET PRICE: $150
</t>
  </si>
  <si>
    <t>e/12112018/6ff0fbe64aa74412b9661028f443b45b.jpg</t>
  </si>
  <si>
    <t>81/81/81/110</t>
  </si>
  <si>
    <t>160.5/160.5/81/60</t>
  </si>
  <si>
    <t>73/73/36/36</t>
  </si>
  <si>
    <t>21/21/17/16.5</t>
  </si>
  <si>
    <t>1set/box</t>
  </si>
  <si>
    <t>163</t>
  </si>
  <si>
    <t>71</t>
  </si>
  <si>
    <t>8 FINISHED- Code: 20181017/PAL/001262/00000443/008</t>
  </si>
  <si>
    <t>20181017/PAL/001262/00000443/008</t>
  </si>
  <si>
    <t>2/30102018/6c1186c5d4e94c389fd474c63e390ed5.jpg</t>
  </si>
  <si>
    <t>ZWE-08-VHU</t>
  </si>
  <si>
    <t>HAMAR LOUNGE SET 4PCS (2X CHAIR, 1X BENCH, 1X DINNING TABLE 120X70X69CM)</t>
  </si>
  <si>
    <t>TEAK LOOK</t>
  </si>
  <si>
    <t xml:space="preserve">1. Vo Thi My Dieu(30-10-2018 06:24:37)
MAKE CHAIR AND BENCH AS HAMAR BUT TABLE MUST BE HIGHER AS DINING TABLE . PLS FOLLOW TD OF TABLE
TARGET PRICE: $102
</t>
  </si>
  <si>
    <t>b/13112018/61a2a4e706914a8ab9b9603bac1f4d99.jpg</t>
  </si>
  <si>
    <t>70/70/70</t>
  </si>
  <si>
    <t>63/118/120</t>
  </si>
  <si>
    <t>74/74/69</t>
  </si>
  <si>
    <t>49</t>
  </si>
  <si>
    <t>124</t>
  </si>
  <si>
    <t>56</t>
  </si>
  <si>
    <t>14 FINISHED- Code: 20181030/ZWE/001262/00000443/014</t>
  </si>
  <si>
    <t>20181030/ZWE/001262/00000443/014</t>
  </si>
  <si>
    <t>4/29102018/f55e93592f904ed7be6ad9004bf1d165.jpg</t>
  </si>
  <si>
    <t>NNM-01-VDN</t>
  </si>
  <si>
    <t xml:space="preserve">HPP BEER  BENCH SET - FOLDING</t>
  </si>
  <si>
    <t xml:space="preserve">1. Vo Thi My Dieu(30-10-2018 06:24:37)
TARGET PRICE: 
TABLE: $90
BENCH $45
</t>
  </si>
  <si>
    <t>2/11112018/8c687db6860343518f52f2448dd29e88.jpg</t>
  </si>
  <si>
    <t>80/38</t>
  </si>
  <si>
    <t>180/155</t>
  </si>
  <si>
    <t>76/45</t>
  </si>
  <si>
    <t>23.4/10.7x2</t>
  </si>
  <si>
    <t>26.65/12.9</t>
  </si>
  <si>
    <t>183/158</t>
  </si>
  <si>
    <t>83/41</t>
  </si>
  <si>
    <t>9/15.5</t>
  </si>
  <si>
    <t>3 FINISHED- Code: 20181017/DAN/001262/00000443/003</t>
  </si>
  <si>
    <t>20181017/DAN/001262/00000443/003</t>
  </si>
  <si>
    <t>8/17102018/4e08db91c4bb40c0bfad143ea5252fb7.jpg</t>
  </si>
  <si>
    <t>BIG-07-VHU</t>
  </si>
  <si>
    <t>LEBANON LOUNGE BENCH</t>
  </si>
  <si>
    <t>HALFROUND</t>
  </si>
  <si>
    <t>RATTAN MIXED BROWN</t>
  </si>
  <si>
    <t>STANDARD (NO PIPING)</t>
  </si>
  <si>
    <t>2 BUTTON (NO PIPING)</t>
  </si>
  <si>
    <t xml:space="preserve">ROYAL DARK  GREY 180</t>
  </si>
  <si>
    <t>b/12112018/d59dc34a3b5e42959e28c01295d45d9b.jpg</t>
  </si>
  <si>
    <t>33.6</t>
  </si>
  <si>
    <t>38.6</t>
  </si>
  <si>
    <t>5 FINISHED- Code: 20181017/BIG/001262/00000443/005</t>
  </si>
  <si>
    <t>20181017/BIG/001262/00000443/005</t>
  </si>
  <si>
    <t>f/17102018/13fd7b2886ab486990fbe3af588feb62.jpg</t>
  </si>
  <si>
    <t>LEBANON LOUNGE CHAIR</t>
  </si>
  <si>
    <t>STANDARD ( (NO PIPING)</t>
  </si>
  <si>
    <t>2 BUTTONS ( (NO PIPING)</t>
  </si>
  <si>
    <t>ROYAL DARK GREY 180</t>
  </si>
  <si>
    <t xml:space="preserve">1. Vo Thi My Dieu(26-10-2018 13:33:31)
TARGET PRICE: $85
</t>
  </si>
  <si>
    <t>e/12112018/5800c7f22aca40abbd4376eb8cc108ef.jpg</t>
  </si>
  <si>
    <t>67</t>
  </si>
  <si>
    <t>20</t>
  </si>
  <si>
    <t>6 FINISHED- Code: 20181017/BIG/001262/00000443/006</t>
  </si>
  <si>
    <t>20181017/BIG/001262/00000443/006</t>
  </si>
  <si>
    <t>7/30102018/21de6578ecb74e8086bcf6441c73e2af.jpg</t>
  </si>
  <si>
    <t>MACKAY LOUNGE CORNER SET ADJUST HEADBOARD</t>
  </si>
  <si>
    <t>HALF ROUND</t>
  </si>
  <si>
    <t>ROYAL ANTHRACITE</t>
  </si>
  <si>
    <t>1/12112018/f9ae1cc6bf06487883a385688fb518db.jpg</t>
  </si>
  <si>
    <t>88/88/61</t>
  </si>
  <si>
    <t>219/187/101</t>
  </si>
  <si>
    <t>68/68/33</t>
  </si>
  <si>
    <t>34/27.5/12.5</t>
  </si>
  <si>
    <t>3</t>
  </si>
  <si>
    <t>102</t>
  </si>
  <si>
    <t>259</t>
  </si>
  <si>
    <t>18 FINISHED- Code: 20181030/PAL/001262/00000443/018</t>
  </si>
  <si>
    <t>20181030/PAL/001262/00000443/018</t>
  </si>
  <si>
    <t>c/30102018/334864807526456d828544839d0cb6dd.jpg</t>
  </si>
  <si>
    <t>MAUI LOUNGE SET 4PCS</t>
  </si>
  <si>
    <t>BRAIDED</t>
  </si>
  <si>
    <t>FLAT 20 MM</t>
  </si>
  <si>
    <t>BLENDED ANTHRACTIE</t>
  </si>
  <si>
    <t>OILED LIGHT GRAY</t>
  </si>
  <si>
    <t>ROYAL ANTHRACTITE</t>
  </si>
  <si>
    <t xml:space="preserve">1. Vo Thi My Dieu(30-10-2018 08:16:42)
TARGET PRICE: $300
MAKE CHAIR IN ROPE FLAT 20MM IN ANTHRACITE 
MAKE BENCH IN BRAIDED FLAT 20MM IN BLENDED ANTHRACITE
</t>
  </si>
  <si>
    <t>a/13112018/c1b282e5598c4c15b8d90a3489d695b5.jpg</t>
  </si>
  <si>
    <t>75/75/110</t>
  </si>
  <si>
    <t>65/138/58</t>
  </si>
  <si>
    <t>71/71/36.5</t>
  </si>
  <si>
    <t>6/10.5/8</t>
  </si>
  <si>
    <t>3/1</t>
  </si>
  <si>
    <t>82/113</t>
  </si>
  <si>
    <t>139/63</t>
  </si>
  <si>
    <t>77/10</t>
  </si>
  <si>
    <t>11 FINISHED- Code: 20181030/APO/001262/00000443/011</t>
  </si>
  <si>
    <t>20181030/APO/001262/00000443/011</t>
  </si>
  <si>
    <t>5/30102018/c827ac72172e43daae8d46b4880e06c2.jpg</t>
  </si>
  <si>
    <t>MOROCCO LOUNGE CORNER WITH CHAISE, OTTOMANS AND DINNING TABLE</t>
  </si>
  <si>
    <t>HALF ROUND 7MM</t>
  </si>
  <si>
    <t xml:space="preserve">STANDARD  (NO PIPING)</t>
  </si>
  <si>
    <t xml:space="preserve">1. Vo Thi My Dieu(17-10-2018 06:29:25)
For the dining table use rendering where legs are inside table top, instead of TD.
use the L shape feed caps. 85x85 i.o 100x100. 
Closed weaving for seat
</t>
  </si>
  <si>
    <t>d/12112018/a36aac7751e54514adf8273d8b9c29d5.jpg</t>
  </si>
  <si>
    <t>92/92/9241/104</t>
  </si>
  <si>
    <t>92/72/92/41/84</t>
  </si>
  <si>
    <t>73/73/31/40/71</t>
  </si>
  <si>
    <t>21/16.5/12/4/23</t>
  </si>
  <si>
    <t>24/20/14/4.5/27</t>
  </si>
  <si>
    <t>9</t>
  </si>
  <si>
    <t>94/94/94/43/106</t>
  </si>
  <si>
    <t>94/74/94/43/86</t>
  </si>
  <si>
    <t>75/75/44/46/25</t>
  </si>
  <si>
    <t>7 FINISHED- Code: 20181017/APO/001262/00000443/007</t>
  </si>
  <si>
    <t>20181017/APO/001262/00000443/007</t>
  </si>
  <si>
    <t>b/30102018/5602a8e843ce4bad9f93eee231359367.jpg</t>
  </si>
  <si>
    <t>NEW ARM CHAIR 4</t>
  </si>
  <si>
    <t>FLAT 20MM</t>
  </si>
  <si>
    <t>ROYAL STONE GREEN</t>
  </si>
  <si>
    <t xml:space="preserve">1. Vo Thi My Dieu(30-10-2018 06:24:37)
TARGET PRICE: $80
</t>
  </si>
  <si>
    <t>0/11112018/b08a9e27676840fcaa9bf66d3aa6a780.jpg</t>
  </si>
  <si>
    <t>10.8</t>
  </si>
  <si>
    <t>12 FINISHED- Code: 20181030/PAL/001262/00000443/012</t>
  </si>
  <si>
    <t>20181030/PAL/001262/00000443/012</t>
  </si>
  <si>
    <t>b/01112018/f860c8f149f340c9baca7eaa19d7ad8a.jpg</t>
  </si>
  <si>
    <t xml:space="preserve">NEW LOUNGE DINING SERIES  SINGLE TABLE</t>
  </si>
  <si>
    <t>GREY OILD</t>
  </si>
  <si>
    <t>f/12112018/892f4753a2654552bdd23690e588fa11.jpg</t>
  </si>
  <si>
    <t>135</t>
  </si>
  <si>
    <t>21.8</t>
  </si>
  <si>
    <t>23.8</t>
  </si>
  <si>
    <t>137</t>
  </si>
  <si>
    <t>4 FINISHED- Code: 20181017/BIG/001262/00000443/004</t>
  </si>
  <si>
    <t>20181017/BIG/001262/00000443/004</t>
  </si>
  <si>
    <t>6/30102018/fc36f1c2794d413f988ffe33cb990509.jpg</t>
  </si>
  <si>
    <t xml:space="preserve">NEW LOUNGE DINNING SERIES   CORNER SET</t>
  </si>
  <si>
    <t>FLAT HALFROUND</t>
  </si>
  <si>
    <t>STANDARD WITH NO PIPING</t>
  </si>
  <si>
    <t>2 BUTTONS</t>
  </si>
  <si>
    <t>f/12112018/87dbd7282b8d4b13885c7131e5428454.jpg</t>
  </si>
  <si>
    <t>81/81</t>
  </si>
  <si>
    <t>175/179</t>
  </si>
  <si>
    <t>90.5/90.5</t>
  </si>
  <si>
    <t>64.4</t>
  </si>
  <si>
    <t>74.4</t>
  </si>
  <si>
    <t>1/1</t>
  </si>
  <si>
    <t>83/83</t>
  </si>
  <si>
    <t>177/181</t>
  </si>
  <si>
    <t>93.5/93.5</t>
  </si>
  <si>
    <t>18 FINISHED- Code: 20181030/BIG/001262/00000443/018</t>
  </si>
  <si>
    <t>20181030/BIG/001262/00000443/018</t>
  </si>
  <si>
    <t>7/01112018/ae20bd68ad4c4407881da48eb1e0c717.jpg</t>
  </si>
  <si>
    <t>REIMS DINING CHAIR IN ROPE</t>
  </si>
  <si>
    <t xml:space="preserve">1. (02-11-2018 12:59:31)
CHAIR SHOULD BE COMFORTABLE WITHOUT BACK CUSHION
FOR SEAT/BACK PART, FOLLOW THE REIMS DINING CHAIR, FOR LEGS FOLLOW WITH TAPERED ALU LEGS LIKE 1200.
SEE REFERENCE IMAGE FOR YOUR INFO.
</t>
  </si>
  <si>
    <t>c/12112018/b7483d91005844a3b94eec27b2a7914a.jpg</t>
  </si>
  <si>
    <t>6.4</t>
  </si>
  <si>
    <t>8.4</t>
  </si>
  <si>
    <t>67.5</t>
  </si>
  <si>
    <t>19 FINISHED- Code: 20181101/BIG/001262/00000443/019</t>
  </si>
  <si>
    <t>20181101/BIG/001262/00000443/019</t>
  </si>
  <si>
    <t>6/01112018/935f6fd1b6ca4cdeb6ca86f1300b7fae.jpg</t>
  </si>
  <si>
    <t>REIMS DINING TABLE 1262</t>
  </si>
  <si>
    <t>8/13112018/b16ece8817c7449087ce6b4dff93620b.jpg</t>
  </si>
  <si>
    <t>74</t>
  </si>
  <si>
    <t>37.5</t>
  </si>
  <si>
    <t>Mail order packing</t>
  </si>
  <si>
    <t>170</t>
  </si>
  <si>
    <t>22</t>
  </si>
  <si>
    <t>20 FINISHED- Code: 20181101/PAL/001262/00000443/020</t>
  </si>
  <si>
    <t>20181101/PAL/001262/00000443/020</t>
  </si>
  <si>
    <t>4/29102018/d8482bbf6aff47feb5a9dad9d7665f14.jpg</t>
  </si>
  <si>
    <t>REIMS DINNING CHAIR IN BRAIDED 1262</t>
  </si>
  <si>
    <t xml:space="preserve">2. PEPIJN VAN DEN BRINK(02-11-2018 12:41:01)
CHAIR SHOULD BE COMFORTABLE WITHOUT BACK CUSHION
FOR SEAT/BACK PART, FOLLOW THE REIMS DINING CHAIR, FOR LEGS FOLLOW WITH TAPERED ALU LEGS LIKE 1200.
SEE REFERENCE IMAGE FOR YOUR INFO.
1. Vo Thi My Dieu(30-10-2018 08:16:42)
TARGET PRICE FOR CHAIR : $40
</t>
  </si>
  <si>
    <t>o/12112018/f1459964a102493bb88b69a67de49a06.JPEG</t>
  </si>
  <si>
    <t>6</t>
  </si>
  <si>
    <t>9 FINISHED- Code: 20181029/BIG/001262/00000443/009</t>
  </si>
  <si>
    <t>20181029/BIG/001262/00000443/009</t>
  </si>
  <si>
    <t>6/01112018/3213f4144f3d44c7a0e1f6ab5f5c424b.jpg</t>
  </si>
  <si>
    <t>SQUARE COFFEE TABLE</t>
  </si>
  <si>
    <t>OILED LIGHT GREY</t>
  </si>
  <si>
    <t>c/11112018/d38392de57da4ab885f73bcff3ed9cfd.jpg</t>
  </si>
  <si>
    <t>11</t>
  </si>
  <si>
    <t>13 FINISHED- Code: 20181030/PAL/001262/00000443/013</t>
  </si>
  <si>
    <t>20181030/PAL/001262/00000443/013</t>
  </si>
  <si>
    <t>0/29102018/5b992b0dbaae4c0795a472da87477f41.jpg</t>
  </si>
  <si>
    <t>STEEL ROPE LOUNGE SET( 2X CHAIR + 1X TABLE + 1X BENCH)</t>
  </si>
  <si>
    <t>STANDARD NO PIPING</t>
  </si>
  <si>
    <t xml:space="preserve">1. Vo Thi My Dieu(30-10-2018 08:16:42)
TARGET PRICE: $300
</t>
  </si>
  <si>
    <t>d/11112018/8283026fbe0c427aaf4ee747043629d2.jpg</t>
  </si>
  <si>
    <t>71/71/71/100</t>
  </si>
  <si>
    <t>68/68/143/60</t>
  </si>
  <si>
    <t>65/65/65/42</t>
  </si>
  <si>
    <t>10.2/10.2/17.8/8</t>
  </si>
  <si>
    <t>51</t>
  </si>
  <si>
    <t>11 FINISHED- Code: 20181029/PAL/001262/00000443/011</t>
  </si>
  <si>
    <t>20181029/PAL/001262/00000443/011</t>
  </si>
  <si>
    <t>0/01112018/565bf867102b44c780bc6bca6477d700.jpg</t>
  </si>
  <si>
    <t>PAL-02-VHM</t>
  </si>
  <si>
    <t>VERMONT SUN LOUNGER</t>
  </si>
  <si>
    <t>VERMONT</t>
  </si>
  <si>
    <t xml:space="preserve">1. Hoang Thi Van Anh(01-11-2018 06:42:35)
COLOR OF WICKER AND FABRIC WAITING FROM CLIENT . WILL INFORM LATER
</t>
  </si>
  <si>
    <t>6/12112018/47235fa902a047929029c8036ed45558.jpg</t>
  </si>
  <si>
    <t>31</t>
  </si>
  <si>
    <t>23.5</t>
  </si>
  <si>
    <t>202</t>
  </si>
  <si>
    <t>41</t>
  </si>
  <si>
    <t>22 FINISHED- Code: 20181101/VST/001262/00000443/022</t>
  </si>
  <si>
    <t>20181101/VST/001262/00000443/022</t>
  </si>
  <si>
    <t>9/27112018/0cc9c61cd24b403c95318a0c301a1ed7.jpg</t>
  </si>
  <si>
    <t>ROUND 4,5MM</t>
  </si>
  <si>
    <t>HEAVENLY BLUE</t>
  </si>
  <si>
    <t xml:space="preserve">1. Tran Ngoc Nam Phuong(27-11-2018 04:56:38)
Required color swatches:
- 3 x A4  Rope 4.5MM HEAVENLY BLUE
-  3 x tubes 30cm Steel HEAVENLY BLUE
</t>
  </si>
  <si>
    <t>2018-11-28</t>
  </si>
  <si>
    <t>CREATED</t>
  </si>
  <si>
    <t>MITRE 10 AUSTRALIA</t>
  </si>
  <si>
    <t>7 CREATED- Code: 20181127/XXX/001052/00000450/007</t>
  </si>
  <si>
    <t>20181127/XXX/001052/00000450/007</t>
  </si>
  <si>
    <t>c/02112018/dd98220143bc4b5f9d72209b3c7ca056.jpg</t>
  </si>
  <si>
    <t>REB-07-VHM</t>
  </si>
  <si>
    <t>BOGOTA LOUNGE SET</t>
  </si>
  <si>
    <t>GREY 1289</t>
  </si>
  <si>
    <t>BLUE GREY 180GSM POLYESTER 100%</t>
  </si>
  <si>
    <t xml:space="preserve">1. Tran Ngoc Nam Phuong(05-11-2018 04:19:15)
Please take HD pictures as email request
Required color swatches:
- 3 x A4 wicker panels
- 3 x A4 fabric swatch Blue Grey 180
TARGET PRICE: $ 110,00
CHECK PRICE AT MR REBOUND + ADVISE FACTORY THAT MAKES SAMPLE
</t>
  </si>
  <si>
    <t>7/01122018/c38e9453383f45379edfde7ee2a6c48d.jpg</t>
  </si>
  <si>
    <t>2 FINISHED- Code: 20181102/REB/001052/00000450/002</t>
  </si>
  <si>
    <t>20181102/REB/001052/00000450/002</t>
  </si>
  <si>
    <t>6/02112018/d10d8623732c4d8f9952d0e858abbe58.jpg</t>
  </si>
  <si>
    <t>CARPIANO ROUND TABLE 50X50CM</t>
  </si>
  <si>
    <t>CEMENT PLATE ROUGH</t>
  </si>
  <si>
    <t>OIL PAINT</t>
  </si>
  <si>
    <t>POWDER COATED BLACK</t>
  </si>
  <si>
    <t xml:space="preserve">1. Tran Ngoc Nam Phuong(05-11-2018 04:19:15)
Please take HD pictures as email request
Required color swatches:
- 3 x A5 panels Polystone concrete look
- 3 x tubes 30cm Steel powder coated black
TARGET PRICE: $ 29,00
PLEASE MAKE IN ROUGH CEMENT PLATE WITH OIL PAINT (CHEAP)
</t>
  </si>
  <si>
    <t>f/30112018/49ce75cbc96d4304904bfec8ce396727.jpg</t>
  </si>
  <si>
    <t>5 FINISHED- Code: 20181102/APH/001052/00000450/005</t>
  </si>
  <si>
    <t>20181102/APH/001052/00000450/005</t>
  </si>
  <si>
    <t>c/02112018/368011ed39af4d40ac00510dc34d3f83.jpg</t>
  </si>
  <si>
    <t>DAN-21-VDN</t>
  </si>
  <si>
    <t>CLASSIC BEACH CHAIR</t>
  </si>
  <si>
    <t>ACACIA FSC</t>
  </si>
  <si>
    <t>ROYAL TAUPE 240</t>
  </si>
  <si>
    <t xml:space="preserve">1. Tran Ngoc Nam Phuong(05-11-2018 04:19:15)
Please take HD pictures as email request
Required color swatches:
- 3 x A4 panels Wood Acacia Light teak look
- 3 x A4 fabric swatches Royal Taupe 240
TARGET PRICE: $ 18,75
CHECK QUOTATION AT JESSICA.
</t>
  </si>
  <si>
    <t>e/02122018/5564723a182c4c89abbc200d77b65b48.jpg</t>
  </si>
  <si>
    <t>112</t>
  </si>
  <si>
    <t>4.8</t>
  </si>
  <si>
    <t>6.6</t>
  </si>
  <si>
    <t>142</t>
  </si>
  <si>
    <t>5.5</t>
  </si>
  <si>
    <t>4 FINISHED- Code: 20181102/PAL/001052/00000450/004</t>
  </si>
  <si>
    <t>20181102/PAL/001052/00000450/004</t>
  </si>
  <si>
    <t>f/02112018/06161b3403c8483db3cc238fbd67e6ac.jpg</t>
  </si>
  <si>
    <t>COSTA RICA LOUNGE SET (2X CHAIR, BENCH)</t>
  </si>
  <si>
    <t>SERVAL LIGHT BROWN OLEFIN</t>
  </si>
  <si>
    <t xml:space="preserve">1. Tran Ngoc Nam Phuong(05-11-2018 04:19:15)
Please take HD pictures as email request
Required Color swatches:
3 x A4 panels Wood acacia Light teak look
3 x A4 fabric swatches Serval Light Brown
TARGET PRICE: $ 295,00
</t>
  </si>
  <si>
    <t>0/01122018/b65cac9b3aca434bb42f5539617447a3.jpg</t>
  </si>
  <si>
    <t>75/75/75</t>
  </si>
  <si>
    <t>160/75.5/75.5</t>
  </si>
  <si>
    <t>71.5/71.5/71.5</t>
  </si>
  <si>
    <t>27.4/14.4/14.4</t>
  </si>
  <si>
    <t>31.1/17.5/17.5</t>
  </si>
  <si>
    <t>158.5/78.5/78.5</t>
  </si>
  <si>
    <t>28/34/34</t>
  </si>
  <si>
    <t>3 FINISHED- Code: 20181102/DAN/001052/00000450/003</t>
  </si>
  <si>
    <t>20181102/DAN/001052/00000450/003</t>
  </si>
  <si>
    <t>e/27112018/6415e28682cf40a49cef2db3087ea65f.jpg</t>
  </si>
  <si>
    <t>2018-12-15</t>
  </si>
  <si>
    <t>LAVERTON PROMO DINING TABLE 160x90x76CM</t>
  </si>
  <si>
    <t xml:space="preserve">1. Tran Ngoc Nam Phuong(27-11-2018 04:48:07)
-PLEASE NOTE THIS SHOULD BE A PROMO ITEM OF THE ORIGINAL ONE
- PLEASE CHECK TD ATTACHED
-COSTPRICE SHOUL BE $125 - $ 128
-REQUIRED COLOR SWATCHES
  +3 x A4 panels Wood acacia Teak Look
</t>
  </si>
  <si>
    <t>9/17122018/91b894646d3244dea4b0ea552d56bdc0.jpg</t>
  </si>
  <si>
    <t>6 FINISHED- Code: 20181127/TEC/001052/00000450/006</t>
  </si>
  <si>
    <t>20181127/TEC/001052/00000450/006</t>
  </si>
  <si>
    <t>0/30032018/66a3fe2fa14140e2a8de28697d5fe6d0.jpg</t>
  </si>
  <si>
    <t>WISTON LOUNGE BENCH</t>
  </si>
  <si>
    <t>FRESH WHITE</t>
  </si>
  <si>
    <t xml:space="preserve">1. Tran Ngoc Nam Phuong(05-11-2018 04:19:15)
- Please take HD pictures as email request
- Required color swatches:
3 x A4 panels Wood acacia white
TARGET PRICE: $ 29,50
</t>
  </si>
  <si>
    <t>c/29112018/f0dc869b450d49fda0064e52a9267edb.jpg</t>
  </si>
  <si>
    <t>56.5</t>
  </si>
  <si>
    <t>115</t>
  </si>
  <si>
    <t>9.2</t>
  </si>
  <si>
    <t>113</t>
  </si>
  <si>
    <t>10</t>
  </si>
  <si>
    <t>1 FINISHED- Code: 20181102/DAN/001052/00000450/001</t>
  </si>
  <si>
    <t>20181102/DAN/001052/00000450/001</t>
  </si>
  <si>
    <t>4/17012019/bb8f7db60ee147bdbcd2ba7d8ccbccc2.jpg</t>
  </si>
  <si>
    <t>2019-01-22</t>
  </si>
  <si>
    <t>AMALFI LOUNGE SET</t>
  </si>
  <si>
    <t>FLAT</t>
  </si>
  <si>
    <t>TERRACOTTA</t>
  </si>
  <si>
    <t>POWDER COATED</t>
  </si>
  <si>
    <t>YES</t>
  </si>
  <si>
    <t xml:space="preserve">2. Ngo Duy Hung(17-01-2019 05:58:25)
COLOR SWATCH
- 7 X A4 PANELS ROPE FLAT TERRACOTTA WEAVING ON ALU TERRACOTTA
- 7 X A4 PANELS WOOD ACACIA LIGHT TEAK LOOK
- 7 X A4 FABRIC TERRACOTTA
- 7 X A4 PANELS STEEL POWDER COATED TERRACOTTA
1. Ngo Duy Hung(17-01-2019 05:58:25)
PLEASE MAKE SAMPLE AS ATTACHED RENDERING AND TD
TABLE TOP BY STEEL POWDER COATED TERRACOTTA
</t>
  </si>
  <si>
    <t>3/18042019/1e38f2f2af064ce38f1c39d753da9248.jpg</t>
  </si>
  <si>
    <t>2018-12-07</t>
  </si>
  <si>
    <t>Client B</t>
  </si>
  <si>
    <t>PI 41940VN</t>
  </si>
  <si>
    <t>46 ISSUED- Code: 20181224/TEC/001263/00000451/046</t>
  </si>
  <si>
    <t>20181224/TEC/001263/00000451/046</t>
  </si>
  <si>
    <t>2/05112018/d7cfc01c25aa4e41a6921653dd02f0df.jpg</t>
  </si>
  <si>
    <t>2019-01-10</t>
  </si>
  <si>
    <t>BAHIA BENCH</t>
  </si>
  <si>
    <t>ACACIA FSC 100%</t>
  </si>
  <si>
    <t>NO</t>
  </si>
  <si>
    <t>OLIVE GREEN</t>
  </si>
  <si>
    <t xml:space="preserve">3. Ngo Duy Hung(28-12-2018 06:05:13)
COLOR SWATCH (SIZE A4 AND 30CM LONG TUBE FOR FRAME)
7 X WOOD ACACIA LIGHT TEAK LOOK
7 X FABRIC OLIVE GREEN COLOR
2. (24-12-2018 09:13:17)
make new cushion in New Olive Green
1. (05-11-2018 10:51:41)
- Wood Acacia Light Teak Look
- Cushion Royal Stone Green
</t>
  </si>
  <si>
    <t>5/31012019/c90ab1bf763c44858f18115f54d963d2.jpg</t>
  </si>
  <si>
    <t>43/47</t>
  </si>
  <si>
    <t>7.2</t>
  </si>
  <si>
    <t>126</t>
  </si>
  <si>
    <t>8 FINISHED- Code: 20181105/ROS/001263/00000451/008</t>
  </si>
  <si>
    <t>20181105/ROS/001263/00000451/008</t>
  </si>
  <si>
    <t>c/05112018/2bdc79b165fb44c98eab68f3b28ef84d.jpg</t>
  </si>
  <si>
    <t>WITH STRINGS TO TIGHTEN, NO PIPING</t>
  </si>
  <si>
    <t>ECRU</t>
  </si>
  <si>
    <t xml:space="preserve">3. Ngo Duy Hung(28-12-2018 06:57:36)
COLOR SWATCH (SIZE A4 AND 30CM LONG TUBE FOR FRAME)
7 X WOOD ACACIA LIGHT TEAK LOOK
7 X FABRIC ECRU
2. (24-12-2018 09:13:17)
Sample to return to the factory because the client requests to modify as below:
- Make the legs tapered (to pass drop at 40 cm angle)
- Add a seat cushion (with strings to tighten the cushion) with Ecru fabric, no piping
1. (05-11-2018 10:51:41)
MAKE STRONGER AND NOT WOBBLY
</t>
  </si>
  <si>
    <t>d/27052019/d5f8010f6aca4312bb56d183c34efc6a.jpg</t>
  </si>
  <si>
    <t>9 FINISHED- Code: 20181105/PAL/001263/00000451/009</t>
  </si>
  <si>
    <t>20181105/PAL/001263/00000451/009</t>
  </si>
  <si>
    <t>8/05112018/232837aad2b149c3a7055ed0f806d7b6.jpg</t>
  </si>
  <si>
    <t>BLAKES DINING TABLE 220CM</t>
  </si>
  <si>
    <t xml:space="preserve">1. Ngo Duy Hung(28-12-2018 06:57:36)
COLOR SWATCH (SIZE A4 AND 30CM LONG TUBE FOR FRAME)
7 X WOOD ACACIA LIGHT TEAK LOOK
7 X POLYSTONE CONCRETE LOOK
</t>
  </si>
  <si>
    <t>a/10122018/bb7d5f7d63aa4f338404c28427359fd4.jpg</t>
  </si>
  <si>
    <t>220</t>
  </si>
  <si>
    <t>233/91</t>
  </si>
  <si>
    <t>113/85</t>
  </si>
  <si>
    <t>24/20</t>
  </si>
  <si>
    <t>16 SAMPLE APPROVED- Code: 20181105/APH/001263/00000451/016</t>
  </si>
  <si>
    <t>20181105/APH/001263/00000451/016</t>
  </si>
  <si>
    <t>7/11022019/d3e70c1d67dc4e158082e923ff72b2a7.jpg</t>
  </si>
  <si>
    <t>2019-02-23</t>
  </si>
  <si>
    <t>CANBERRA LOUNGE CORNER SET</t>
  </si>
  <si>
    <t>ROYAL SAND</t>
  </si>
  <si>
    <t xml:space="preserve">3. Ngo Duy Hung(11-02-2019 03:28:49)
COLOR SWATCH
7 X A4 PANELS WOOD ACACIA LIGHT TEAK LOOK
7 X A4 FABRIC ROYAL SAND
2. (24-12-2018 09:13:18)
Sample to return to the factory as client requests to modify as below:
- Change legs to 9 x 9 CM width, height as TD
- Increase the depth of the seat to 77CM
- Make back cushions as pillows (real pillow shape) 50 x 50 CM with piping (positioned over each other, not next to each other)
- Seat cushion should have the fluffy look as the Bakersfield Bench, it should have the comfortable look but should be also comfortable
- Cushion color should be Royal Sand
- See rendering + TD
1. (05-11-2018 11:56:36)
- Without side panels
- Make legs more in shape with the rest of the set(thicker). Should fit in the design
- Make back closed
- Make without table
-TD enclosed
</t>
  </si>
  <si>
    <t>0/14052019/616e5cc0ee54498cb9c299a3c4f71d11.jpg</t>
  </si>
  <si>
    <t>85/154/154</t>
  </si>
  <si>
    <t>85/85/85</t>
  </si>
  <si>
    <t>56.5/56.5/56.5</t>
  </si>
  <si>
    <t>3 boxes</t>
  </si>
  <si>
    <t>95/95/95</t>
  </si>
  <si>
    <t>95/164/164</t>
  </si>
  <si>
    <t>55/55/55</t>
  </si>
  <si>
    <t>17 FINISHED- Code: 20181105/ROS/001263/00000451/017</t>
  </si>
  <si>
    <t>20181105/ROS/001263/00000451/017</t>
  </si>
  <si>
    <t>c/12112018/82400092fc4d49f39ad22c73ba0e1ed8.jpg</t>
  </si>
  <si>
    <t>COFFEE TABLE</t>
  </si>
  <si>
    <t xml:space="preserve">1. Ngo Duy Hung(28-12-2018 09:17:30)
COLOR SWATCH SIZE A4
7 X POLYSTONE CONCRETE LOOK
7 X WOOD ACACIA LIGHT TEAK LOOK
</t>
  </si>
  <si>
    <t>6/07122018/7664d8b86f3447bdab6463414952bc06.jpg</t>
  </si>
  <si>
    <t>37 SAMPLE APPROVED- Code: 20181112/APH/001263/00000451/037</t>
  </si>
  <si>
    <t>20181112/APH/001263/00000451/037</t>
  </si>
  <si>
    <t>6/05112018/73254bba44fe4d53a85c33c767658e0e.jpg</t>
  </si>
  <si>
    <t>COSTA RICA LOUNGE SET</t>
  </si>
  <si>
    <t>FADED WHITE</t>
  </si>
  <si>
    <t>SERVAL LIGHT BROWN</t>
  </si>
  <si>
    <t xml:space="preserve">1. (05-11-2018 11:56:36)
Make set in natural white color (light teak look is not white enough)
</t>
  </si>
  <si>
    <t>d/07122018/3231a933a7de4e8e85170e1b8b30c157.jpg</t>
  </si>
  <si>
    <t>75/75/75/60</t>
  </si>
  <si>
    <t>160/75.5/75.5/100</t>
  </si>
  <si>
    <t>71.5/71.5/71.5/35</t>
  </si>
  <si>
    <t>26.6/14.3/14.3/11</t>
  </si>
  <si>
    <t>31.5/17.4/17.4/12.9</t>
  </si>
  <si>
    <t>161.5/81.5/81.5/106</t>
  </si>
  <si>
    <t>78/78/78/66</t>
  </si>
  <si>
    <t>31/37/37/13</t>
  </si>
  <si>
    <t>19 FINISHED- Code: 20181105/ROS/001263/00000451/019</t>
  </si>
  <si>
    <t>20181105/ROS/001263/00000451/019</t>
  </si>
  <si>
    <t>c/05112018/7e4abc90ab1c4c98b39315f68c8c3c7e.jpg</t>
  </si>
  <si>
    <t>DELHI LOUNGE CHAIR CALA BASSA</t>
  </si>
  <si>
    <t>LIGHT BAMBOO</t>
  </si>
  <si>
    <t xml:space="preserve">3. Ngo Duy Hung(04-03-2019 13:52:31)
PLEASE KEEP THE CURRENT K.D VERSION AND MAKE 1 MORE CHAIR IN FIXED VERSION
2. (24-12-2018 09:13:17)
Sample to return to the factory because client requests to change as below:
- Sample is made as KD, should be made Fixed as original ordered Delhi Lounge Chair (wicker covered to outside of arm frame)
- The color of Light Bamboo is not nice, it is too pink. It should be changed to the selected Light Bamboo wicker (see attached swatch DR 10MM Light Bamboo)
- The wooden color Light Teak Look is no correct and should be made smooth as the original Light Teak Look
1. (05-11-2018 10:40:48)
- Make Delhi Lounge Chair with weaving as picture (Cala Bassa weaving)
- Color as Light Bamboo
</t>
  </si>
  <si>
    <t>6/14052019/8a16dc33fd394004bf03a835c6569ac7.jpg</t>
  </si>
  <si>
    <t>11.5</t>
  </si>
  <si>
    <t>6 FINISHED- Code: 20181105/ROS/001263/00000451/006</t>
  </si>
  <si>
    <t>20181105/ROS/001263/00000451/006</t>
  </si>
  <si>
    <t>3/05112018/68a626bda4364cb58c5fb7d8244a4a45.jpg</t>
  </si>
  <si>
    <t>DELHI LOUNGE CHAIR PATTERN WEAVE</t>
  </si>
  <si>
    <t xml:space="preserve">LIGHT TEAK  LOOK</t>
  </si>
  <si>
    <t xml:space="preserve">4. Ngo Duy Hung(04-03-2019 13:52:31)
PLEASE MAKE 1 MORE CHAIR WITH K.D VERSION
3. Ngo Duy Hung(28-12-2018 06:05:13)
COLOR SWATCH (SIZE A4 AND 30CM LONG TUBE FOR FRAME)
7 X WICKER LIGHT BAMBOO PATTERN WEAVE
7 X WOOD ACACIA LIGHT TEAK LOOK
2. (24-12-2018 09:13:17)
Sample to return to the factory because client requests to change the color of wicker::
- The color of Light Bamboo is not nice, it is too pink. It should be changed to the selected Light Bamboo wicker (see swatch DR 10MM Light Bamboo)
- See attached picture of wicker's color
1. (05-11-2018 10:40:48)
- Delhi Lounge Chair in pattern weave as picture
- Color as Light Bamboo
</t>
  </si>
  <si>
    <t>1/20022019/591d7ded0e164b0183f66c853928a912.jpg</t>
  </si>
  <si>
    <t>5 FINISHED- Code: 20181105/PAL/001263/00000451/005</t>
  </si>
  <si>
    <t>20181105/PAL/001263/00000451/005</t>
  </si>
  <si>
    <t>5/05112018/6a6ce0441e7a44b89e187da8d8860255.jpg</t>
  </si>
  <si>
    <t>DELHI LOUNGE CHAIR WITH NEWTON PATTERN</t>
  </si>
  <si>
    <t>TWISTED WEAVE</t>
  </si>
  <si>
    <t>NATURAL</t>
  </si>
  <si>
    <t xml:space="preserve">3. Ngo Duy Hung(28-12-2018 06:57:36)
COLOR SWATCH (SIZE A4 AND 30CM LONG TUBE FOR FRAME)
7 X TWISTED BANANA LEAF COLOR NATURAL
2. (24-12-2018 09:13:18)
Sample to return to the factory, 
The wooden color Light Teak Look is no correct and should be made smooth as the original Light Teak Look
1. (05-11-2018 11:56:36)
- Make Delhi Lounge Chair with Newton Pattern Twisted Weave Natural
- Wood Acacia Light Teak Look
</t>
  </si>
  <si>
    <t>3/14052019/1e410666d3eb4ef0b4cf314ce42287ce.jpg</t>
  </si>
  <si>
    <t>14</t>
  </si>
  <si>
    <t>20 FINISHED- Code: 20181105/ROS/001263/00000451/020</t>
  </si>
  <si>
    <t>20181105/ROS/001263/00000451/020</t>
  </si>
  <si>
    <t>0/25012019/55a82522afa0464d88e9c7bd2c184e05.jpg</t>
  </si>
  <si>
    <t>DELHI SUNBED</t>
  </si>
  <si>
    <t>FLAT 25MM</t>
  </si>
  <si>
    <t>CHARCOAL</t>
  </si>
  <si>
    <t>ONLY HEAD CUSHION AS ON RENDERING</t>
  </si>
  <si>
    <t>ROYAL DARK GREY</t>
  </si>
  <si>
    <t xml:space="preserve">3. Ngo Duy Hung(28-12-2018 08:22:14)
COLOR SWATCH (SIZE A4 AND 30CM LONG TUBE FOR FRAME)
7 X WICKER FLAT 25MM CHARCOAL
7 X FABRIC ROYAL STONE GREY
7 X FABRIC ROYAL DARK GREY
7 X OFF WHITE
7 X WOOD ACACIA TEAK LOOK
2. (24-12-2018 09:13:18)
Sample to return to the factory as client requests to change as below:
- The edges of the wood should be more rounded as the Delhi Lounge Chair:
- Make in Wicker Flat 25MM Charcoal as the current Delhi Lounge Chair
- Change width, inside dimension (mattress): width 65 CM
- Add a mattress with Royal Stone Grey Fabric. Thickness should be thin, as sample of Bahia Wooden Bench (4cm)
- Add a head cushion (as rendering) with Royal Stone Grey Fabric
- Make 1 cushion in Royal Dark Grey cushion and make 1 cushion in ROYAL STONE GREY
- See rendering + TD
1. (05-11-2018 12:20:15)
- Wood Acacia Teak Look
- Wicker Flat 25MM Charcoal
- If possible KD to save loading
- W: 195CM D: 85CM H: around 42CM
- Including head cushion, removable cover (polyester grade 6, water repellent) 50 x 30 x H 13 CM
- TD enclosed
</t>
  </si>
  <si>
    <t>0/14052019/6e79176634224752b530ecc8f08d18be.jpg</t>
  </si>
  <si>
    <t>195</t>
  </si>
  <si>
    <t>42.5</t>
  </si>
  <si>
    <t>28</t>
  </si>
  <si>
    <t>205</t>
  </si>
  <si>
    <t>19.5</t>
  </si>
  <si>
    <t>28 FINISHED- Code: 20181105/ROS/001263/00000451/028</t>
  </si>
  <si>
    <t>20181105/ROS/001263/00000451/028</t>
  </si>
  <si>
    <t>1/24122018/711ddeffff704259aab3eb4437720545.jpg</t>
  </si>
  <si>
    <t>2019-02-22</t>
  </si>
  <si>
    <t>DINING CHAIR</t>
  </si>
  <si>
    <t>AS PICTURE</t>
  </si>
  <si>
    <t>OFF WHITE &amp; BLACK</t>
  </si>
  <si>
    <t>1 PC ROYAL DARK GREY &amp; 1 PC IN OFF WHITE</t>
  </si>
  <si>
    <t xml:space="preserve">2. Ngo Duy Hung(28-12-2018 09:43:06)
COLOR SWATCH SIZE A4
7 X WICKER BLACK &amp; OFF WHITE PATTERN WEAVE AS SAMPLE CHAIR
1. (24-12-2018 09:13:18)
MAKE SHAPE AS PROJECT #26 BUT DIFFERENT WEAVING AS REF PHOTO
</t>
  </si>
  <si>
    <t>1/19022019/473ee9952e5d49f08601cbed120adbe4.jpg</t>
  </si>
  <si>
    <t>41 FINISHED- Code: 20181224/PAL/001263/00000451/041</t>
  </si>
  <si>
    <t>20181224/PAL/001263/00000451/041</t>
  </si>
  <si>
    <t>b/05112018/d30460527dc04397a029718998b1799e.jpg</t>
  </si>
  <si>
    <t>GILI CHAIR</t>
  </si>
  <si>
    <t>ROUND 7MM</t>
  </si>
  <si>
    <t xml:space="preserve">3. Ngo Duy Hung(28-12-2018 06:59:35)
COLOR SWATCH (SIZE A4 AND 30CM LONG TUBE FOR FRAME)
7 X WICKER ROUND 7MM RATTAN MIXED NATURAL
7 X ALU FRAME POWDER COATED BLACK
2. (24-12-2018 06:57:55)
Sample to return to the factory because client requests to modify as below:
- Option 1 (first sample) has been chosen
- Make the chair 5 CM less deep
- Weaving as attached chair
1. (05-11-2018 12:13:10)
- Wicker round Rattan Mixed Natural
- Powder Coated Black Alu frame and legs
- Please rework the shape of the current model
- W: 83 D: 85 H: 95 CM
- TD enclosed
</t>
  </si>
  <si>
    <t>7/28012019/4def64ec46d94d42b94c4b214f633980.jpg</t>
  </si>
  <si>
    <t>82.5</t>
  </si>
  <si>
    <t>84.5</t>
  </si>
  <si>
    <t>99.5</t>
  </si>
  <si>
    <t>26 FINISHED- Code: 20181105/PAL/001263/00000451/026</t>
  </si>
  <si>
    <t>20181105/PAL/001263/00000451/026</t>
  </si>
  <si>
    <t>b/05112018/351c775b884146449e9386fe65a0534f.jpg</t>
  </si>
  <si>
    <t>HONOLULU DINING CHAIR</t>
  </si>
  <si>
    <t>5 MM</t>
  </si>
  <si>
    <t>TERRACOTTA COLOUR PANTONE 18-1346 TPG</t>
  </si>
  <si>
    <t>TERRACOTTA MATCHING WICKER ROPE COLOR</t>
  </si>
  <si>
    <t xml:space="preserve">3. Ngo Duy Hung(28-12-2018 05:07:53)
COLOR SWATCH (SIZE A4 AND 30CM LONG TUBE FOR FRAME)
7 X WICKER ROPE TERRACOTA
7 X FABRIC TERRACOTA COLOR
7 X WOOD ACACIA LIGHT TEAK LOOK
2. (24-12-2018 06:57:54)
Sample to return to the factory because client wants to modify as below:
- Increase height of the back with 2,5 CM
- Increase the pitch to 70 CM
- Seat cushion changed to Terracotta with same pantone as wicker rope
1. (05-11-2018 09:56:47)
- Make in Wicker Rope (terracotta color)
- Legs as Stafford / Costa Rica Dining Chair (MDM)
- Weaving more twisted as right chair on picture
- TD enclosed
</t>
  </si>
  <si>
    <t>6/19022019/dbe1b7a4aa664b728f33ea284267326a.jpg</t>
  </si>
  <si>
    <t>2 FINISHED- Code: 20181105/PAL/001263/00000451/002</t>
  </si>
  <si>
    <t>20181105/PAL/001263/00000451/002</t>
  </si>
  <si>
    <t>2019-04-04</t>
  </si>
  <si>
    <t>HONOLULU DINING CHAIR OLIVE GREEN</t>
  </si>
  <si>
    <t>OLIVE GREEN 240</t>
  </si>
  <si>
    <t xml:space="preserve">2. Ngo Duy Hung(01-04-2019 06:18:52)
COLOR SWATCH
7 X PANELS ROPE 4.5MM OLIVE GREEN
7 X A4 FABRIC OLIVE GREEN
7 X WOOD ACACIA LIGHT TEAK LOOK
1. Ngo Duy Hung(28-03-2019 05:58:09)
MAKE AS HONOLULU DINING CHAIR TERRA COTTA
</t>
  </si>
  <si>
    <t>d/18042019/6a041290e93449208e7fb1c996bcbf64.jpg</t>
  </si>
  <si>
    <t>50 ISSUED- Code: 20190328/PAL/001263/00000451/050</t>
  </si>
  <si>
    <t>20190328/PAL/001263/00000451/050</t>
  </si>
  <si>
    <t>5/24122018/4d67fe84fba84e8e9b28ec0e23bd0fd1.jpg</t>
  </si>
  <si>
    <t>HONOLULU LOUNGE BENCH, BEIGE</t>
  </si>
  <si>
    <t>4.5 MM</t>
  </si>
  <si>
    <t>ROUNDED, NO PIPING</t>
  </si>
  <si>
    <t>SQUARE BACK CUSHION, PILLOW SHAPE</t>
  </si>
  <si>
    <t xml:space="preserve">1. Ngo Duy Hung(28-12-2018 09:17:30)
MODIFICATION AS THE BENCH IN LIGHT GREY
2. Ngo Duy Hung(28-12-2018 09:17:30)
COLOR SWATCH SIZE A4
7 X ROPE 4.5MM BEIGE
7 X FABRIC ROYAL SAND
</t>
  </si>
  <si>
    <t>4/19022019/538b8ab4014d4105807fa3ccee6d5499.jpg</t>
  </si>
  <si>
    <t>39 FINISHED- Code: 20181224/PAL/001263/00000451/039</t>
  </si>
  <si>
    <t>20181224/PAL/001263/00000451/039</t>
  </si>
  <si>
    <t>0/24122018/342bf0fd4f184332a5ee4d08d7619d21.jpg</t>
  </si>
  <si>
    <t>HONOLULU LOUNGE BENCH, TERRACOTTA</t>
  </si>
  <si>
    <t xml:space="preserve">1. Ngo Duy Hung(28-12-2018 09:17:30)
SAME MODIFICATION AS THE BENCH IN LIGHT GREY
2. Ngo Duy Hung(28-12-2018 09:17:30)
COLOR SWATCH SIZE A4
7 X WICKER ROPE 4.5MM TERRACOTA
7 X FABRIC TERRACOTA COLOR
</t>
  </si>
  <si>
    <t>6/19022019/033ce3ffdda142378dc490efba041b4d.jpg</t>
  </si>
  <si>
    <t>38 FINISHED- Code: 20181224/PAL/001263/00000451/038</t>
  </si>
  <si>
    <t>20181224/PAL/001263/00000451/038</t>
  </si>
  <si>
    <t>7/05112018/b05057334e264d2eabdc5e92287fbea4.jpg</t>
  </si>
  <si>
    <t>HONOLULU LOUNGE SET - Sofa + armchair (it’s not a set)</t>
  </si>
  <si>
    <t>PP 4.5 MM</t>
  </si>
  <si>
    <t>428C</t>
  </si>
  <si>
    <t>SEAT CUSHION ROUNDED AS PICTURE - NO PIPING</t>
  </si>
  <si>
    <t xml:space="preserve">SQUARED BACK  CUSHIONS - NO  PIPING</t>
  </si>
  <si>
    <t>ROYAL SAND (2 SIDE CUSHIONS 50x50 CM IN ROYAL STONE GREY)</t>
  </si>
  <si>
    <t xml:space="preserve">3. Ngo Duy Hung(28-12-2018 04:51:20)
COLOR SWATCH (SIZE A4 AND 30CM LONG TUBE FOR FRAME)
7 X ROPE LIGHT GREY
7 X FABRIC ROYAL SAND
7 X FABRIC ROYAL STONE GREY
2. (24-12-2018 06:57:54)
Sample to return to the factory because client requests to modify as below:
- Revise dimensions:
Bench width: 210 CM
Back 4 CM higher, begin arm at same height but keep the same curve
- Light Grey color Rope is OK
- Change shape of the pillows, should be a real pillow shape (as made for Lenco) as attached photo
- Make cushions as requested, comfort look of original should be followed as well
- Make 2 sets of cushions in Royal Sand and Royal Stone Grey
1. (05-11-2018 09:22:17)
- Wood Acacia Light Teak Look
- Rope Grey 428C
- Cushions Royal Sand
- Seat cushion should be rounded as below picture, no pipiping
- Squared back cushions
- Side cushions Royal Stone Grey
- Make Honolulu sofa + armchair as picture, total width 185 CM. Depth 85 CM
</t>
  </si>
  <si>
    <t>e/19022019/9194bbba1ebc4204b30cef2b6181d70f.jpg</t>
  </si>
  <si>
    <t>1 FINISHED- Code: 20181105/PAL/001263/00000451/001</t>
  </si>
  <si>
    <t>20181105/PAL/001263/00000451/001</t>
  </si>
  <si>
    <t>f/07112018/e018f9f4ec3544d88112e6363e8e82b3.jpg</t>
  </si>
  <si>
    <t>HONOLULU ROUND BED</t>
  </si>
  <si>
    <t>ROUNDED WITHOUT PIPING</t>
  </si>
  <si>
    <t>SQUARED BACK CUSHIONS</t>
  </si>
  <si>
    <t xml:space="preserve">3. Ngo Duy Hung(08-03-2019 05:26:35)
PLEASE REVISE COLOR TO WICKER ROPE BEIGE, BRAIDED OUTDOOR AT SEAT SHOULD MATCH WICKER ROPE COLOR
2. (24-12-2018 06:57:55)
Sample to return to the factory because client wants to adjust as below:
- Change shape of the pillows, should be a real pillow shape
- Make with 4 big pillows 50 x 50 CM
- Make with 4 small pillows 45 x 45 CM
- Pillows should be 50% in Royal Sand and 50% in Royal Stone Grey
- Make two cushion sets
- Make the end less sharp as below, add 20CM more
- See rendering + TD
1. (07-11-2018 14:28:36)
DIAMETER 150CM
TD ENCLOSED
</t>
  </si>
  <si>
    <t>4/19022019/54ab567449234fa1953dc83c13d7a9b5.jpg</t>
  </si>
  <si>
    <t>31 FINISHED- Code: 20181107/PAL/001263/00000451/031</t>
  </si>
  <si>
    <t>20181107/PAL/001263/00000451/031</t>
  </si>
  <si>
    <t>o/01042019/4f1acb4990fd4888ae9ce35a98a6a02e.jpeg</t>
  </si>
  <si>
    <t>2019-04-06</t>
  </si>
  <si>
    <t>HONOLULU ROUND BED TERRA COTTA</t>
  </si>
  <si>
    <t>TERRA COTTA</t>
  </si>
  <si>
    <t>AS SAMPLE BEFORE</t>
  </si>
  <si>
    <t>AS REMARK</t>
  </si>
  <si>
    <t xml:space="preserve">1. Ngo Duy Hung(01-04-2019 06:18:52)
BACK CUSHION: 4X PILLOWS 45X45CM, 4X PILLOWS 50X50CM (POINTED CORNER)
</t>
  </si>
  <si>
    <t>4/27052019/7094f5e884144cf89f2397305e068f59.jpg</t>
  </si>
  <si>
    <t>52 FINISHED- Code: 20190401/PAL/001263/00000451/052</t>
  </si>
  <si>
    <t>20190401/PAL/001263/00000451/052</t>
  </si>
  <si>
    <t>9/12112018/8023ae907226434dba5ff40d8776a048.jpg</t>
  </si>
  <si>
    <t>KENT LOUNGE TABLES</t>
  </si>
  <si>
    <t xml:space="preserve">2. Ngo Duy Hung(28-12-2018 06:57:36)
COLOR SWATCH (SIZE A4 AND 30CM LONG TUBE FOR FRAME)
7 X WOOD ACACIA LIGHT TEAK LOOK
1. (05-11-2018 11:56:36)
- Wood Acacia Light Teak Look
- Make 60CM table and 80CM table. Standard dimensions
- Make slats wider (double)
</t>
  </si>
  <si>
    <t>0/05122018/8326131a7b3c464c822e25d865185d11.jpg</t>
  </si>
  <si>
    <t>15 SAMPLE APPROVED- Code: 20181105/ROS/001263/00000451/015</t>
  </si>
  <si>
    <t>20181105/ROS/001263/00000451/015</t>
  </si>
  <si>
    <t>b/05112018/650b218bcc7b410d9e9c5f77ae428581.jpg</t>
  </si>
  <si>
    <t>LENCO PROMO (SOFA + ARMCHAIR)</t>
  </si>
  <si>
    <t>FLAT PILLOW LOOK AS REMARK</t>
  </si>
  <si>
    <t xml:space="preserve">3. Ngo Duy Hung(28-12-2018 06:05:13)
COLOR SWATCH (SIZE A4 AND 30CM LONG TUBE FOR FRAME)
7 X WICKER DOUBLE ROUND LIGHT BAMBOO WEAVING ON ALU FRAME LIGHT BAMBOO
7 X FABRIC ROYAL SAND
2. (24-12-2018 06:57:54)
Just to modify cushions:
- Shape and size of current sample is ok
- No back cushions needed
- Change seat cushion to a flat pillow look like cushion (no piping) as attached
1. (05-11-2018 10:21:34)
- Make Lenco Promo Stackable Set in the original Lenco Shape
- Color in Light Bamboo
- Cushions in Royal Sand
- Chair should have 2 backcushions (square)
- Bench should have 5 back cushions (square)
</t>
  </si>
  <si>
    <t>c/28012019/cccf714692a4425e925b85fb52ecf6bb.jpg</t>
  </si>
  <si>
    <t>77.5/77.5</t>
  </si>
  <si>
    <t>76/152</t>
  </si>
  <si>
    <t>79/79</t>
  </si>
  <si>
    <t>7/13</t>
  </si>
  <si>
    <t>168</t>
  </si>
  <si>
    <t>3 FINISHED- Code: 20181105/APO/001263/00000451/003</t>
  </si>
  <si>
    <t>20181105/APO/001263/00000451/003</t>
  </si>
  <si>
    <t>f/17012019/384f993885884d878c6b4cc980858a51.jpg</t>
  </si>
  <si>
    <t>LEONARDO LOUNGE SET 1263 (2X CHAIRS, 1X BENCH, NO TABLE)</t>
  </si>
  <si>
    <t>SQUARE PILLOWS 50X50CM</t>
  </si>
  <si>
    <t xml:space="preserve">3. Ngo Duy Hung(17-01-2019 05:14:14)
COLOR SWATCH:
- 7 X A4 PANELS WICKER ROUND 10MM RATTAN MIXED NATURAL
- 7 X ALU TUBE 30CM POWDER COATED BLACK
- 7 X A4 FABRIC ROYAL DARK GREY
2. (24-12-2018 06:57:55)
Sample to return to the factory because client wants to modify as below:
- Make only lounge set, instead of corner set:
- Cushions should be in Royal Dark Grey
- Back cushions of the bench should be with square pillows of 50 x 50 CM and pointed corners as attached photo (positioning of the pillows should also be in front of each other as rendering)
- See rendering + TD
- No coffee table, only bench and 2 chairs
1. (05-11-2018 11:56:36)
- Make corner set + chair
- Legs should be more in shape with the rest of the set. In black and as below idea (without the big feet)
- Send rendering first
- Make with big square back cushions as picture
- Frame in Powder Coated Black
- Weaving in Round 10MM Rattan Mixed Natural
- Skip wood, no use of wood to save costs
- Cushions Royal Dark Grey
-TD added
</t>
  </si>
  <si>
    <t>5/14122018/fe78b4d452914ca4880a60f4e4dd88bb.jpg</t>
  </si>
  <si>
    <t>18 ISSUED- Code: 20181105/PAL/001263/00000451/018</t>
  </si>
  <si>
    <t>20181105/PAL/001263/00000451/018</t>
  </si>
  <si>
    <t>3/01042019/3333d25f1c6b4b7b8d0ee1b645b26ac3.jpg</t>
  </si>
  <si>
    <t>2019-04-12</t>
  </si>
  <si>
    <t>LILLE DINING CHAIR 1263</t>
  </si>
  <si>
    <t xml:space="preserve">2. Ngo Duy Hung(04-04-2019 04:51:25)
PLEASE MAKE SEAT CUSHION SAME AS LILLE LOUNGE SET, SEE ATTACHED PHOTO
1. An Huyen Cao(02-04-2019 17:37:46)
SHR WILL SEND SAMPLE OUT TO ROS. 
NOTE TO MAKE FOLLOWING ADJUSTMENTS:
-	Use tube 19mm
-	Put the vertical ropes completely between the cross rope
</t>
  </si>
  <si>
    <t>0/17042019/6d6a94538b5349d6b0d755119ac1641e.jpg</t>
  </si>
  <si>
    <t>8.5</t>
  </si>
  <si>
    <t>51 ISSUED- Code: 20190401/ROS/001263/00000451/051</t>
  </si>
  <si>
    <t>20190401/ROS/001263/00000451/051</t>
  </si>
  <si>
    <t>2/16012019/e5daafd82d454f32a18d0cb8fe0af55d.jpg</t>
  </si>
  <si>
    <t>LILLE LOUNGE SET (SOFA + ARMCHAIR)</t>
  </si>
  <si>
    <t>4.5MM PP</t>
  </si>
  <si>
    <t>AS RENDERING</t>
  </si>
  <si>
    <t xml:space="preserve">4. Ngo Duy Hung(08-03-2019 05:26:35)
THE WEAVING SHOULD BE DOUBLE ROPE WEAVING
3. Ngo Duy Hung(16-01-2019 08:47:04)
COLOR SWATCH:
- 7 X A4 PANELS ROPE 4.5MM OLIVE GREEN
- 7 X A4 PANELS WOOD ACACIA TEAK LOOK
- 7 X A4 FABRIC OLIVE GREEN
2. (24-12-2018 06:57:54)
Sample to return to the factory because client requests to modify.
- Please revise sample as attached rendering: rope 4.5mm Olive Green, Wood Acacia Teak Look, cushion fabric Olive Green
1. (05-11-2018 10:21:34)
- Squared cane weaving (birdseye weave) in natural color
- Only 1 layer of cane weaving
- Cushions in Royal Grey
- Wood Acacia Light Teak Look
- Add 5 back cushions (40x40cm)
</t>
  </si>
  <si>
    <t>f/14052019/8919ae1d79f840f4a7a783c348b827e5.jpg</t>
  </si>
  <si>
    <t>178</t>
  </si>
  <si>
    <t>188</t>
  </si>
  <si>
    <t>4 FINISHED- Code: 20181105/ROS/001263/00000451/004</t>
  </si>
  <si>
    <t>20181105/ROS/001263/00000451/004</t>
  </si>
  <si>
    <t>e/24122018/c3fc363425e54aafa2e746fe8261460d.jpg</t>
  </si>
  <si>
    <t>MANCHESTER SUNLOUNGER</t>
  </si>
  <si>
    <t>4/14052019/5bc7f7a5fcd647638d6b44b8d2218add.jpg</t>
  </si>
  <si>
    <t>20.5</t>
  </si>
  <si>
    <t>25</t>
  </si>
  <si>
    <t>206</t>
  </si>
  <si>
    <t>15.5</t>
  </si>
  <si>
    <t>43 FINISHED- Code: 20181224/ROS/001263/00000451/043</t>
  </si>
  <si>
    <t>20181224/ROS/001263/00000451/043</t>
  </si>
  <si>
    <t>e/24122018/f7f6d9b712594dbf849401428df81756.jpg</t>
  </si>
  <si>
    <t>METZ ETAGERE (SHELF) PROMO 52 x 39 x 95 cm</t>
  </si>
  <si>
    <t>e/18022019/f243700654e7415e8ca807e84e39691b.jpg</t>
  </si>
  <si>
    <t>4.6</t>
  </si>
  <si>
    <t>42 FINISHED- Code: 20181224/DAN/001263/00000451/042</t>
  </si>
  <si>
    <t>20181224/DAN/001263/00000451/042</t>
  </si>
  <si>
    <t>8/24122018/9e3d4fd644774fd2bf9a7761e7ecf33a.jpg</t>
  </si>
  <si>
    <t>NEW DINING CHAIR</t>
  </si>
  <si>
    <t>BANANA LEAF</t>
  </si>
  <si>
    <t>MIXED LIGHT BROWN</t>
  </si>
  <si>
    <t>PURE WHITE</t>
  </si>
  <si>
    <t xml:space="preserve">2. Ngo Duy Hung(11-02-2019 03:28:49)
COLOR SWATCH
7 X A4 PANELS WICKER 4.5MM BANANA LEAF MIXED LIGHT BROWN
7 X A4 PANELS WOOD ACACIA LIGHT TEAK LOOK
1. An Huyen Cao(07-02-2019 15:30:59)
target price $50 - $55 including ID 1263 requirements + Packaging standard
</t>
  </si>
  <si>
    <t>d/25032019/46d17af394594692ba0251e8c14bb586.jpg</t>
  </si>
  <si>
    <t>7</t>
  </si>
  <si>
    <t>45 ISSUED- Code: 20181224/APO/001263/00000451/045</t>
  </si>
  <si>
    <t>20181224/APO/001263/00000451/045</t>
  </si>
  <si>
    <t>5/05112018/1bfb4679540b4f3c93e34c29d6e77c87.jpg</t>
  </si>
  <si>
    <t>NEW ROUND TABLE DINING 90 CM</t>
  </si>
  <si>
    <t xml:space="preserve">2. Ngo Duy Hung(28-12-2018 06:57:36)
COLOR SWATCH (SIZE A4 AND 30CM LONG TUBE FOR FRAME)
7 X WOOD ACACIA LIGHT TEAK LOOK
1. (24-12-2018 09:13:17)
Sample to return to the factory because the clients requests to change as below:
- Design is OK
- Color should be changed into Light Teak Look (as close as possible to the original color)
- The lamination should be done nicer, it is now all in 1 line, but not exactly the same. There should be a bigger difference
</t>
  </si>
  <si>
    <t>c/27052019/e70818bf696041ca9763fd487ea4f3ed.jpg</t>
  </si>
  <si>
    <t>10 FINISHED- Code: 20181105/ROS/001263/00000451/010</t>
  </si>
  <si>
    <t>20181105/ROS/001263/00000451/010</t>
  </si>
  <si>
    <t>7/24122018/d4b29e84ef5c466493b892b29ded88c1.jpg</t>
  </si>
  <si>
    <t>OUTDOOR KITCHEN 1 DOOR</t>
  </si>
  <si>
    <t xml:space="preserve">2. Ngo Duy Hung(01-02-2019 05:00:31)
PLEASE FOLLOW ATTACHED TD
1. (24-12-2018 10:13:22)
Make sample with wood Acacia Light Teak Look and Polystone Concrete Look top
</t>
  </si>
  <si>
    <t>6/08032019/da68c39132a54b159940ddb50a00ff76.jpg</t>
  </si>
  <si>
    <t>73/75</t>
  </si>
  <si>
    <t>99/74</t>
  </si>
  <si>
    <t>25/22</t>
  </si>
  <si>
    <t>13 ISSUED- Code: 20181105/APH/001263/00000451/013</t>
  </si>
  <si>
    <t>20181105/APH/001263/00000451/013</t>
  </si>
  <si>
    <t>f/01022019/8148b3f225504347b66894381fc5a466.jpg</t>
  </si>
  <si>
    <t>OUTDOOR KITCHEN 2 DOORS WITH WATER SINK</t>
  </si>
  <si>
    <t xml:space="preserve">2. Ngo Duy Hung(01-02-2019 05:00:30)
COLOR SWATCH
7 X A4 PANELS POLYSTONE CONCRETE LOOK
7 X A4 PANELS WOOD ACACIA LIGHT TEAK LOOK
1. (24-12-2018 10:13:22)
PLEASE MAKE AS RENDERING AND TD
SINK MUST PASS EN 13310 FOR CE MARKING AND THE CONNECTION BETWEEN THE TOP AND SINK (GLUED WITH SILICON UNDER) MUST RESIST TO A LOAD OF 100KG
MAKE 1 EXTRA POLYSTONE TOP FOR QUALITY TEST AT FRANCE
</t>
  </si>
  <si>
    <t>9/08032019/21d7cfce27484a0d89aeab36a493bc2f.jpg</t>
  </si>
  <si>
    <t>63</t>
  </si>
  <si>
    <t>50</t>
  </si>
  <si>
    <t>122/203/58</t>
  </si>
  <si>
    <t>99/75/53</t>
  </si>
  <si>
    <t>29/22/27</t>
  </si>
  <si>
    <t>12 ISSUED- Code: 20181105/APH/001263/00000451/012</t>
  </si>
  <si>
    <t>20181105/APH/001263/00000451/012</t>
  </si>
  <si>
    <t>3/24122018/e1859af744c842c38feb304ee8329127.jpg</t>
  </si>
  <si>
    <t>OUTDOOR KITCHEN 2 DRAWERS</t>
  </si>
  <si>
    <t>2/08032019/46793a6b55b7429fb28f40e2a9010b91.jpg</t>
  </si>
  <si>
    <t>35</t>
  </si>
  <si>
    <t>42</t>
  </si>
  <si>
    <t>122/132</t>
  </si>
  <si>
    <t>99/75</t>
  </si>
  <si>
    <t>29/22</t>
  </si>
  <si>
    <t>14 ISSUED- Code: 20181105/APH/001263/00000451/014</t>
  </si>
  <si>
    <t>20181105/APH/001263/00000451/014</t>
  </si>
  <si>
    <t>9/05112018/37148cc6ec764e93bd811075dc916837.jpg</t>
  </si>
  <si>
    <t>PANAMA ROUND FIREPIT TABLE 1263</t>
  </si>
  <si>
    <t xml:space="preserve">3. Ngo Duy Hung(17-01-2019 05:14:14)
COLOR SWATCH:
- 7 X A4 PANELS POLYSTONE CONCRETE LOOK
- 7 X 30CM TUBE STEEL POWDER COATED ANTHRACITE
- 7 X A4 PANELS STEEL FINISHING AS THE PAN
2. (24-12-2018 09:13:18)
PLEASE MAKE 2 SAMPLE: 1 FOR SAMPLE AND 1 FOR QUALITY TEST IN FRANCE
PLEASE MAKE AS ATTACHED TD
1. (05-11-2018 12:13:10)
- DIA 120 CM
- Quality Requirement: 2016/426
- Packaging carton 200lbs
- Check quality for French market (MDM will give this)
</t>
  </si>
  <si>
    <t>0/26022019/1fc312e771eb420381dc4e565d4b7e5f.jpg</t>
  </si>
  <si>
    <t>133/66</t>
  </si>
  <si>
    <t>133/29</t>
  </si>
  <si>
    <t>20/26</t>
  </si>
  <si>
    <t>25 ISSUED- Code: 20181105/APH/001263/00000451/025</t>
  </si>
  <si>
    <t>20181105/APH/001263/00000451/025</t>
  </si>
  <si>
    <t>0/07112018/d99978c4eb1747a28ea28648122961c2.jpg</t>
  </si>
  <si>
    <t>PARA WOODEN BENCH</t>
  </si>
  <si>
    <t xml:space="preserve">2. Ngo Duy Hung(28-12-2018 09:17:30)
COLOR SWATCH SIZE A4
7 X WOOD ACACIA BLACK
1. (25-12-2018 10:46:32)
Sample is ok but should have caps to plug bolt holes
</t>
  </si>
  <si>
    <t>3/31012019/4751af33fb194e03bcd3dba915321888.jpg</t>
  </si>
  <si>
    <t>123</t>
  </si>
  <si>
    <t>73</t>
  </si>
  <si>
    <t>15.4</t>
  </si>
  <si>
    <t>131</t>
  </si>
  <si>
    <t>32 FINISHED- Code: 20181107/ROS/001263/00000451/032</t>
  </si>
  <si>
    <t>20181107/ROS/001263/00000451/032</t>
  </si>
  <si>
    <t>8/05112018/bf6d7107f9074485b891784f372f703a.jpg</t>
  </si>
  <si>
    <t xml:space="preserve">2. Ngo Duy Hung(28-12-2018 06:57:36)
COLOR SWATCH (SIZE A4 AND 30CM LONG TUBE FOR FRAME)
7 X WOOD ACACIA LIGHT TEAK LOOK
1. (25-12-2018 10:46:32)
Sample is ok but bolt should have caps (light teak look) to plug the bolt holes
</t>
  </si>
  <si>
    <t>2/31012019/6c1cf09797b043089da483fab47c547e.jpg</t>
  </si>
  <si>
    <t>11 FINISHED- Code: 20181105/ROS/001263/00000451/011</t>
  </si>
  <si>
    <t>20181105/ROS/001263/00000451/011</t>
  </si>
  <si>
    <t>2/05112018/920d6f760cb140638b4f09c42e125be0.jpg</t>
  </si>
  <si>
    <t>SALAMANCA DINING CHAIR</t>
  </si>
  <si>
    <t>OLIVE GREEN TO MATCH THE ROPE</t>
  </si>
  <si>
    <t xml:space="preserve">3. Ngo Duy Hung(28-12-2018 06:05:13)
COLOR SWATCH (SIZE A4 AND 30CM LONG TUBE FOR FRAME)
7 X FLAT ROPE OLIVE GREEN WEAVING ON OLIVE POWDER COATED ALU FRAME
7 X WOOD ACACIA LIGHT TEAK LOOK
7 X FABRIC OLIVE GREEN COLOR
2. (24-12-2018 06:57:54)
Sample to return to the factory because client wants to modify as below:
- Flat rope color, Olive Green, is OK
- The cushion color should be changed to same color as the rope. Develop new Olive Green color to match with flat rope Olive Green
- Increase height of the back with 2,5 CM
- Increase the pitch to 70 CM
- See rendering + TD
1. (05-11-2018 10:40:48)
- Flat weaving Olive
- Powder Coated Olive
- Wood Acacia Light Teak Look
- Cushion Royal Stone Green
</t>
  </si>
  <si>
    <t>1/19022019/2a89e583a8e446b3bfad770205aa6289.jpg</t>
  </si>
  <si>
    <t>7 FINISHED- Code: 20181105/PAL/001263/00000451/007</t>
  </si>
  <si>
    <t>20181105/PAL/001263/00000451/007</t>
  </si>
  <si>
    <t>d/24122018/d0e78698c2cb42bab6d42d61da1ef950.jpg</t>
  </si>
  <si>
    <t>SALAMANCA DINING CHAIR, TERRACOTTA</t>
  </si>
  <si>
    <t xml:space="preserve">2. Ngo Duy Hung(28-12-2018 09:43:06)
COLOR SWATCH SIZE A4
7 X ROPE FLAT TERRACOTA COLOR
7 X FABRIC TERRA COTTA
1. (24-12-2018 06:57:55)
- Increase height of the back with 2,5 CM
- Increase the pitch to 70 CM
</t>
  </si>
  <si>
    <t>c/19022019/b54530753e3e4898a79568683e1e6896.jpg</t>
  </si>
  <si>
    <t>40 FINISHED- Code: 20181224/PAL/001263/00000451/040</t>
  </si>
  <si>
    <t>20181224/PAL/001263/00000451/040</t>
  </si>
  <si>
    <t xml:space="preserve">STAFFORD LOUNGE CORNER SET (SOFA CORNER  / DOUBLE LEFT CORNER / DOUBLE RIGHT CORNER)</t>
  </si>
  <si>
    <t xml:space="preserve">4. Ngo Duy Hung(28-12-2018 06:57:36)
COLOR SWATCH (SIZE A4 AND 30CM LONG TUBE FOR FRAME)
7 X ROPE 4.5MM ANTHRACITE
7 X BRAIDED OUTDOOR ANTHRACITE
7 X WOOD ACACIA TEAK LOOK
7 X FABRIC ROYAL STONE GREY
3. (24-12-2018 06:57:55)
Sample to return to the factory because client requests to modify sample as below:
- Use braided outdoor straps in seat, in the same color of the rope, to save costs
- Make only with 4 back cushions:
o Left and right arm with 1 back cushion in shape as arm
o Two back cushions in the corner (filling full back of corner piece)
2. (07-11-2018 15:13:57)
make the corner in such a shape somebody can sit there. 
See attached photo for example
1. (05-11-2018 12:13:10)
- Make corner of current Stafford (Costa Rica MDM) Range
- Rope 4,5MM Anthracite
- Wood Acacia Teak Look
- Cushions Royal Stone Grey
- TD enclosed
</t>
  </si>
  <si>
    <t>6/03032019/eebde50f50a54e81a085cd76e515e975.jpg</t>
  </si>
  <si>
    <t>23 FINISHED- Code: 20181105/PAL/001263/00000451/023</t>
  </si>
  <si>
    <t>20181105/PAL/001263/00000451/023</t>
  </si>
  <si>
    <t>8/23112018/9e24f8361faa42a5bf1929dcf1b80391.jpg</t>
  </si>
  <si>
    <t>STAFFORD LOUNGE SUNBED (COSTA RICA CORNER MDM)</t>
  </si>
  <si>
    <t xml:space="preserve">3. (24-12-2018 06:57:55)
Sample to return to the factory because client requests to modify as below:
- Revise dimensions of Mattress, frame dimension should follow revised Mattress
Width of the mattress: 130 CM
Depth of the mattress: 190 CM
- Use braided outdoor straps in seat, in the same color of the rope, to save costs
- Change the rope cover on the metal frame to wicker to save costs
- Change the direction of the legs, more forward as the back legs
- No side cushions, but pillows 50 x 50 CM, pillow shape as attached
2. Laurens van Well(16-11-2018 16:19:35)
MAKE STAFFORD LOUNGE/ BED IN SHAPE OF STAFFORD (NOT AS RENDERING)
1. (05-11-2018 12:13:10)
- Rope 4,5MM Anthracite
- Wood Acacia Teak Look
- Cushions Royal Stone Grey
- Make two concepts: 1 with rounded back as original picture, 1 with same backrest as Costa Rica
- Width around 130CM
- Depth around 130CM
- 6 Side cushions
- TD enclosed
</t>
  </si>
  <si>
    <t>c/03032019/c35f505b140e42a1bb3da785b347b751.jpg</t>
  </si>
  <si>
    <t>24 FINISHED- Code: 20181105/PAL/001263/00000451/024</t>
  </si>
  <si>
    <t>20181105/PAL/001263/00000451/024</t>
  </si>
  <si>
    <t>f/21022019/979efe5fa34d46ee9a9d60235dd2347a.jpg</t>
  </si>
  <si>
    <t>2019-02-17</t>
  </si>
  <si>
    <t>SUSAN DAYBED/BENCH</t>
  </si>
  <si>
    <t>DOUBLE ROUND</t>
  </si>
  <si>
    <t xml:space="preserve">OFF WHITE  240</t>
  </si>
  <si>
    <t xml:space="preserve">4. Ngo Duy Hung(21-02-2019 12:44:10)
ATTACHED REVISE TD 21-FEB-19
3. Ngo Duy Hung(28-01-2019 05:54:03)
COLOR SWATCH:
- 7 X FABRIC A4 OFF WHITE 240
- 7 X A4 PANELS WICKER DOUBLE ROUND LIGHT BAMBOO WEAVING ON ALU FRAME LIGHT BAMBOO
2. (24-12-2018 06:57:55)
PLEASE MAKE AS RENDERING AND TD BELOW.
1. (07-11-2018 15:24:42)
- MAKE RENDERING FIRST
SIZE 190X90 CM
</t>
  </si>
  <si>
    <t>5/12032019/206d358fd2a840689822e45139cf95ea.jpg</t>
  </si>
  <si>
    <t>36 ISSUED- Code: 20181107/APO/001263/00000451/036</t>
  </si>
  <si>
    <t>20181107/APO/001263/00000451/036</t>
  </si>
  <si>
    <t>5/18022019/15ba5a8ebd5548e0bda37d180f17a956.jpg</t>
  </si>
  <si>
    <t>TANANARIVE COFFEE TABLE</t>
  </si>
  <si>
    <t>PATTERN WEAVE AS RENDERING</t>
  </si>
  <si>
    <t>BLACK &amp; OFFWHITE</t>
  </si>
  <si>
    <t xml:space="preserve">2. Ngo Duy Hung(25-02-2019 04:10:25)
MAKE 2 SAMPLES: 1 WITH MAIN COLOR OFF WHITE AND THE OTHER ONE WITH MAIN COLOR BLACK
1. Ngo Duy Hung(18-02-2019 04:16:20)
PLEASE MAKE THE WEAVE SAME AS SAMPLE HARTMAN &amp; RENDERING AS APPLIED ON THE TANANARIVE CHAIR
</t>
  </si>
  <si>
    <t>a/03032019/1d4752a89a074298941f0d26f299b7c8.jpg</t>
  </si>
  <si>
    <t>47 FINISHED- Code: 20190218/PAL/001263/00000451/047</t>
  </si>
  <si>
    <t>20190218/PAL/001263/00000451/047</t>
  </si>
  <si>
    <t>d/06112018/5aa7d44e08fa4e0bbae89dda77ba081e.jpg</t>
  </si>
  <si>
    <t>TANANARIVE DINING CHAIR</t>
  </si>
  <si>
    <t>AS RENDERING BLACK WHITE</t>
  </si>
  <si>
    <t>TBA</t>
  </si>
  <si>
    <t xml:space="preserve">3. Ngo Duy Hung(28-12-2018 09:17:30)
COLOR SWATCH (SIZE A4 AND 30CM LONG TUBE FOR FRAME)
7 X WICKER BLACK &amp; OFF WHITE WEAVING AS ON CHAIR
7 X WOOD LIGHT TEAK LOOK
2. (24-12-2018 06:57:55)
Sample to return to the factory because client requests to modify as below:
- Make sample in the weaving as requested
- Make the weaving in off white (instead of pure white) and black
- The comfort is the chair is OK, but the chair is too big. To save money, make the chair 4 CM less wide and 4 CM less height of the back rest (the seat height remains the same)
- Make 1 cushion in Royal Dark Grey cushion and make 1 cushion in Off White
1. (07-11-2018 10:07:28)
- Chair with weaving as in picture
- Make rendering first
- TD enclosed
- change weaving as attached photo
</t>
  </si>
  <si>
    <t>c/19022019/66077b18ee4a46c088627b0477241e18.jpg</t>
  </si>
  <si>
    <t>30 FINISHED- Code: 20181106/PAL/001263/00000451/030</t>
  </si>
  <si>
    <t>20181106/PAL/001263/00000451/030</t>
  </si>
  <si>
    <t>3/22012019/e6de6c293ef745d0a53ba917ca7510a8.jpg</t>
  </si>
  <si>
    <t>2019-01-31</t>
  </si>
  <si>
    <t>TENERIFE LOUNGE CORNER SET PROMO</t>
  </si>
  <si>
    <t xml:space="preserve">2. Ngo Duy Hung(22-01-2019 11:35:23)
COLOR SWATCH
7 X A4 PANELS ROPE 4.5MM ANTHRACITE
7 X TUBE 30CM ALU POWDER COATED BLACK
7 X A4 PANELS WOOD ACACIA LIGHT TEAK LOOK
7 X A4 FABRIC ROYAL SAND
1. Ngo Duy Hung(22-01-2019 11:35:23)
PLEASE MAKE AS TD AND RENDERING
</t>
  </si>
  <si>
    <t>f/19042019/9f254bf7b4a64486b942131ec7cdb240.jpg</t>
  </si>
  <si>
    <t>44 ISSUED- Code: 20181224/PAL/001263/00000451/044</t>
  </si>
  <si>
    <t>20181224/PAL/001263/00000451/044</t>
  </si>
  <si>
    <t>5/21032019/fc05c7ba83694aea9c16fc54e5e68512.jpg</t>
  </si>
  <si>
    <t>2019-03-31</t>
  </si>
  <si>
    <t>TSONGA DINING CHAIR</t>
  </si>
  <si>
    <t>OFF WHITE 240</t>
  </si>
  <si>
    <t>4/18042019/30f895610b35409eb0bb3499d6498495.jpg</t>
  </si>
  <si>
    <t>66.5</t>
  </si>
  <si>
    <t>6.5</t>
  </si>
  <si>
    <t>49 ISSUED- Code: 20190321/APO/001263/00000451/049</t>
  </si>
  <si>
    <t>20190321/APO/001263/00000451/049</t>
  </si>
  <si>
    <t>c/21032019/0a3db540d44249c48f739d8de51db522.jpg</t>
  </si>
  <si>
    <t>TSONGA HIGH ARMCHAIR</t>
  </si>
  <si>
    <t>3/18042019/f5e7246b083641e88ddc5def0006b56b.jpg</t>
  </si>
  <si>
    <t>12.5</t>
  </si>
  <si>
    <t>105</t>
  </si>
  <si>
    <t>107</t>
  </si>
  <si>
    <t>97</t>
  </si>
  <si>
    <t>48 ISSUED- Code: 20190321/APO/001263/00000451/048</t>
  </si>
  <si>
    <t>20190321/APO/001263/00000451/048</t>
  </si>
  <si>
    <t>6/08112018/01abc8d98e954132bca985cbdbc61d4c.jpg</t>
  </si>
  <si>
    <t>2018-12-08</t>
  </si>
  <si>
    <t>OUTDOORFABRIC CHAIR + HOCKER</t>
  </si>
  <si>
    <t>FABRIC</t>
  </si>
  <si>
    <t>SERVAL ANTRACITE</t>
  </si>
  <si>
    <t>SPECIAL</t>
  </si>
  <si>
    <t>5/12122018/a57ae44d9f3c4ec7aac9cbdc10e0db9a.jpg</t>
  </si>
  <si>
    <t>2018-12-13</t>
  </si>
  <si>
    <t>FEDERATION OF MIGROS COOPERATIVES (Rechnungsprüfung Retail)</t>
  </si>
  <si>
    <t>90/44</t>
  </si>
  <si>
    <t>83/74</t>
  </si>
  <si>
    <t>89/43</t>
  </si>
  <si>
    <t>5.2/3</t>
  </si>
  <si>
    <t>chair + hocker</t>
  </si>
  <si>
    <t>2 FINISHED- Code: 20181108/APO/000783/00000454/002</t>
  </si>
  <si>
    <t>20181108/APO/000783/00000454/002</t>
  </si>
  <si>
    <t>7/08112018/7c429d9c0c2e4aee80cdb4c1cd4cfeb1.jpg</t>
  </si>
  <si>
    <t>TABLE JUPP 240X100X76</t>
  </si>
  <si>
    <t>e/12122018/c7921ab32f0f4b5eb86f351a9a44a939.jpg</t>
  </si>
  <si>
    <t>1 FINISHED- Code: 20181108/TEC/000783/00000454/001</t>
  </si>
  <si>
    <t>20181108/TEC/000783/00000454/001</t>
  </si>
  <si>
    <t>4/29092015/dd19b3ca379c4cc49c70a7a62c9603e0.jpg</t>
  </si>
  <si>
    <t>BELRAY LOUNGE SET 4PCS (2X CHAIR, 1X BENCH 167CM, 1X LOUNGE TABLE 120X80X35CM)</t>
  </si>
  <si>
    <t>STANDARD, D25/50 (FOAM 120GRAMS)</t>
  </si>
  <si>
    <t>STANDARD, FILLING AS HARBY</t>
  </si>
  <si>
    <t>ROYAL RIBBON ECRU 240</t>
  </si>
  <si>
    <t xml:space="preserve">1. (08-11-2018 12:58:00)
All cushions need to be made to Australian comfort level as used for client ID 1368 
Seat: D25/50 (foam 120grams)
Back: Same cushion design as in catalogue, but use HARBY for filling (LAN is aware of this filling)
</t>
  </si>
  <si>
    <t>o/11122018/fcd18f06135c4b4c9f50c9b09aeac6d2.jpeg</t>
  </si>
  <si>
    <t>SYNARGY FURNITURE</t>
  </si>
  <si>
    <t>3 FINISHED- Code: 20181108/ROS/1405/00000455/003</t>
  </si>
  <si>
    <t>20181108/ROS/1405/00000455/003</t>
  </si>
  <si>
    <t>a/08112018/b36ba77c50da48618b54b07784c66e19.jpg</t>
  </si>
  <si>
    <t>LEONARDO LOUNGE SET (2X CHAIR, 1X BENCH, 1X FOOTREST SMALL)</t>
  </si>
  <si>
    <t>NATURAL BROWN 240</t>
  </si>
  <si>
    <t xml:space="preserve">1. (08-11-2018 13:10:41)
All cushions need to be made to Australian comfort level as used for client ID 1368 
Seat: D25/50 (foam 120grams)
Back: Same cushion design as in catalogue, but use HARBY for filling (LAN is aware of this filling)
</t>
  </si>
  <si>
    <t>1/16122018/eadd0d344ba848ceb368d4facd886be8.jpg</t>
  </si>
  <si>
    <t>4 FINISHED- Code: 20181108/PAL/1405/00000455/004</t>
  </si>
  <si>
    <t>20181108/PAL/1405/00000455/004</t>
  </si>
  <si>
    <t>0/28032018/d596db64927941479c2ac533df701757.jpg</t>
  </si>
  <si>
    <t>MANCHESTER LOUNGE SET 4PCS (2X CHAIR, 1X BENCH 148CM, 1X LOUNGE TABLE 110X60X42CM)</t>
  </si>
  <si>
    <t>STANDARD, D25/50 (FOAM 120 GRAMS)</t>
  </si>
  <si>
    <t>ROYAL TAUPE 240 WITH OFF WHITE PIPING</t>
  </si>
  <si>
    <t xml:space="preserve">1. (08-11-2018 12:54:40)
All cushions need to be made to Australian comfort level as used for client ID 1368 
Seat: D25/50 (foam 120grams)
Back: Same cushion design as in catalogue, but use HARBY for filling (LAN is aware of this filling)
</t>
  </si>
  <si>
    <t>6/11122018/f748dbd2778d43b79c43385d3b8ed91c.jpg</t>
  </si>
  <si>
    <t>1 FINISHED- Code: 20181108/ROS/1405/00000455/001</t>
  </si>
  <si>
    <t>20181108/ROS/1405/00000455/001</t>
  </si>
  <si>
    <t>2/16102018/08deaf4cca674f658b86fce6d54401cf.jpg</t>
  </si>
  <si>
    <t>PALAMOS LOUNGE SET</t>
  </si>
  <si>
    <t>c/14122018/09e48a47605f41d8878da61dbe2ae2bf.jpg</t>
  </si>
  <si>
    <t>2 FINISHED- Code: 20181108/BIG/1405/00000455/002</t>
  </si>
  <si>
    <t>20181108/BIG/1405/00000455/002</t>
  </si>
  <si>
    <t>b/13112018/4ca6501799e64a489f85b11c8d80b7ed.jpg</t>
  </si>
  <si>
    <t xml:space="preserve">DELHI ARM LOUNGE CHAIR 1084  KD</t>
  </si>
  <si>
    <t xml:space="preserve">1. (20-11-2018 06:08:41)
- Please refer to this frame to be copied 100% (KD structure!) (as attached photo for reference)
- Please apply same basket weave as for the armless Delhi 1084 chair.
</t>
  </si>
  <si>
    <t>8/25122018/a40d808725314b34b6c6c5fef092ab64.jpg</t>
  </si>
  <si>
    <t>US</t>
  </si>
  <si>
    <t>7 ISSUED- Code: 20181113/PAL/001084/00000456/007</t>
  </si>
  <si>
    <t>20181113/PAL/001084/00000456/007</t>
  </si>
  <si>
    <t>9/20112018/ce15122656444c5297113227fbcb1e49.jpg</t>
  </si>
  <si>
    <t xml:space="preserve">1. (20-11-2018 04:52:25)
Please use sample from last meeting
</t>
  </si>
  <si>
    <t>7/25122018/be5efc69dcdd4cad9904ee42108ec51d.jpg</t>
  </si>
  <si>
    <t>9 ISSUED- Code: 20181120/TEC/001084/00000456/009</t>
  </si>
  <si>
    <t>20181120/TEC/001084/00000456/009</t>
  </si>
  <si>
    <t>2/13112018/00afbb9696a448ed86e314369f2705ce.jpg</t>
  </si>
  <si>
    <t>DELHI LOUNGE CHAIR WITH WOODEN SLAT 1084</t>
  </si>
  <si>
    <t xml:space="preserve">1. (20-11-2018 05:46:47)
- Please follow frame like below (Delhi lounge chair design 1084 with KD construction).
- Basket weave to be replaced by wooden slats (as per reference image)
- Wooden slats to be curved like F9S7
- Construction should remain KD
</t>
  </si>
  <si>
    <t>8/25122018/484fc1c2e742451b912a3fe37e2fcbf1.jpg</t>
  </si>
  <si>
    <t>4 ISSUED- Code: 20181113/TEC/001084/00000456/004</t>
  </si>
  <si>
    <t>20181113/TEC/001084/00000456/004</t>
  </si>
  <si>
    <t>3/20112018/2f931989f0494e69a58625be50bcf804.jpg</t>
  </si>
  <si>
    <t>LAS PALMAS 2PC SECTIONAL 1084</t>
  </si>
  <si>
    <t xml:space="preserve">1. (20-11-2018 05:16:32)
Please use the sample from the last meeting
</t>
  </si>
  <si>
    <t>6/24122018/211cb5a66ed84cb69dd676e7e862e849.jpg</t>
  </si>
  <si>
    <t>101/101</t>
  </si>
  <si>
    <t>259/166</t>
  </si>
  <si>
    <t>10 FINISHED- Code: 20181120/APO/001084/00000456/010</t>
  </si>
  <si>
    <t>20181120/APO/001084/00000456/010</t>
  </si>
  <si>
    <t>a/20112018/57a2187cff30419594517189f71ea87c.jpg</t>
  </si>
  <si>
    <t>MIRA DINING CHAIR</t>
  </si>
  <si>
    <t>BLENDED ANTRACITE</t>
  </si>
  <si>
    <t>SEAT CUSHION</t>
  </si>
  <si>
    <t>DARK GREY</t>
  </si>
  <si>
    <t xml:space="preserve">1. (20-11-2018 05:40:33)
Please use the sample from the last meeting
</t>
  </si>
  <si>
    <t>5/25122018/56b025dfd5014798a21c723d6410ac77.jpg</t>
  </si>
  <si>
    <t>11 ISSUED- Code: 20181120/PAL/001084/00000456/011</t>
  </si>
  <si>
    <t>20181120/PAL/001084/00000456/011</t>
  </si>
  <si>
    <t>1/13112018/a09a6619918043e7be7225aa98fe0af6.jpg</t>
  </si>
  <si>
    <t>NUORO LOUNGE BENCH 1084</t>
  </si>
  <si>
    <t>dr 10mm</t>
  </si>
  <si>
    <t xml:space="preserve">1. (13-11-2018 12:14:41)
sample same as sent this year
</t>
  </si>
  <si>
    <t>1/25122018/d8b6156763514e9f866712690f797d0a.jpg</t>
  </si>
  <si>
    <t>1 FINISHED- Code: 20181113/APO/001084/00000456/001</t>
  </si>
  <si>
    <t>20181113/APO/001084/00000456/001</t>
  </si>
  <si>
    <t>4/13112018/205afbb70e48496ca5a94c55185aaf97.jpg</t>
  </si>
  <si>
    <t>OREGON LOUNGE SET</t>
  </si>
  <si>
    <t>SANDED BROWN NATURAL</t>
  </si>
  <si>
    <t>BROWN</t>
  </si>
  <si>
    <t>TEMPERED</t>
  </si>
  <si>
    <t>TRANSPARENT</t>
  </si>
  <si>
    <t>BACK CUSHION</t>
  </si>
  <si>
    <t>6/25122018/82f04f23238347d0871c3c5527b08274.jpg</t>
  </si>
  <si>
    <t>DATA FINISHED</t>
  </si>
  <si>
    <t>2 DATA FINISHED- Code: 20181113/PAL/001084/00000456/002</t>
  </si>
  <si>
    <t>20181113/PAL/001084/00000456/002</t>
  </si>
  <si>
    <t>a/13112018/f54f8a633a7e457792a8981deee9ec0c.jpg</t>
  </si>
  <si>
    <t>SORENTO STACKING CHAIR 1084 FLAT 12MM</t>
  </si>
  <si>
    <t>FLAT 12MM</t>
  </si>
  <si>
    <t>BAMBOO SANDED</t>
  </si>
  <si>
    <t>NATURAL BROWN</t>
  </si>
  <si>
    <t xml:space="preserve">1. (20-11-2018 05:49:22)
- Please follow overall dimensions of our standard capri stacking chair, but arms to follow Sorrento (straight) (as per reference image)
-NO ALU feedcap. Wrap all the way to the bottom and only add a plastic feedcap (As per 2nd attachment)
</t>
  </si>
  <si>
    <t>d/25122018/f479f9a76c9a44d3a038239c13340775.jpg</t>
  </si>
  <si>
    <t>5 ISSUED- Code: 20181113/PAL/001084/00000456/005</t>
  </si>
  <si>
    <t>20181113/PAL/001084/00000456/005</t>
  </si>
  <si>
    <t>5/10122018/bb896eb8c7e74922b2dd9e9e75942d06.jpg</t>
  </si>
  <si>
    <t>2018-12-20</t>
  </si>
  <si>
    <t>SORENTO STACKING CHAIR 1085 FLAT 12MM - KOBO SANDED</t>
  </si>
  <si>
    <t>KOBO SANDED</t>
  </si>
  <si>
    <t xml:space="preserve">1. (10-12-2018 06:17:52)
-Please follow overall dimensions of our standard capri stacking chair, but arms to follow Sorrento (straight) (as per reference image)
-NO ALU feedcap. Wrap all the way to the bottom and only add a plastic feedcap (As per 2nd attachment)
</t>
  </si>
  <si>
    <t>8/25122018/4f749053dbe74a9284b03869f3c12fad.jpg</t>
  </si>
  <si>
    <t>14 ISSUED- Code: 20181210/PAL/001084/00000456/014</t>
  </si>
  <si>
    <t>20181210/PAL/001084/00000456/014</t>
  </si>
  <si>
    <t>SWATCH BAMBOO SANDED</t>
  </si>
  <si>
    <t xml:space="preserve">1. (20-11-2018 06:08:41)
Dimension 30 x 30 cm
</t>
  </si>
  <si>
    <t>c/26122018/a56535f813d34cff9fbbe2bcbd402227.jpg</t>
  </si>
  <si>
    <t>12 ISSUED- Code: 20181120/PAL/001084/00000456/012</t>
  </si>
  <si>
    <t>20181120/PAL/001084/00000456/012</t>
  </si>
  <si>
    <t>SWATCH KOBO SANDED</t>
  </si>
  <si>
    <t>7/26122018/0189adbdf0b242ff88754a56dd574bf4.jpg</t>
  </si>
  <si>
    <t>13 ISSUED- Code: 20181120/PAL/001084/00000456/013</t>
  </si>
  <si>
    <t>20181120/PAL/001084/00000456/013</t>
  </si>
  <si>
    <t>4/13112018/b3bc059dc86645b08030cf8c40b17942.jpg</t>
  </si>
  <si>
    <t>TUSCANY BARSTOOL</t>
  </si>
  <si>
    <t xml:space="preserve">1. (13-11-2018 12:14:42)
- INCREASE LENGTH OF THE LEGS WITH 5 INCH ( SEAT HIGH TO BE 30", CURRENT 25")
-Keep same distance between footrest &amp; seat as per previous sample
</t>
  </si>
  <si>
    <t>4/25122018/3aa098937bbe42d69b37e6209494d48f.jpg</t>
  </si>
  <si>
    <t>6 ISSUED- Code: 20181113/PAL/001084/00000456/006</t>
  </si>
  <si>
    <t>20181113/PAL/001084/00000456/006</t>
  </si>
  <si>
    <t>9/20112018/682ce79a2ee44270a7f995018ac5f097.jpg</t>
  </si>
  <si>
    <t>WATES DINING CHAIR BLACK 1084</t>
  </si>
  <si>
    <t>DR</t>
  </si>
  <si>
    <t>d/24122018/1b47d44041e7482e8994dd1a78439fea.jpg</t>
  </si>
  <si>
    <t>8 FINISHED- Code: 20181120/APO/001084/00000456/008</t>
  </si>
  <si>
    <t>20181120/APO/001084/00000456/008</t>
  </si>
  <si>
    <t>6/14082019/137bcd395b524486bf34d9ad94d9d4a7.jpg</t>
  </si>
  <si>
    <t>2018-12-06</t>
  </si>
  <si>
    <t xml:space="preserve">ALBUFEIRA LOUNGE CORNER SET 3 PCS (LEFT ARM, RIGHT ARM,  CORNER TABLE 80X80X32CM)</t>
  </si>
  <si>
    <t xml:space="preserve">1. Gerard Mennen(20-11-2018 13:30:39)
USE FROM PRODUCTION ID  705, WOOD IN ACACIA, NOT IN TEAK !!
</t>
  </si>
  <si>
    <t>0/08122018/f665ba67437a48d2b9581dff285b20f6.jpg</t>
  </si>
  <si>
    <t>2018-12-01</t>
  </si>
  <si>
    <t>LANDI SCHWEIZ AG</t>
  </si>
  <si>
    <t>85/85/80</t>
  </si>
  <si>
    <t>169/251.5/80</t>
  </si>
  <si>
    <t>68/68/32</t>
  </si>
  <si>
    <t>17/26.5/7.5</t>
  </si>
  <si>
    <t>254</t>
  </si>
  <si>
    <t>14 FINISHED- Code: 20181120/PAL/000780/00000459/014</t>
  </si>
  <si>
    <t>20181120/PAL/000780/00000459/014</t>
  </si>
  <si>
    <t>1/27032018/5b1f44854f644545871e202abfbd6ebb.jpg</t>
  </si>
  <si>
    <t>AREZZA RELAX CHAIR</t>
  </si>
  <si>
    <t>DOUBLE HALFROUND 7MM</t>
  </si>
  <si>
    <t>NATURAL KOBO GREY</t>
  </si>
  <si>
    <t xml:space="preserve">2. An Huyen Cao(20-11-2018 16:18:32)
CAN WE TAKE FRAME FROM MASS PRODUCTION? (ID1389)
1. Gerard Mennen(20-11-2018 12:25:41)
USE FROM PRODUCTION ID  1389/40806
</t>
  </si>
  <si>
    <t>7/05122018/51a80ffa17d44fb78ba023a384264b9d.jpg</t>
  </si>
  <si>
    <t>9 FINISHED- Code: 20181120/BIG/000780/00000459/009</t>
  </si>
  <si>
    <t>20181120/BIG/000780/00000459/009</t>
  </si>
  <si>
    <t>3/27032018/08e541b08add4613ab324ada7cbd79fd.jpg</t>
  </si>
  <si>
    <t>AREZZA RELAX HOCKER 56X74X48CM</t>
  </si>
  <si>
    <t xml:space="preserve">2. An Huyen Cao(20-11-2018 16:18:32)
CAN WE TAKE FRAME FROM MASS PRODUCTION (ID 1389?)
1. Gerard Mennen(20-11-2018 12:25:41)
USE FROM PRODUCTION ID  1389/40806
</t>
  </si>
  <si>
    <t>1/05122018/7c6a95f954074656bc9c7af09398b4b0.jpg</t>
  </si>
  <si>
    <t>10 FINISHED- Code: 20181120/BIG/000780/00000459/010</t>
  </si>
  <si>
    <t>20181120/BIG/000780/00000459/010</t>
  </si>
  <si>
    <t>b/04102018/00f4ee9c314840669d02a629cb2f4ca9.jpg</t>
  </si>
  <si>
    <t>AUXERRE BENCH 64X120X93 CM</t>
  </si>
  <si>
    <t xml:space="preserve">1. Gerard Mennen(20-11-2018 12:25:41)
USE FROM PRODUCTION ID 780/39461
</t>
  </si>
  <si>
    <t>3/28112018/156b90e451a44856876d4e23fc5850ec.jpg</t>
  </si>
  <si>
    <t>13.4</t>
  </si>
  <si>
    <t>125</t>
  </si>
  <si>
    <t>14.5</t>
  </si>
  <si>
    <t>1 FINISHED- Code: 20181119/NNM/000780/00000459/001</t>
  </si>
  <si>
    <t>20181119/NNM/000780/00000459/001</t>
  </si>
  <si>
    <t>9/20112018/1f384b4999a34853be0990d74d9117ba.jpg</t>
  </si>
  <si>
    <t>BAHIA STOOL 60X37</t>
  </si>
  <si>
    <t xml:space="preserve">1. An Huyen Cao(20-11-2018 15:17:11)
MAKE TD
</t>
  </si>
  <si>
    <t>7/01122018/e61f812dc2ec49fd9a7ceb0f84d93faa.jpg</t>
  </si>
  <si>
    <t>5.85</t>
  </si>
  <si>
    <t>33</t>
  </si>
  <si>
    <t>17.5</t>
  </si>
  <si>
    <t>19 FINISHED- Code: 20181120/DAN/000780/00000459/019</t>
  </si>
  <si>
    <t>20181120/DAN/000780/00000459/019</t>
  </si>
  <si>
    <t>1/24092016/0278eceea9c7425a9d80bab5458cb960.jpg</t>
  </si>
  <si>
    <t>BAHIA WOODEN BENCH 784</t>
  </si>
  <si>
    <t xml:space="preserve">1. Gerard Mennen(20-11-2018 13:30:39)
USE FROM PRODUCTION ID 784 + MAKE CUSHION ROYAL STONE GREEN
</t>
  </si>
  <si>
    <t>6/29112018/2ea7146f656a4186862f3a25bf37d676.jpg</t>
  </si>
  <si>
    <t>31.5</t>
  </si>
  <si>
    <t>18 FINISHED- Code: 20181120/DAN/000780/00000459/018</t>
  </si>
  <si>
    <t>20181120/DAN/000780/00000459/018</t>
  </si>
  <si>
    <t>BRISBANE LOUNGE SET 2 PCS (CHAIR AND HOCKER)</t>
  </si>
  <si>
    <t>NATURAL TAUPE 240</t>
  </si>
  <si>
    <t xml:space="preserve">1. Gerard Mennen(20-11-2018 13:30:39)
CUSHIONS AS ID 822/40211
</t>
  </si>
  <si>
    <t>c/06122018/1d45547976c1499c8d5cf4d67634fd4f.jpg</t>
  </si>
  <si>
    <t>13 FINISHED- Code: 20181120/BIG/000780/00000459/013</t>
  </si>
  <si>
    <t>20181120/BIG/000780/00000459/013</t>
  </si>
  <si>
    <t>4/21072017/80596600e0da472abd3b19e4a6e4028d.jpg</t>
  </si>
  <si>
    <t>CAMPINAS LOUNGE SET</t>
  </si>
  <si>
    <t>SOFT GREY</t>
  </si>
  <si>
    <t>ROYAL DARK GREY 240</t>
  </si>
  <si>
    <t>f/07122018/f24af8e55e0141d9baa6dd945d6a987a.jpg</t>
  </si>
  <si>
    <t>141/151/36.5/36.5</t>
  </si>
  <si>
    <t>16.5/19/4.5/4.5</t>
  </si>
  <si>
    <t>189</t>
  </si>
  <si>
    <t>8 FINISHED- Code: 20181120/PAL/000780/00000459/008</t>
  </si>
  <si>
    <t>20181120/PAL/000780/00000459/008</t>
  </si>
  <si>
    <t>5/20092019/7f8471cbbd52477a91ed3efee1a303e9.jpg</t>
  </si>
  <si>
    <t xml:space="preserve">1. Gerard Mennen(20-11-2018 13:30:39)
USE FROM PRODUCTION ID  1206/40163 + MAKE CUSHIONS NATURAL BROWN
</t>
  </si>
  <si>
    <t>1/03122018/a10c30884407446aa4647138d3e57510.jpg</t>
  </si>
  <si>
    <t>15 FINISHED- Code: 20181120/DAN/000780/00000459/015</t>
  </si>
  <si>
    <t>20181120/DAN/000780/00000459/015</t>
  </si>
  <si>
    <t>COSTA RICA TABLE 100X60</t>
  </si>
  <si>
    <t>3/01122018/cc532cceecee4b7284b3beecb2e3504a.jpg</t>
  </si>
  <si>
    <t>11.2</t>
  </si>
  <si>
    <t>12.9</t>
  </si>
  <si>
    <t>10.5</t>
  </si>
  <si>
    <t>16 FINISHED- Code: 20181120/DAN/000780/00000459/016</t>
  </si>
  <si>
    <t>20181120/DAN/000780/00000459/016</t>
  </si>
  <si>
    <t>c/17082019/a315935f282b43d9b3622bcfd64d7d99.jpg</t>
  </si>
  <si>
    <t>GIBSON LOUNGE CORNER SET 3 PCS (1X LEFT ARM, 1X RIGHT ARM, 1X LOUNGE TABLE 68X68X33CM)</t>
  </si>
  <si>
    <t xml:space="preserve">1. Gerard Mennen(20-11-2018 12:25:41)
USE FROM PRODUCTION ID  780
</t>
  </si>
  <si>
    <t>0/04122018/e8ba5072fa04437c81d6cae201ddfc23.jpg</t>
  </si>
  <si>
    <t>77/77/68</t>
  </si>
  <si>
    <t>129/205/68</t>
  </si>
  <si>
    <t>65/65/33</t>
  </si>
  <si>
    <t>19/31/7</t>
  </si>
  <si>
    <t>54.8</t>
  </si>
  <si>
    <t>5 FINISHED- Code: 20181120/PAL/000780/00000459/005</t>
  </si>
  <si>
    <t>20181120/PAL/000780/00000459/005</t>
  </si>
  <si>
    <t>a/30032018/8d399a779c4148f4813512036cd66680.jpg</t>
  </si>
  <si>
    <t>IPSWICH FOLDING SET (2XCHAIR, 1XTABLE)</t>
  </si>
  <si>
    <t xml:space="preserve">1. An Huyen Cao(20-11-2018 15:17:11)
TAKE FROM MASS PRODUCTION 784
</t>
  </si>
  <si>
    <t>3/29112018/d478f825347b43a7a402b0bf73eaea23.jpg</t>
  </si>
  <si>
    <t>58/52/52</t>
  </si>
  <si>
    <t>58/37.5/37.5</t>
  </si>
  <si>
    <t>72/78.5/78.5</t>
  </si>
  <si>
    <t>11.6</t>
  </si>
  <si>
    <t>13.6</t>
  </si>
  <si>
    <t>20 FINISHED- Code: 20181120/DAN/000780/00000459/020</t>
  </si>
  <si>
    <t>20181120/DAN/000780/00000459/020</t>
  </si>
  <si>
    <t>b/17082019/36fe9bdf815349e7b569c0f9679985f7.jpg</t>
  </si>
  <si>
    <t>MIRA COFFEE CORNER SET 3PCS (1XLEFT ARM, 1X RIGHT ARM, 1X TABLE 80X80X38CM)</t>
  </si>
  <si>
    <t>4/04122018/f0cf2d197ae14b448c016d1a3153ba3b.jpg</t>
  </si>
  <si>
    <t>81/ 81/ 80</t>
  </si>
  <si>
    <t>127/208 /80</t>
  </si>
  <si>
    <t>77/ 77/ 38</t>
  </si>
  <si>
    <t>18/28/14</t>
  </si>
  <si>
    <t>58/17</t>
  </si>
  <si>
    <t>2/1</t>
  </si>
  <si>
    <t>210/ 83</t>
  </si>
  <si>
    <t>86.5/ 83</t>
  </si>
  <si>
    <t>55/ 12</t>
  </si>
  <si>
    <t>11 FINISHED- Code: 20181120/PAL/000780/00000459/011</t>
  </si>
  <si>
    <t>20181120/PAL/000780/00000459/011</t>
  </si>
  <si>
    <t>9/08032017/491003c83e6344938e8e434a3675b6d4.jpg</t>
  </si>
  <si>
    <t xml:space="preserve">2. An Huyen Cao(20-11-2018 16:18:32)
TAKE FRAME FROM MASS PRODUCTION ID 426
1. Gerard Mennen(20-11-2018 12:25:41)
USE FROM PRODUCTION ID 426/40934
</t>
  </si>
  <si>
    <t>3/05122018/c48963d444554fbaa669d7f095eaee46.jpg</t>
  </si>
  <si>
    <t>14/14/8/8/5.2</t>
  </si>
  <si>
    <t>5</t>
  </si>
  <si>
    <t>128</t>
  </si>
  <si>
    <t>7 FINISHED- Code: 20181120/PAL/000780/00000459/007</t>
  </si>
  <si>
    <t>20181120/PAL/000780/00000459/007</t>
  </si>
  <si>
    <t>3/30032018/9c7d3098cf594474b8db871afe062930.jpg</t>
  </si>
  <si>
    <t>AKI-15-VHM</t>
  </si>
  <si>
    <t>REDFORD FOLDING CHAIR</t>
  </si>
  <si>
    <t xml:space="preserve">1. Gerard Mennen(20-11-2018 12:25:41)
USE FROM PRODUCTION ID  780/39450
</t>
  </si>
  <si>
    <t>3 ISSUED- Code: 20181119/AKI/000780/00000459/003</t>
  </si>
  <si>
    <t>20181119/AKI/000780/00000459/003</t>
  </si>
  <si>
    <t>1/30032018/73c41a3236d84826aa4e69257c0f72c5.jpg</t>
  </si>
  <si>
    <t>REDFORD FOLDING TABLE 123X76X74,5 CM</t>
  </si>
  <si>
    <t>POWER COATED BLACK</t>
  </si>
  <si>
    <t xml:space="preserve">1. Gerard Mennen(20-11-2018 12:25:41)
USE FROM PRODUCTION ID  780/39458
</t>
  </si>
  <si>
    <t>6/28112018/84bc0fe691d149e18de178f427baa2b9.jpg</t>
  </si>
  <si>
    <t>4 FINISHED- Code: 20181119/AKI/000780/00000459/004</t>
  </si>
  <si>
    <t>20181119/AKI/000780/00000459/004</t>
  </si>
  <si>
    <t>3/23112018/65e4923053104bf5ac1a4c4dd23eeb8f.jpg</t>
  </si>
  <si>
    <t>Reims stackabvble loungeset: 2x xhair + 1x bench + 1x table 100x60 with glass (anthracite)</t>
  </si>
  <si>
    <t>BLUE GREY 180</t>
  </si>
  <si>
    <t>7/05122018/a8819d6b7bf24c9caad3d70232e12ec7.jpg</t>
  </si>
  <si>
    <t>81/81/81/100</t>
  </si>
  <si>
    <t>83/83/173/60</t>
  </si>
  <si>
    <t>83.5/83.5/83.5/43</t>
  </si>
  <si>
    <t>9.5/9.5/18/10</t>
  </si>
  <si>
    <t>88.5</t>
  </si>
  <si>
    <t>175</t>
  </si>
  <si>
    <t>21 FINISHED- Code: 20181123/PAL/000780/00000459/021</t>
  </si>
  <si>
    <t>20181123/PAL/000780/00000459/021</t>
  </si>
  <si>
    <t>8/22032018/c0e9f316447c497b885be6fc92325601.jpg</t>
  </si>
  <si>
    <t>SAN MARINO LOUNGE CORNER SET 5 PCS (1X LEFT ARM, 1X RIGHT ARM, 1X COLUMN TABLE 148X86X66,5 CM, 2X HOCKER 55X55X40 CM</t>
  </si>
  <si>
    <t>STITCHING 2</t>
  </si>
  <si>
    <t xml:space="preserve">1. Gerard Mennen(20-11-2018 12:25:41)
USE FROM PRODUCTION ID  780/39765
</t>
  </si>
  <si>
    <t>4/06122018/8ab2eb015e3e4e40931dd1018b2d0dff.jpg</t>
  </si>
  <si>
    <t>76/76/146/55</t>
  </si>
  <si>
    <t>195/175/84/55</t>
  </si>
  <si>
    <t>80/80/65/31</t>
  </si>
  <si>
    <t>21/18/24/4</t>
  </si>
  <si>
    <t>52/28</t>
  </si>
  <si>
    <t>4/1</t>
  </si>
  <si>
    <t>199/149</t>
  </si>
  <si>
    <t>93/17.5</t>
  </si>
  <si>
    <t>85.5/85.5</t>
  </si>
  <si>
    <t>6 FINISHED- Code: 20181120/APO/000780/00000459/006</t>
  </si>
  <si>
    <t>20181120/APO/000780/00000459/006</t>
  </si>
  <si>
    <t>4/30032018/562dd7ed01664978ad8eb335c8bb27cb.jpg</t>
  </si>
  <si>
    <t>SARAH BENCH WITH COFFEE TABLE 59X152X86 CM</t>
  </si>
  <si>
    <t xml:space="preserve">1. Gerard Mennen(20-11-2018 12:25:41)
USE FROM PRODUCTION ID  780/39785
</t>
  </si>
  <si>
    <t>2/27112018/30cf95654cd54f51bf38249a6cfdf4cd.jpg</t>
  </si>
  <si>
    <t>156</t>
  </si>
  <si>
    <t>155</t>
  </si>
  <si>
    <t>2 FINISHED- Code: 20181119/DAN/000780/00000459/002</t>
  </si>
  <si>
    <t>20181119/DAN/000780/00000459/002</t>
  </si>
  <si>
    <t>f/29032018/2917bab0228e49a2816106c74a1a94fd.jpg</t>
  </si>
  <si>
    <t>VERNON FOLDING DINING SET (2X BENCH 180CM , 1X TABLE 180X90X76CM)</t>
  </si>
  <si>
    <t xml:space="preserve">1. An Huyen Cao(20-11-2018 15:15:24)
TAKE FROM MASS PRODUCTION ID 783
</t>
  </si>
  <si>
    <t>17 ISSUED- Code: 20181120/AKI/000780/00000459/017</t>
  </si>
  <si>
    <t>20181120/AKI/000780/00000459/017</t>
  </si>
  <si>
    <t>0/20112018/cd34ae4e5cf44b00ac7db845d3936a9c.jpg</t>
  </si>
  <si>
    <t xml:space="preserve">WATES LOUNGESET (2X CHAIR + BENCH + TABLE)  WITH BRISBANE LEGS</t>
  </si>
  <si>
    <t>c/07122018/901d87df9e6a40109d3ae4518e40248d.jpg</t>
  </si>
  <si>
    <t>12 FINISHED- Code: 20181120/BIG/000780/00000459/012</t>
  </si>
  <si>
    <t>20181120/BIG/000780/00000459/012</t>
  </si>
  <si>
    <t>3/21112018/747cf212aa3740759dae2b455ec2e404.jpg</t>
  </si>
  <si>
    <t>2018-12-14</t>
  </si>
  <si>
    <t>NEW BISTRO CHAIR</t>
  </si>
  <si>
    <t>GALVANIZED</t>
  </si>
  <si>
    <t xml:space="preserve">1. (21-11-2018 12:11:38)
-Follow TD
-Make sure chair passes 225lbs testing (US standard) - adapt tube thickness to reach this goal.
</t>
  </si>
  <si>
    <t>d/18122018/420a0cd3c48040b6a8f5ac73ff352ded.jpg</t>
  </si>
  <si>
    <t>PIER 1 IMPORTS (U.S.) INC.</t>
  </si>
  <si>
    <t>53.5</t>
  </si>
  <si>
    <t>81.5</t>
  </si>
  <si>
    <t>2 COMPLETED- Code: 20181121/AKI/001075/00000460/002</t>
  </si>
  <si>
    <t>20181121/AKI/001075/00000460/002</t>
  </si>
  <si>
    <t>5/21112018/8d1ae232f91748068c9bf301b6a6dc5c.jpg</t>
  </si>
  <si>
    <t>NEW BISTRO TABLE</t>
  </si>
  <si>
    <t xml:space="preserve">1. (21-11-2018 12:11:38)
-Follow TD
-Make sure chair passes 225lbs testing (US standard) - adapt tube thickness to reach this goal
</t>
  </si>
  <si>
    <t>f/18122018/86a92077dc30496f9be4e30364a02c09.jpg</t>
  </si>
  <si>
    <t>3 COMPLETED- Code: 20181121/AKI/001075/00000460/003</t>
  </si>
  <si>
    <t>20181121/AKI/001075/00000460/003</t>
  </si>
  <si>
    <t>f/21112018/1ff40724f2a84123b32a105d2e71a6e0.jpg</t>
  </si>
  <si>
    <t>ROUND ACCENT CHAIR</t>
  </si>
  <si>
    <t>LIGHT GREY 1200</t>
  </si>
  <si>
    <t>DR10MM</t>
  </si>
  <si>
    <t xml:space="preserve">1. (21-11-2018 12:11:38)
-Produce sample as quoted
-First prepare frame for approval
</t>
  </si>
  <si>
    <t>7/21122018/4b889326dc1a4e26bac9dd14919b07c7.jpg</t>
  </si>
  <si>
    <t>1 DATA FINISHED- Code: 20181121/APO/001075/00000460/001</t>
  </si>
  <si>
    <t>20181121/APO/001075/00000460/001</t>
  </si>
  <si>
    <t>1/21112018/f2629fd90f8e4960982f6bc39644a34e.jpg</t>
  </si>
  <si>
    <t>STACKING OCC CHAIR</t>
  </si>
  <si>
    <t xml:space="preserve">1. (21-11-2018 12:11:38)
-Follow TD
-Apply basket weaving as per attached
-Item should be stackable
-Item to pass US test requirements (225lbs seat impact test).
</t>
  </si>
  <si>
    <t>1/17122018/82d0607081e54fb6b8686f090d5eb7fd.jpg</t>
  </si>
  <si>
    <t>790</t>
  </si>
  <si>
    <t>580</t>
  </si>
  <si>
    <t>710</t>
  </si>
  <si>
    <t>190</t>
  </si>
  <si>
    <t>106</t>
  </si>
  <si>
    <t>255</t>
  </si>
  <si>
    <t>4 SAMPLE APPROVED- Code: 20181121/PAL/001075/00000460/004</t>
  </si>
  <si>
    <t>20181121/PAL/001075/00000460/004</t>
  </si>
  <si>
    <t>a/04102018/c08dbfe038824f8e9f820cf967588036.jpg</t>
  </si>
  <si>
    <t>ROOFTOP</t>
  </si>
  <si>
    <t>2018-12-19</t>
  </si>
  <si>
    <t xml:space="preserve">1. An Huyen Cao(19-12-2018 13:20:07)
See photo in the attachment for the special back cushion for the Salamanca
</t>
  </si>
  <si>
    <t>c/24122018/a809ea5644314c3ebb1e6657d04dbd3e.jpg</t>
  </si>
  <si>
    <t>2018-12-31</t>
  </si>
  <si>
    <t>FERROCOM MOBEL</t>
  </si>
  <si>
    <t>1 FINISHED- Code: 20181122/ROO/001207/00000461/001</t>
  </si>
  <si>
    <t>20181122/ROO/001207/00000461/001</t>
  </si>
  <si>
    <t>c/16102018/513a9a11e760426c979cf393a1dae7fe.jpg</t>
  </si>
  <si>
    <t>2019-01-04</t>
  </si>
  <si>
    <t>STRETTI DINING CHAIR</t>
  </si>
  <si>
    <t xml:space="preserve">1. (03-12-2018 18:06:46)
Please note that two chairs needs to be created:
-	One for in-house inspection 
-	One to send to the client.
</t>
  </si>
  <si>
    <t>f/03012019/eb9f614aa8c74296839e3d31c2204003.jpg</t>
  </si>
  <si>
    <t>TERRAIN</t>
  </si>
  <si>
    <t>1 ISSUED- Code: 20181203/BIG/1105/00000464/001</t>
  </si>
  <si>
    <t>20181203/BIG/1105/00000464/001</t>
  </si>
  <si>
    <t>2018-12-23</t>
  </si>
  <si>
    <t>18x18 inch squared cushion (5cm thickness)</t>
  </si>
  <si>
    <t>see internal remarks</t>
  </si>
  <si>
    <t xml:space="preserve">1. PEPIJN VAN DEN BRINK(10-12-2018 16:46:53)
Arrange for 18x18 inch squared cushions for the meeting. Thickness 5 cm, following colors:
-2x Royal blended black
-1x Serval anthracite
-1x Royal sand
These cushions are for the meeting only so should be perfect and well fitting. Client sells own cushion so most chairs should be quoted excl seat cushion.
</t>
  </si>
  <si>
    <t>7/23012019/68e3e1be1bd54510932aea13ce13bd25.jpg</t>
  </si>
  <si>
    <t>Client A</t>
  </si>
  <si>
    <t>AVT office</t>
  </si>
  <si>
    <t>Connor to review samples before meeting.</t>
  </si>
  <si>
    <t>20 FINISHED- Code: 20181210/APO/001071/00000466/020</t>
  </si>
  <si>
    <t>20181210/APO/001071/00000466/020</t>
  </si>
  <si>
    <t>8/10122018/a5bf8bffe27c43eb8cfa53597b496268.jpg</t>
  </si>
  <si>
    <t>2019 - lounge chair version 2</t>
  </si>
  <si>
    <t xml:space="preserve">1. PEPIJN VAN DEN BRINK(10-12-2018 12:28:23)
-APART FROM SAMPLE REQUEST 'MELTON SET 1071', CLIENT WOULD LIKE TO SEE ANOTHER VERSION OF THE CHAIR WITH DIFFERENT ALU CONSTRUCTION FOR THE SEAT. PLEASE FOLLOW ATTACHED TD. 
-NO NEED FOR ANOTHER CUSHION AS WE ALREADY HAVE FOR THE MELTON 1071 SET
</t>
  </si>
  <si>
    <t>3/08012019/a72eaff472204b8aadcc4a8db5649b10.jpg</t>
  </si>
  <si>
    <t>18 ISSUED- Code: 20181210/PAL/001071/00000466/018</t>
  </si>
  <si>
    <t>20181210/PAL/001071/00000466/018</t>
  </si>
  <si>
    <t>4/04122018/4a0b733aba284008b14280c08fcf915d.jpg</t>
  </si>
  <si>
    <t>2018-12-24</t>
  </si>
  <si>
    <t>2036 - New dining chair 2</t>
  </si>
  <si>
    <t>STEEL UNDERFRAME, ALU SEAT FRAME</t>
  </si>
  <si>
    <t>ROUND 4MM</t>
  </si>
  <si>
    <t xml:space="preserve">1. PEPIJN VAN DEN BRINK(04-12-2018 17:15:02)
This chair has quite some similarities with Mallow but different proportions (indicated with blue circles attached):
-Arm tubes move backwards and are less skewered then mallow
-Proportion between total height back and height arms is different
-Chair to hold 18x18inch seat cushion
-Underframe in steel, upper part ALU --&gt; Please advise which tube sizes APO suggests to follow
-Create frame first for approval
-Angle of back to follow Mallow dining, wicker to be woven tightly to have enough support in the back (comfort)
-Adding initial request from client as well for your reference.
</t>
  </si>
  <si>
    <t>5/08012019/909cc7cd3ab4411f99eb73f8ba58f391.jpg</t>
  </si>
  <si>
    <t>48</t>
  </si>
  <si>
    <t>9 FINISHED- Code: 20181204/APO/001071/00000466/009</t>
  </si>
  <si>
    <t>20181204/APO/001071/00000466/009</t>
  </si>
  <si>
    <t>6/04122018/0a29d996ce7547139c40e8f59f61cea2.jpg</t>
  </si>
  <si>
    <t>2037 - NEW DINING CHAIR 1071</t>
  </si>
  <si>
    <t>ALU seatpart, STEEL underframe</t>
  </si>
  <si>
    <t>POWDERCOATED OYSTER</t>
  </si>
  <si>
    <t>DR 10MM</t>
  </si>
  <si>
    <t>NEW COLOR --&gt; MYVAN</t>
  </si>
  <si>
    <t xml:space="preserve">1. PEPIJN VAN DEN BRINK(04-12-2018 16:49:11)
Follow chair in 1st attachment to create frame for approval (note to follow shape of frame!) - ESTIMATED DIMENSIONS GIVEN
-Seatframe in alu, underframe in steel
-Important that chair holds the 18x18inch cushion (squared).
-For wicker, Myvan is arranging (to match the Oyster frame color)
-Underframe: use same tubes as used on sample you made for 1071 last year (see 2nd attachment)
-For the angle of the back, please follow the earlier chair from last year, it was comfortable)
-NOTE THE FLAT WEAVE ON THE ARMS, we did something similar on BEJA (see TS code FA0N). This sample with have thinner tube but idea of weaving is the same.
-CUSHION EXCLUDED
</t>
  </si>
  <si>
    <t>9/08012019/e59a216477d2424e8bce4dd09b3ed687.jpg</t>
  </si>
  <si>
    <t>8 FINISHED- Code: 20181204/APO/001071/00000466/008</t>
  </si>
  <si>
    <t>20181204/APO/001071/00000466/008</t>
  </si>
  <si>
    <t>b/10122018/a28d0b26993940f2a1e7d0b70916b9ae.jpg</t>
  </si>
  <si>
    <t>2018-12-26</t>
  </si>
  <si>
    <t>2038 - Dining chair</t>
  </si>
  <si>
    <t>18X18 INCH SQUARED</t>
  </si>
  <si>
    <t>ROYAL BLENDED BLACK</t>
  </si>
  <si>
    <t xml:space="preserve">1. PEPIJN VAN DEN BRINK(10-12-2018 12:17:21)
MYVAN TO PROVIDE WICKER (PLEASE MONITOR ONTIME DELIVERY)
TD TO BE UPLOADED SOON
MAKE SURE BACKPART IS COMFORTABLE WITHOUT BACK CUSHION
UNDERFRAME TO FOLLOW THICKNESS OF WATES PROFILE
WEAVING PATTERN --&gt; fOLLOW REFERENCE IMAGE
UPPER PART: COMPLETE FRAME TO BE WRAPPED WITH WICKER (NO EXPOSED STEEL)
</t>
  </si>
  <si>
    <t>7/08012019/613673c44afb4c2fa458ca5b254324e0.jpg</t>
  </si>
  <si>
    <t>17 ISSUED- Code: 20181210/BIG/001071/00000466/017</t>
  </si>
  <si>
    <t>20181210/BIG/001071/00000466/017</t>
  </si>
  <si>
    <t>5/10122018/d4a61539a2424383b09f20cf0bad3761.jpg</t>
  </si>
  <si>
    <t>BARSTOOL 1071</t>
  </si>
  <si>
    <t xml:space="preserve">1. PEPIJN VAN DEN BRINK(10-12-2018 12:34:04)
FOLLOW TD ATTACHED
CHAIR SHOULD FIT CLIENT OWN 18X18 INCH CUSHION (SQUARED SHAPE!)
ANGLE OF BACK TO BE COMFORTABLE WITHOUT BACK CUSHION
FOR ROUND 4MM WICKER, CONTACT MYVAN.
WEAVING: PLEASE FOLLOW 2ND ATTACHMENT
</t>
  </si>
  <si>
    <t>6/04012019/8359a8610598469fa6f3160b37bd8297.jpg</t>
  </si>
  <si>
    <t>19 ISSUED- Code: 20181210/PAL/001071/00000466/019</t>
  </si>
  <si>
    <t>20181210/PAL/001071/00000466/019</t>
  </si>
  <si>
    <t>b/04122018/3ace969c488148cea14fd04187b5e59a.jpg</t>
  </si>
  <si>
    <t>Bern (TEAKLOOK) with 6mm round weave black</t>
  </si>
  <si>
    <t xml:space="preserve">1. PEPIJN VAN DEN BRINK(04-12-2018 15:53:12)
-TAKE BERN FRAME WHICH TEC IS CURRENTLY IMPROVING TO PASS US STANDARDS. REPLACE WOODEN SEAT BY WICKER SEAT AS PER REFERENCE IMAGE ATTACHED. MAKE SURE ALSO TO WRAP THE SIDE BARS OF THE SEAT AS PER ATTACHED.
-ASK MYVAN FOR THE ROUND 4MM BLACK WICKER 
-MAKE SURE WEAVE IS TIGHT.
</t>
  </si>
  <si>
    <t>4/03012019/ee9bca4b959a4f8bbfe4a3e89454baa1.jpg</t>
  </si>
  <si>
    <t>2 ISSUED- Code: 20181204/TEC/001071/00000466/002</t>
  </si>
  <si>
    <t>20181204/TEC/001071/00000466/002</t>
  </si>
  <si>
    <t>3/04122018/2c242485d6e244828124089cbc9091ef.jpg</t>
  </si>
  <si>
    <t>Bern chair (light teak look)</t>
  </si>
  <si>
    <t xml:space="preserve">1. PEPIJN VAN DEN BRINK(04-12-2018 15:55:35)
Continue to improve the Bern chair as instructed by Tu to pass US testing. Please note this version in light teak look. The version with wicker seat in teak look.
</t>
  </si>
  <si>
    <t>c/19122018/dff4055adaeb4516a8d1e586b173fb3a.jpg</t>
  </si>
  <si>
    <t>3 ISSUED- Code: 20181204/TEC/001071/00000466/003</t>
  </si>
  <si>
    <t>20181204/TEC/001071/00000466/003</t>
  </si>
  <si>
    <t>1/04122018/d5300cf867fa48d18b092fa4cb09ca4d.jpg</t>
  </si>
  <si>
    <t>Cervo modular set 1071 (middle piece, armless 2seater, 1s left arm, 1s right arm, corner piece, chair, hocker)</t>
  </si>
  <si>
    <t>WOODEN LEGS</t>
  </si>
  <si>
    <t>SMOOTH ANTIQUE GREY</t>
  </si>
  <si>
    <t>SERVAL ANTHRACITE</t>
  </si>
  <si>
    <t xml:space="preserve">1. PEPIJN VAN DEN BRINK(04-12-2018 15:41:45)
-Please find attached renders with required overall dimensions attached. Please note to reduce overall frame dimensions in order to accompany overall dimensions in the attached sheets. For further Cervo details (if needed), please consult BIG.
-Make sure pieces &amp; cushions fit well to each other and include connectors to be sure
-Use the rattan mixed brown 10mm round that was made by APO (as per discussion through Skype). Same shape to follow as 10mm round used for SPOGA.
-AS DISCUSSED, REDUCE DIMENSIONS OF THE CERVO CHAIR TO MATCH WITH OUR SPOGA VERSION.
-OPEN THE SEATS --&gt; FOLLOW EMAIL SENT ON 10-12
-Attached the wooden legs underneath the items, arrange for an extra set of ALU legs painted in the color of the cervo underframe.
</t>
  </si>
  <si>
    <t>4/08012019/615d46745a2542448eb10ccefed5bace.jpg</t>
  </si>
  <si>
    <t>1 FINISHED- Code: 20181204/APO/001071/00000466/001</t>
  </si>
  <si>
    <t>20181204/APO/001071/00000466/001</t>
  </si>
  <si>
    <t>COLOR SWATCHES-APO</t>
  </si>
  <si>
    <t>SEE INTERNAL REMARK</t>
  </si>
  <si>
    <t xml:space="preserve">1. (12-12-2018 10:17:31)
- MAKE 3 PCS OF SWATCH FOR STEEL, GREY COLOR (Cervo modular set)
-  MAKE 3 PCs OF SWATCH (30.5 x 30.5 CM) FOR RATTAN MIX BROWN WICKER , ROUND 10MM (Cervo modular set)
- MAKE 3 PCs OF SWATCH (30.5 x 30.5 CM) FOR SERVAL ANTHRACITE FABRIC (Cervo modular set)
- MAKE 3 PCs OF SWATCH  FOR POWDER COATED ALU OYSTER (2037 new dining chair 1071)
- MAKE 3 PCs OF SWATCH FOR POWDER COATED STEEL OYSTER (2037 new dining chair 1071)
- MAKE 3 PCs OF SWATCH (30.5 x 30.5 CM) FOR DR 10MM  WICKER -NEW COLOR (2037 NEW DINING CHAIR COLOR)
- MAKE 3 PCs OF SWATCH, STEEL, BLACK COLOR (2036 - New dining chair 2)
- MAKE 3 PCs OF SWATCH (30.5 x 30.5 CM) ROUND 4MM WICKER, BLACK COLOR  (2036 NEW DINING CHAIR 2)
- MAKE 3 PCs OF SWATCH (30.5 x 30.5 CM) FLAT 7MM WICKER, RATTAN GREY (Norton lounge set 1071)
- MAKE 3 PCs OF SWATCH (30.5 x 30.5 CM )NATURAL BROWN COLOR FABRIC (Norton lounge set 1071)
- MAKE 3 PCS OF SWATCH FOR STEEL, POWDER COATED BLACK, LIGHT YELLOW (Norton lounge set 1071)
</t>
  </si>
  <si>
    <t>5/23012019/e896762c39fa40af848a0078d095cd87.jpg</t>
  </si>
  <si>
    <t>21 FINISHED- Code: 20181212/APO/001071/00000466/021</t>
  </si>
  <si>
    <t>20181212/APO/001071/00000466/021</t>
  </si>
  <si>
    <t>COLOR SWATCHES-BIG</t>
  </si>
  <si>
    <t xml:space="preserve">1. (12-12-2018 10:50:36)
- MAKE 3 PCS OF SWATCH FOR POWDER COATED BLACK (New lounge chair 1071)
- MAKE 3 PCS OF SWATCH FOR POWDER COATED GREY (New lounge chair 1071)
- MAKE 3 PCS OF SWATCH (30.5 x 30.5 CM) FOR ROUND 4MM WICKER, LIGHT GREY 1200  (New lounge chair 1071)
- MAKE 3 PCS OF SWATCH (30.5 x 30.5 CM)  FOR ROYAL STONE BROWN FABRIC (New lounge chair 1071)
- MAKE 3 PCS OF SWATCH (30.5 x 30.5 CM) FOR ROUND 4MM WICKER, BLENDED ANTHRACITE (2036 dining chair)
- MAKE 3 PCS OF SWATCH (30.5 x 30.5 CM) FOR ROYAL BLENDED BLACK FABRIC (2036 dining char)
</t>
  </si>
  <si>
    <t>23 ISSUED- Code: 20181212/BIG/001071/00000466/023</t>
  </si>
  <si>
    <t>20181212/BIG/001071/00000466/023</t>
  </si>
  <si>
    <t>COLOR SWATCHES-PAL</t>
  </si>
  <si>
    <t xml:space="preserve">1. (12-12-2018 10:31:00)
- MAKE 3 PCS OF SWATCH (30.5 x 30.5 CM) FOR ROUND 6MM, RATTAN MIXED NATURAL WICKER (Delhi lounge chair 1071 - chunky weave round 6mm)
- MAKE 3 PCS OF SWATCH (30.5 x 30.5 CM) FOR FLAT 7MM,  RATTAN GREY WICKER
- MAKE 3 PCS OF SWATCH (30.5 x 30.5 CM) FOR LOOM BLACK WICKER
- MAKE 3 PCS OF SWATCH FOR ALU ANTHRACITE 
- MAKE 3 PCS OF SWATCH (30.5 x 30.5 CM) FOR ROYAL ANTHRACITE FABRIC
- MAKE 3 PCS OF SWATCH FOR  ALU BLACK
- MAKE 3 PCS OF SWATCH (30.5 x 30.5 CM) FOR ROUND 4MM WICKER, BLACK
</t>
  </si>
  <si>
    <t>22 ISSUED- Code: 20181212/PAL/001071/00000466/022</t>
  </si>
  <si>
    <t>20181212/PAL/001071/00000466/022</t>
  </si>
  <si>
    <t>1/04122018/518f163868aa4180a4cf416a4f1905e6.jpg</t>
  </si>
  <si>
    <t>Delhi 1071 new basket weave pattern</t>
  </si>
  <si>
    <t xml:space="preserve">1. PEPIJN VAN DEN BRINK(04-12-2018 16:22:23)
TAKE EXISTING DELHI LOUNGE CHAIR FRAME FOR 1071 AND APPLY NEW WEAVE.
FOR WEAVE PATTERN, PLEASE FOLLOW ATTACHED.
</t>
  </si>
  <si>
    <t>9/31122018/e09fec5967814b9e87b031c4701aeb7c.jpg</t>
  </si>
  <si>
    <t>5 DATA FINISHED- Code: 20181204/PAL/001071/00000466/005</t>
  </si>
  <si>
    <t>20181204/PAL/001071/00000466/005</t>
  </si>
  <si>
    <t>e/19122018/1c6a0a3106d942a3a580824e9b762add.jpg</t>
  </si>
  <si>
    <t>PAI-01-VHM</t>
  </si>
  <si>
    <t>2019-01-03</t>
  </si>
  <si>
    <t>DELHI ARM LOUNGE CHAIR WITH HIGHER SEAT &amp; CHUNKY LEGS</t>
  </si>
  <si>
    <t xml:space="preserve">1. PEPIJN VAN DEN BRINK(19-12-2018 14:49:07)
-This lounge chair has a different frame design then standard delhi lounge chair 1071. Legs are chunkier and shapes are different. Please follow reference image &amp; td for design &amp; thicknesses.
-Chair has higher seat. Front seat height is comparable with current delhi lounge chair frame. Back height is increased to obtain overall higher seat.
</t>
  </si>
  <si>
    <t>e/07012019/2a7116cbeed64e9bb07e48c47307fa44.jpg</t>
  </si>
  <si>
    <t>25 ISSUED- Code: 20181219/TEC/001071/00000466/025</t>
  </si>
  <si>
    <t>20181219/TEC/001071/00000466/025</t>
  </si>
  <si>
    <t>9/19122018/0b68512a0680458895253982d420d6fd.jpg</t>
  </si>
  <si>
    <t>DELHI DINING ARMCHAIR CHUNKY LEGS</t>
  </si>
  <si>
    <t xml:space="preserve">1. PEPIJN VAN DEN BRINK(19-12-2018 14:49:07)
-NOTE THAT THIS IS A NEW VERSION OF DELHI DINING CHAIR, INCLUDING ARMS AND CHUNKIER TAPERED LEGS
-FOLLOW REFERENCE IMAGE &amp; TD FOR SHAPE &amp; THICKNESSES OF THE WOOD
-APPLY BASKET WEAVE IN FLAT BLACK WICKER
</t>
  </si>
  <si>
    <t>d/06012019/656f9f1a03bb4993a2c1da54f10cfff1.jpg</t>
  </si>
  <si>
    <t>24 ISSUED- Code: 20181219/TEC/001071/00000466/024</t>
  </si>
  <si>
    <t>20181219/TEC/001071/00000466/024</t>
  </si>
  <si>
    <t>0/04122018/46564481e8834740b665285077b3593a.jpg</t>
  </si>
  <si>
    <t>DELHI LOUNGE CHAIR - 2 WEAVING PATTERNS</t>
  </si>
  <si>
    <t xml:space="preserve">1. PEPIJN VAN DEN BRINK(04-12-2018 16:22:24)
USE EXISTING DELHI LOUNGE CHAIR FRAME AND APPLY 2 WEAVINGS:
BACK: FOLLOW STANDARD BASKET WEAVE AS PER ATTACHED (LIKE WE ALSO DO FOR 1084)
SEAT: APPLY WEAVE AS PER 2ND ATTACHMENT (LIKE DONE ON THE LOUNGE CHAIR FOR ID 1084)
WICKER: COMPLETELY WITH FLAT 7MM RATTAN GREY
</t>
  </si>
  <si>
    <t>3/04012019/b8702be9cfff4303a9cd0a089fc04992.jpg</t>
  </si>
  <si>
    <t>6 ISSUED- Code: 20181204/PAL/001071/00000466/006</t>
  </si>
  <si>
    <t>20181204/PAL/001071/00000466/006</t>
  </si>
  <si>
    <t>2/04122018/9e3035a4a7944d60a66d39a077f66e1c.jpg</t>
  </si>
  <si>
    <t>Delhi lounge chair 1071 - chunky weave round 6mm</t>
  </si>
  <si>
    <t xml:space="preserve">1. PEPIJN VAN DEN BRINK(04-12-2018 16:09:05)
-Take existing delhi frame 1071 and add the chunky weave.
-For weaving pattern, please refer to attached example.
</t>
  </si>
  <si>
    <t>d/03012019/1174ac85a05e4dee997ad219ad798f8f.jpg</t>
  </si>
  <si>
    <t>4 ISSUED- Code: 20181204/TEC/001071/00000466/004</t>
  </si>
  <si>
    <t>20181204/TEC/001071/00000466/004</t>
  </si>
  <si>
    <t>6/04122018/8dd97155bc1a43cb9c8330edd1bd5806.jpg</t>
  </si>
  <si>
    <t>DELHI LOUNGE CHAIR 1071 - LOOM BLACK</t>
  </si>
  <si>
    <t>LOOM</t>
  </si>
  <si>
    <t xml:space="preserve">1. PEPIJN VAN DEN BRINK(04-12-2018 16:22:24)
-USE EXISTING FRAME FOR DELHI LOUNGE CHAIR 1071
-APPLY LOOM WEAVE AS PER ATTACHED
-CONTACT MYVAN FOR THE LOOM WICKER IN BLACK, WICKER SHOULD NOT BE TOO SHINY
</t>
  </si>
  <si>
    <t>e/04012019/783a401288f347ec9d227e40b0bd6252.jpg</t>
  </si>
  <si>
    <t>7 ISSUED- Code: 20181204/PAL/001071/00000466/007</t>
  </si>
  <si>
    <t>20181204/PAL/001071/00000466/007</t>
  </si>
  <si>
    <t>c/06122018/8eba4b05cde4475497fd12e05100a2ac.jpg</t>
  </si>
  <si>
    <t>Melton set 1071 (bench &amp; chair)</t>
  </si>
  <si>
    <t>AS PER INTERNAL REMARKS</t>
  </si>
  <si>
    <t xml:space="preserve">1. PEPIJN VAN DEN BRINK(06-12-2018 12:43:09)
-Please check Renders and TDs carefully (attached).
-Same colors as Betis range for 1071
-Back &amp; seat cushion thickness: Follow design in renderings, thickness 8cm.
-Sample quantity: 1x bench, 1x chair
</t>
  </si>
  <si>
    <t>b/07012019/334ad9a7364a421fbee5c03d312b26b7.jpg</t>
  </si>
  <si>
    <t>12 ISSUED- Code: 20181206/PAL/001071/00000466/012</t>
  </si>
  <si>
    <t>20181206/PAL/001071/00000466/012</t>
  </si>
  <si>
    <t>5/10122018/bbd38740fa2e442fabdf177a225d9765.jpg</t>
  </si>
  <si>
    <t>New lounge chair 1071</t>
  </si>
  <si>
    <t>UNDERFRAME POWDERCOATED BLACK, UPPER FRAME POWDERCOATED GREY</t>
  </si>
  <si>
    <t>5CM THICKNESS,</t>
  </si>
  <si>
    <t>ROYAL STONE BROWN</t>
  </si>
  <si>
    <t xml:space="preserve">1. PEPIJN VAN DEN BRINK(10-12-2018 12:17:21)
Follow TD attached
Apply weaving pattern as per 2nd attachment
Make sure angle of the back is comfortable without back cushion
Underframe to be KD to optimize load ability
</t>
  </si>
  <si>
    <t>0/07012019/4020d5390dfd4f0f8c28a7fa140b6bc5.jpg</t>
  </si>
  <si>
    <t>16 ISSUED- Code: 20181210/BIG/001071/00000466/016</t>
  </si>
  <si>
    <t>20181210/BIG/001071/00000466/016</t>
  </si>
  <si>
    <t>0/06122018/db2c39083fe443c09b884b94262e7e4c.jpg</t>
  </si>
  <si>
    <t>Norton lounge set 1071</t>
  </si>
  <si>
    <t>POWDERCOATED</t>
  </si>
  <si>
    <t>12,5CM THICKNESS, DESIGN AS PER RENDER</t>
  </si>
  <si>
    <t>AS PER RENDER</t>
  </si>
  <si>
    <t xml:space="preserve">1. PEPIJN VAN DEN BRINK(06-12-2018 12:43:09)
Set initially comes from ROS but we need to create a cheaper version by using steel frame and reduced overall dimensions. Check pictures of Norton in TS for your reference but make sure to use dimensions exactly as TD's! Remarks:
-Height of apron underneath seat to be 57mm, just like width of upper part of the legs.
-Use squared profiles for the steel construction, not round
-Legs to be KD to optimize loading
-Sample Q: 1xbench, 1xtable, 1xchair
</t>
  </si>
  <si>
    <t>e/08012019/a1fbabb4cc4f4279b6c50f64e6789559.jpg</t>
  </si>
  <si>
    <t>83/83/83/120</t>
  </si>
  <si>
    <t>100.5/100.5/174/70</t>
  </si>
  <si>
    <t>61/61/61/31.5</t>
  </si>
  <si>
    <t>86/86/86/123</t>
  </si>
  <si>
    <t>103.5/103.5/177/73</t>
  </si>
  <si>
    <t>65/65/65/35.5</t>
  </si>
  <si>
    <t>11 FINISHED- Code: 20181206/APO/001071/00000466/011</t>
  </si>
  <si>
    <t>20181206/APO/001071/00000466/011</t>
  </si>
  <si>
    <t>6/06122018/4ca6f97eb2214b38beb91dfe68e3b835.jpg</t>
  </si>
  <si>
    <t>ROUND DINING TABLE 1071</t>
  </si>
  <si>
    <t xml:space="preserve">1. PEPIJN VAN DEN BRINK(06-12-2018 13:07:56)
FOLLOW TD ATTACHED AND MAKE SURE TO INCLUDE AN UMBRELLA HOLE. THERE IS ALSO CONSTRUCTION FOR THE UMBRELLA HOLE INSIDE THE BASE.
PLEASE CHECK IF BASE 40X40CM PASSES TESTING, IF NOT, WE MIGHT NEED TO INCREASE DIMENSIONS OF THE BASE A BIT.
</t>
  </si>
  <si>
    <t>5/08012019/dbbd1396161543ba9bbea6b5dac2f2ae.jpg</t>
  </si>
  <si>
    <t>15 ISSUED- Code: 20181206/TEC/001071/00000466/015</t>
  </si>
  <si>
    <t>20181206/TEC/001071/00000466/015</t>
  </si>
  <si>
    <t>6/06122018/f329d5646f0b48ef88839dddb2578107.jpg</t>
  </si>
  <si>
    <t>Small bar table 1071</t>
  </si>
  <si>
    <t>LIGHT ANTHRACITE 1071</t>
  </si>
  <si>
    <t xml:space="preserve">1. PEPIJN VAN DEN BRINK(06-12-2018 12:52:53)
FOLLOW TD ATTACHED AND NOTE TO INCLUDE UMBRELLA HOLE.
</t>
  </si>
  <si>
    <t>f/10012019/36b9d099d0a945ceb76b626bebdef393.jpg</t>
  </si>
  <si>
    <t>13 ISSUED- Code: 20181206/APH/001071/00000466/013</t>
  </si>
  <si>
    <t>20181206/APH/001071/00000466/013</t>
  </si>
  <si>
    <t>b/06122018/c1886f5f903044b7a75c88c63bf7d884.jpg</t>
  </si>
  <si>
    <t>Small chat table 1071</t>
  </si>
  <si>
    <t xml:space="preserve">1. PEPIJN VAN DEN BRINK(06-12-2018 13:02:52)
FOLLOW ATTACHED TD AND INCLUDE UMBRELLA HOLE.
</t>
  </si>
  <si>
    <t>c/10012019/4518f1e9cdc446ee90cb18edf293eb52.jpg</t>
  </si>
  <si>
    <t>14 ISSUED- Code: 20181206/APH/001071/00000466/014</t>
  </si>
  <si>
    <t>20181206/APH/001071/00000466/014</t>
  </si>
  <si>
    <t>8/05122018/47d3376a4bf8419bb03ad212fe727e0e.jpg</t>
  </si>
  <si>
    <t>Veltis table &amp; bench 1071</t>
  </si>
  <si>
    <t xml:space="preserve">1. PEPIJN VAN DEN BRINK(05-12-2018 15:07:11)
-USE SAME WOOD &amp; POLYSTONE COLORS FOR BENCH &amp; TABLE AS FOR ANZIO ROUND TABLE
-FOLLOW DIMENSIONS IN TD EXACTLY, NOTE 22CM OVERHANG FOR TABLE ON BOTH ENDS
-PLEASE UPDATE THICKNESS OF TOP FOR BENCH &amp; TABLE TO 5CM INSTEAD OF 6 TO CUT COSTS.
SAMPLE QUANTITY: 1X BENCH, 1X TABLE
TABLE TARGET: 190$
BENCH TARGET: 90$
</t>
  </si>
  <si>
    <t>e/03012019/f60360cbb64649c89d6cd979f5a7afdf.jpg</t>
  </si>
  <si>
    <t>10 ISSUED- Code: 20181205/APH/001071/00000466/010</t>
  </si>
  <si>
    <t>20181205/APH/001071/00000466/010</t>
  </si>
  <si>
    <t>b/05122018/5d4a59cc2856489e81e8c8fe963781b1.jpg</t>
  </si>
  <si>
    <t>2019-01-05</t>
  </si>
  <si>
    <t xml:space="preserve">BATAVIA COFFEE BENCH 150 CM WITHOUT  TRAY</t>
  </si>
  <si>
    <t>CHALK WHITE</t>
  </si>
  <si>
    <t xml:space="preserve">1. Vo Thi My Dieu(05-12-2018 06:49:25)
Target price $45
Compared with previous sample of 1262
 -Remove the extandable table parts of the bench. 
- Change color
</t>
  </si>
  <si>
    <t>6/14012019/d8887114819f473e935b8821d8ba03dc.jpg</t>
  </si>
  <si>
    <t>145.5</t>
  </si>
  <si>
    <t>23 ISSUED- Code: 20181205/ROS/001262/00000467/023</t>
  </si>
  <si>
    <t>20181205/ROS/001262/00000467/023</t>
  </si>
  <si>
    <t>9/05122018/fb9f6de0c06f40688648fbcbfa40ec79.jpg</t>
  </si>
  <si>
    <t>BENCH OF STEEL ROPE LOUNGE SET( 2X CHAIR + 1X TABLE + 1X BENCH)</t>
  </si>
  <si>
    <t xml:space="preserve">ROYAL ANTRACITE  180gr</t>
  </si>
  <si>
    <t xml:space="preserve">1. Vo Thi My Dieu(05-12-2018 06:49:25)
- Retrieve sample from showroom and only adjust bench. 
- Reduce back cushion thickness with 3 cm
- Make bench 15cm wider
- Pls follow TD
</t>
  </si>
  <si>
    <t>b/07012019/d298011694cf44beb0aae6fdb8db7334.jpg</t>
  </si>
  <si>
    <t>18 ISSUED- Code: 20181205/PAL/001262/00000467/018</t>
  </si>
  <si>
    <t>20181205/PAL/001262/00000467/018</t>
  </si>
  <si>
    <t>7/05122018/586919fb6d3446e49ad7326a35ed844d.jpg</t>
  </si>
  <si>
    <t>grey</t>
  </si>
  <si>
    <t>WHITE FADED GREY</t>
  </si>
  <si>
    <t xml:space="preserve">1. Vo Thi My Dieu(05-12-2018 06:49:23)
Produce only the table. Chairs will be add from Corfu Dining set 1262 (sample request 1). 
1&gt; -  Reduce amount of cross lines to reduce wicker consumption
- Reduce overall wicker consumption
- Reduce overall amount of wicker
      Target price: table: $34.63 
2&gt; Pls follow TD
</t>
  </si>
  <si>
    <t>2/15012019/18b7cf3023f9431a9ab060a48e31447a.jpg</t>
  </si>
  <si>
    <t>74/44</t>
  </si>
  <si>
    <t>4/78</t>
  </si>
  <si>
    <t>2 FINISHED- Code: 20181205/APO/001262/00000467/002</t>
  </si>
  <si>
    <t>20181205/APO/001262/00000467/002</t>
  </si>
  <si>
    <t>a/05122018/c70361ce55824357aaa5154ddffb46f3.jpg</t>
  </si>
  <si>
    <t xml:space="preserve">1. Vo Thi My Dieu(05-12-2018 06:49:23)
1&gt; Flat wicker  table top
     Size 164x89
     Reduce cushion thickness in the back
- Send back original samples of bench + chair to recycle the frames
- Reduce thickness of cross lines to reduce wicker consumption
- Note TD includes additional layer (also flat KD)
- Reduce overall seat width of the chairs to reduce costs
- Reduce overall amount of wicker consumption in the weave
- All above suggestion should result in target price of $350,-. Only sample this if this is achievable
- In description the term flat wicker is meant for table top. 
2&gt; Pls follow TD
</t>
  </si>
  <si>
    <t>0/15012019/1e2039f1ed4549279134551adf946cc1.jpg</t>
  </si>
  <si>
    <t>76/76/76/165</t>
  </si>
  <si>
    <t>67/67/132/90</t>
  </si>
  <si>
    <t>89/89/89/76</t>
  </si>
  <si>
    <t>9/9/18/21</t>
  </si>
  <si>
    <t>10/10/19.5/23</t>
  </si>
  <si>
    <t>1/1/1/1/1</t>
  </si>
  <si>
    <t>77/77/77/166/110</t>
  </si>
  <si>
    <t>68/68/133/90/67</t>
  </si>
  <si>
    <t>91/91/91/5/75</t>
  </si>
  <si>
    <t>1 FINISHED- Code: 20181205/APO/001262/00000467/001</t>
  </si>
  <si>
    <t>20181205/APO/001262/00000467/001</t>
  </si>
  <si>
    <t>b/06122018/a91ea6fa36bb4d7c83dab22ca68a2a98.jpg</t>
  </si>
  <si>
    <t xml:space="preserve">COVER CUSHION OF COSTA RICA LOUNGE SET  5 PCS (2X CHAIR, BENCH, MELFORT TABLE 60cm, MELFORT TABLE 40cm)</t>
  </si>
  <si>
    <t xml:space="preserve">1. (12-12-2018 17:01:19)
Please note that only the cushion covers are needed.
</t>
  </si>
  <si>
    <t>29 ISSUED- Code: 20181206/DAN/001262/00000467/029</t>
  </si>
  <si>
    <t>20181206/DAN/001262/00000467/029</t>
  </si>
  <si>
    <t>e/05122018/071156d7e78b4442bcf6212fe07d08e3.jpg</t>
  </si>
  <si>
    <t>CUSHION SET FOR MACKAY LOUNGE CORNER SET ADJUST HEADBOARD</t>
  </si>
  <si>
    <t xml:space="preserve">1. Vo Thi My Dieu(05-12-2018 06:49:24)
Check if last sample from meeting is available at showroom and collect at factory. 
 If available, then only the seat cushions needs to be reworked.  Needs harder seat cushion. 
NEED HARDER SEAT CUSHION
</t>
  </si>
  <si>
    <t>9 ISSUED- Code: 20181205/PAL/001262/00000467/009</t>
  </si>
  <si>
    <t>20181205/PAL/001262/00000467/009</t>
  </si>
  <si>
    <t>7/06122018/22ac0330136f41a3b486c82a35828b66.jpg</t>
  </si>
  <si>
    <t>DOMINO CHAIR</t>
  </si>
  <si>
    <t xml:space="preserve">1. Vo Thi My Dieu(06-12-2018 10:36:00)
Target price needs to be 45usd, factory needs to make an promo version of the Domino chair.
- make the seatframe the same as  # 8: ISSUED - Code: 20181204/APO/001071/00000466/008
2037 - NEW DINING CHAIR 1071.
- Make the underframe in wood and as cheap as possible.
</t>
  </si>
  <si>
    <t>c/16012019/26f2c981a3834ba3b2e9b504afe4cd2a.jpg</t>
  </si>
  <si>
    <t>29 FINISHED- Code: 20181206/APO/001262/00000467/029</t>
  </si>
  <si>
    <t>20181206/APO/001262/00000467/029</t>
  </si>
  <si>
    <t>5/05122018/19ad9f28278e44d782bd3646a188125e.jpg</t>
  </si>
  <si>
    <t xml:space="preserve">1. Vo Thi My Dieu(05-12-2018 06:49:24)
1&gt; Target price: $150
2&gt; Pls follow the TD
</t>
  </si>
  <si>
    <t>a/07012019/4bce189d86784833852b91a54e0f10af.jpg</t>
  </si>
  <si>
    <t>8 ISSUED- Code: 20181205/PAL/001262/00000467/008</t>
  </si>
  <si>
    <t>20181205/PAL/001262/00000467/008</t>
  </si>
  <si>
    <t>0/05122018/56747c48feb84ac2853fc81ee8be7e07.jpg</t>
  </si>
  <si>
    <t>IDAHO DINING TABLE 170X90X75CM</t>
  </si>
  <si>
    <t>POLYCEMENT</t>
  </si>
  <si>
    <t xml:space="preserve">1. Vo Thi My Dieu(06-12-2018 10:36:00)
Target price: $90
</t>
  </si>
  <si>
    <t>3/14012019/764c06967b3f45ce9ff88efaf3d93859.jpg</t>
  </si>
  <si>
    <t>45</t>
  </si>
  <si>
    <t>179</t>
  </si>
  <si>
    <t>24 ISSUED- Code: 20181205/APH/001262/00000467/024</t>
  </si>
  <si>
    <t>20181205/APH/001262/00000467/024</t>
  </si>
  <si>
    <t>9/05122018/2fb4e74670b342ca94b1eaed7ebddbaa.jpg</t>
  </si>
  <si>
    <t xml:space="preserve">IDAHO DINING TABLE 170X90X75CM  WITH ALU LEGS</t>
  </si>
  <si>
    <t xml:space="preserve">1. Vo Thi My Dieu(06-12-2018 10:36:00)
Target price: $110
</t>
  </si>
  <si>
    <t>25 CREATED- Code: 20181205/XXX/001262/00000467/025</t>
  </si>
  <si>
    <t>20181205/XXX/001262/00000467/025</t>
  </si>
  <si>
    <t>0/05122018/a588cd5b2ad54acd845289c09a96db38.jpg</t>
  </si>
  <si>
    <t>LEBANON LOUNGE BENCH 3-SEATER</t>
  </si>
  <si>
    <t>HAFL ROUND</t>
  </si>
  <si>
    <t>WILL ADVISE LATER</t>
  </si>
  <si>
    <t xml:space="preserve">1. Vo Thi My Dieu(05-12-2018 06:49:24)
- change steel to alu
- change flat to HR
- target price $180,-
Please first check and confirm target price before sampling.
2&gt; Pls follow TD
</t>
  </si>
  <si>
    <t>9/14012019/13e855e74b6c485091db3553b0d5feb5.jpg</t>
  </si>
  <si>
    <t>38.5</t>
  </si>
  <si>
    <t>44.5</t>
  </si>
  <si>
    <t>191</t>
  </si>
  <si>
    <t>5 ISSUED- Code: 20181205/BIG/001262/00000467/005</t>
  </si>
  <si>
    <t>20181205/BIG/001262/00000467/005</t>
  </si>
  <si>
    <t>d/05122018/bbac24c19e5940f8ac55ef9a45a06675.jpg</t>
  </si>
  <si>
    <t xml:space="preserve">1. Vo Thi My Dieu(05-12-2018 06:49:24)
- Change steel to Alu
- Change flat to HR
- Target 95,-usd.
Please first check and confirm target price before sampling. 
2&gt;Pls follow TD
</t>
  </si>
  <si>
    <t>4/14012019/d5588db676594b5ca718857af8070dd2.jpg</t>
  </si>
  <si>
    <t>4 ISSUED- Code: 20181205/BIG/001262/00000467/004</t>
  </si>
  <si>
    <t>20181205/BIG/001262/00000467/004</t>
  </si>
  <si>
    <t>2/05122018/95d54f74f0f146f6814a07a31547cadb.jpg</t>
  </si>
  <si>
    <t>LENCO LOUNGE SET (2X STACKABLE CHAIR, STACKABLE BENCH, TAHITI OVAL TABLE)</t>
  </si>
  <si>
    <t>SERVAL SAND</t>
  </si>
  <si>
    <t>15 CREATED- Code: 20181205/XXX/001262/00000467/015</t>
  </si>
  <si>
    <t>20181205/XXX/001262/00000467/015</t>
  </si>
  <si>
    <t>c/12122018/fa9e671017914dffb22a8a913f75a940.jpg</t>
  </si>
  <si>
    <t>LENCO PROMO LOUNGE SET 1084 (2X STACKABLE CHAIR, STACKABLE BENCH, TAHITI OVAL TABLE)</t>
  </si>
  <si>
    <t>TAUPE 180GR</t>
  </si>
  <si>
    <t xml:space="preserve">1. Reinhard Jolie(12-12-2018 11:35:56)
Trace sample first at showroom and retrieve sample from showroom. 
- Only  cushion set needs to change. --&gt;  color taupe 180.
</t>
  </si>
  <si>
    <t>6/15012019/baf52947422b4f9f8d12c47b8950d795.jpg</t>
  </si>
  <si>
    <t>78/78/100</t>
  </si>
  <si>
    <t>78/152/50.5</t>
  </si>
  <si>
    <t>79/79/41</t>
  </si>
  <si>
    <t>6.5/11.5/7</t>
  </si>
  <si>
    <t>7.5/13/8</t>
  </si>
  <si>
    <t>90/101</t>
  </si>
  <si>
    <t>154/52</t>
  </si>
  <si>
    <t>91/43</t>
  </si>
  <si>
    <t>16 FINISHED- Code: 20181205/APO/001262/00000467/016</t>
  </si>
  <si>
    <t>20181205/APO/001262/00000467/016</t>
  </si>
  <si>
    <t>a/05122018/8cf3a0c354264f2891c6e0a2de4e833b.jpg</t>
  </si>
  <si>
    <t>LEONARDO LOUNGE CORNER SET 3PCS (LEFT ARM, RIGHT ARM, FOOTREST)</t>
  </si>
  <si>
    <t xml:space="preserve">1. Vo Thi My Dieu(05-12-2018 06:49:24)
- If possible use sample from MDM 1263.
please check and inform.
</t>
  </si>
  <si>
    <t>3/07012019/9166b3607c674f3a9a7a6a5b23cea5b2.jpg</t>
  </si>
  <si>
    <t>14 ISSUED- Code: 20181205/PAL/001262/00000467/014</t>
  </si>
  <si>
    <t>20181205/PAL/001262/00000467/014</t>
  </si>
  <si>
    <t>d/05122018/3d82e892c7484721ad207ed855beb09b.jpg</t>
  </si>
  <si>
    <t>LEONARDO LOUNGE SET 4PCS (2X CHAIR, BENCH, FOOTREST SMALL)</t>
  </si>
  <si>
    <t xml:space="preserve">1. Vo Thi My Dieu(05-12-2018 06:49:24)
- Only sample bench
</t>
  </si>
  <si>
    <t>6/07012019/9ceb4556bb8b448cb4ac3ec576fc9480.jpg</t>
  </si>
  <si>
    <t>13 ISSUED- Code: 20181205/PAL/001262/00000467/013</t>
  </si>
  <si>
    <t>20181205/PAL/001262/00000467/013</t>
  </si>
  <si>
    <t>8/06122018/55316ce533ee4d97aff9e32712f21417.jpg</t>
  </si>
  <si>
    <t>MELFORT TABLE 40CM</t>
  </si>
  <si>
    <t xml:space="preserve">1. Reinhard Jolie(12-12-2018 11:35:56)
- Take sample from showroom NL
</t>
  </si>
  <si>
    <t>30 CREATED- Code: 20181206/XXX/001262/00000467/030</t>
  </si>
  <si>
    <t>20181206/XXX/001262/00000467/030</t>
  </si>
  <si>
    <t>4/06122018/d111a4bd0fb24e08a8545fa6a053fe1e.jpg</t>
  </si>
  <si>
    <t>MELFORT TABLE 60 CM</t>
  </si>
  <si>
    <t xml:space="preserve">1. Reinhard Jolie(12-12-2018 11:35:56)
Take sample from showroom NL
</t>
  </si>
  <si>
    <t>22 CREATED- Code: 20181205/XXX/001262/00000467/022</t>
  </si>
  <si>
    <t>20181205/XXX/001262/00000467/022</t>
  </si>
  <si>
    <t>2/05122018/c20007510eef458f9e23f08fa6051cb0.jpg</t>
  </si>
  <si>
    <t xml:space="preserve">1. Vo Thi My Dieu(05-12-2018 06:49:24)
- Let factory quote the price first based on updated TD and cushion thickness. Arms and backrest have been adjusted. cushion thickness 13cm.
</t>
  </si>
  <si>
    <t>2/11012019/46e5642d394e4f5ea7e603f35574a5dd.jpg</t>
  </si>
  <si>
    <t>92/92/104/92/42</t>
  </si>
  <si>
    <t>92/72/85/92/42</t>
  </si>
  <si>
    <t>73/73/73/31/40</t>
  </si>
  <si>
    <t>18/14/23/11/4</t>
  </si>
  <si>
    <t>19.5/15/25/12/4.5</t>
  </si>
  <si>
    <t>93/93/105/93/43</t>
  </si>
  <si>
    <t>93/73/86/93/43</t>
  </si>
  <si>
    <t>74/74/74/43/52</t>
  </si>
  <si>
    <t>7 FINISHED- Code: 20181205/APO/001262/00000467/007</t>
  </si>
  <si>
    <t>20181205/APO/001262/00000467/007</t>
  </si>
  <si>
    <t>7/05122018/b04dfc3e96044077b50f632a369e6f27.jpg</t>
  </si>
  <si>
    <t>ROYAL STONE GREEN 180gr</t>
  </si>
  <si>
    <t xml:space="preserve">1. Vo Thi My Dieu(05-12-2018 06:49:25)
1&gt; Reduce back cushion thickness with 3cm.
      Keep construction same last sample
     Target price $90
Only proceed when target price can be reached. Please inform. 
Ask MyVan for Braided Flat 20 mm.
</t>
  </si>
  <si>
    <t>f/07012019/42c23698b27a46e88650ba6a8ddd1078.jpg</t>
  </si>
  <si>
    <t>17 ISSUED- Code: 20181205/PAL/001262/00000467/017</t>
  </si>
  <si>
    <t>20181205/PAL/001262/00000467/017</t>
  </si>
  <si>
    <t>6/05122018/3f76e2b37189430ebc37e36bee674d77.jpg</t>
  </si>
  <si>
    <t>NEW ARMCHAIR 3, ALU, WHITE/ASH GRAY</t>
  </si>
  <si>
    <t xml:space="preserve">1. Vo Thi My Dieu(05-12-2018 06:49:25)
1&gt; Target price $35
     The fabric needs to be the same as the sample we brought from Holland (see attached picture)
2&gt; Pls follow TD
- Please make frame only. 
- Ask Myvan for the fabric. 
- LAN will sew the fabric on the frame.
</t>
  </si>
  <si>
    <t>21 ISSUED- Code: 20181205/PAL/001262/00000467/021</t>
  </si>
  <si>
    <t>20181205/PAL/001262/00000467/021</t>
  </si>
  <si>
    <t>3/05122018/68edf2b2e8164aa9b61b7ea9d805a965.jpg</t>
  </si>
  <si>
    <t>GREY OILED</t>
  </si>
  <si>
    <t xml:space="preserve">1. Vo Thi My Dieu(05-12-2018 06:49:24)
1&gt; Table size: 160x90x72cm
      Smaller middle gap (1cm) on table 
     Target price: $90
2&gt; Pls follow TD
</t>
  </si>
  <si>
    <t>27</t>
  </si>
  <si>
    <t>29</t>
  </si>
  <si>
    <t>162</t>
  </si>
  <si>
    <t>6 ISSUED- Code: 20181205/BIG/001262/00000467/006</t>
  </si>
  <si>
    <t>20181205/BIG/001262/00000467/006</t>
  </si>
  <si>
    <t>1/05122018/44f9c5ee341d4666ba435a13fbe6d54c.jpg</t>
  </si>
  <si>
    <t xml:space="preserve">1. Vo Thi My Dieu(05-12-2018 06:49:24)
- Proceed only the lounge set, no table. 
- Change steel to Alu
- Flat to HR
-Note updated TD's 
- Only proceed if you can reach target price $370,- (Excl wooden table)
</t>
  </si>
  <si>
    <t>b/14012019/7130da40040549dfa0b7dce8e9bd0a5d.jpg</t>
  </si>
  <si>
    <t>81/81/90</t>
  </si>
  <si>
    <t>175/181/160</t>
  </si>
  <si>
    <t>91/91/72</t>
  </si>
  <si>
    <t>101</t>
  </si>
  <si>
    <t>114</t>
  </si>
  <si>
    <t>83/83/92</t>
  </si>
  <si>
    <t>177/183/162</t>
  </si>
  <si>
    <t>94/94/12</t>
  </si>
  <si>
    <t>3 ISSUED- Code: 20181205/BIG/001262/00000467/003</t>
  </si>
  <si>
    <t>20181205/BIG/001262/00000467/003</t>
  </si>
  <si>
    <t>3/17122018/795dc0eb2a6441c9a15d1b101d1584bb.jpg</t>
  </si>
  <si>
    <t>NEW SOFA 3 SEATER</t>
  </si>
  <si>
    <t>ROYAL STONE GREEN 180GR</t>
  </si>
  <si>
    <t xml:space="preserve">1. Vo Thi My Dieu(17-12-2018 12:02:13)
Pls follow TD
</t>
  </si>
  <si>
    <t>8/07012019/4734bf1779be436bb420c31e72daae2f.jpg</t>
  </si>
  <si>
    <t>30 ISSUED- Code: 20181217/PAL/001262/00000467/030</t>
  </si>
  <si>
    <t>20181217/PAL/001262/00000467/030</t>
  </si>
  <si>
    <t>6/05122018/17ea7e6ae6d94deebfc37b947fde24fa.jpg</t>
  </si>
  <si>
    <t>NEW STACKING CHAIR IN ROPE</t>
  </si>
  <si>
    <t>STANDARD 5 CM</t>
  </si>
  <si>
    <t xml:space="preserve">1. Vo Thi My Dieu(05-12-2018 06:49:25)
Pls follow TD
</t>
  </si>
  <si>
    <t>0/14012019/7b20b292ed9b4023ad2cef4aa8f1a09d.jpg</t>
  </si>
  <si>
    <t>4.5</t>
  </si>
  <si>
    <t>20 ISSUED- Code: 20181205/BIG/001262/00000467/020</t>
  </si>
  <si>
    <t>20181205/BIG/001262/00000467/020</t>
  </si>
  <si>
    <t>9/05122018/7d33159842594681a5b2e89b0f91a300.jpg</t>
  </si>
  <si>
    <t>NAI-04-VQN</t>
  </si>
  <si>
    <t xml:space="preserve">RICCIONE  STACKING CHAIR</t>
  </si>
  <si>
    <t>DAVENPORT</t>
  </si>
  <si>
    <t>4/08012019/211f7c9ea73244ce93875647edbc8a64.jpg</t>
  </si>
  <si>
    <t>19 ISSUED- Code: 20181205/NAI/001262/00000467/019</t>
  </si>
  <si>
    <t>20181205/NAI/001262/00000467/019</t>
  </si>
  <si>
    <t>d/05122018/fd1689589e034cadbcaa2fe220cf6fce.jpg</t>
  </si>
  <si>
    <t>SAN JOSE SIDE TABLE 30</t>
  </si>
  <si>
    <t xml:space="preserve">1. Vo Thi My Dieu(05-12-2018 06:49:25)
Make promo version of this table
Target price $8
</t>
  </si>
  <si>
    <t>4/12012019/2b23b399ad71421e89563e22aa34cf84.jpg</t>
  </si>
  <si>
    <t>27 FINISHED- Code: 20181205/DAN/001262/00000467/027</t>
  </si>
  <si>
    <t>20181205/DAN/001262/00000467/027</t>
  </si>
  <si>
    <t>2/05122018/071af6ba64234370be8c58cc1d411a9e.jpg</t>
  </si>
  <si>
    <t>SAN JOSE SIDE TABLE 40</t>
  </si>
  <si>
    <t xml:space="preserve">1. Vo Thi My Dieu(05-12-2018 06:49:25)
Make promo version of this table
Target price $ 10
</t>
  </si>
  <si>
    <t>c/12012019/34e1dfbb272344d78ffaca95e15ae597.jpg</t>
  </si>
  <si>
    <t>28 FINISHED- Code: 20181205/DAN/001262/00000467/028</t>
  </si>
  <si>
    <t>20181205/DAN/001262/00000467/028</t>
  </si>
  <si>
    <t>3/05122018/8be010c4604548b49ed7960d9d5313d9.jpg</t>
  </si>
  <si>
    <t>SAN JOSE SIDE TABLE 50</t>
  </si>
  <si>
    <t xml:space="preserve">1. Vo Thi My Dieu(05-12-2018 06:49:25)
Make promo version of this table
Target price $12
</t>
  </si>
  <si>
    <t>f/12012019/6727070bfd394608b2815ac076421f18.jpg</t>
  </si>
  <si>
    <t>29 FINISHED- Code: 20181205/DAN/001262/00000467/029</t>
  </si>
  <si>
    <t>20181205/DAN/001262/00000467/029</t>
  </si>
  <si>
    <t>3/05122018/a9f78e0154b94017a6daf807606b2b48.jpg</t>
  </si>
  <si>
    <t xml:space="preserve">SET OF 2 CHAIR  WITH FOOTRESTS + 2 SEATER BENCH + 1 RECTANGULAR TABLE + 1 SIDE TABLE</t>
  </si>
  <si>
    <t>DOUBLE HAFLROUND</t>
  </si>
  <si>
    <t xml:space="preserve">1. Vo Thi My Dieu(05-12-2018 06:49:24)
1&gt; Target price $300
2&gt; Pls follow TD
</t>
  </si>
  <si>
    <t>90/90/100/46/65</t>
  </si>
  <si>
    <t>73/131/70/46/56</t>
  </si>
  <si>
    <t>89/89/33/47/32</t>
  </si>
  <si>
    <t>43.5</t>
  </si>
  <si>
    <t>145</t>
  </si>
  <si>
    <t>12 ISSUED- Code: 20181205/NAI/001262/00000467/012</t>
  </si>
  <si>
    <t>20181205/NAI/001262/00000467/012</t>
  </si>
  <si>
    <t>a/23112018/1b69cb4df8014bad8ea553daf37e0a8c.jpg</t>
  </si>
  <si>
    <t>BANSALAN COFFEE TABLE</t>
  </si>
  <si>
    <t>POWDER COATED GREY</t>
  </si>
  <si>
    <t>TWISTED BANANA LEAF 4MM</t>
  </si>
  <si>
    <t>MIXED LIGHT BROWN GREY</t>
  </si>
  <si>
    <t>5MM TEMPERED R22</t>
  </si>
  <si>
    <t xml:space="preserve">1. (14-12-2018 07:53:28)
TD
</t>
  </si>
  <si>
    <t>2019-05-31</t>
  </si>
  <si>
    <t>EUROFAR INTERNATIONAL BV</t>
  </si>
  <si>
    <t>SHOWROOM</t>
  </si>
  <si>
    <t>INDO ITEMS / IMPROVEMENTS / INSPIRATION</t>
  </si>
  <si>
    <t>11 CREATED- Code: 20181214/ROO/000002/00000468/011</t>
  </si>
  <si>
    <t>20181214/ROO/000002/00000468/011</t>
  </si>
  <si>
    <t>f/23112018/917120f50b1c4fc183eb38fcbc274261.jpg</t>
  </si>
  <si>
    <t>BANSALAN LOUNGE CHAIR</t>
  </si>
  <si>
    <t>NO PIPING 10CM</t>
  </si>
  <si>
    <t>SAME AS IN PICTURE WITH BUTTON</t>
  </si>
  <si>
    <t>SERVAL LIGHT BROWN 240</t>
  </si>
  <si>
    <t xml:space="preserve">1. (14-12-2018 07:53:27)
TD and Rendering
</t>
  </si>
  <si>
    <t>10 CREATED- Code: 20181214/ROO/000002/00000468/010</t>
  </si>
  <si>
    <t>20181214/ROO/000002/00000468/010</t>
  </si>
  <si>
    <t>a/23112018/76abad13c64c4fc08759e514e0674ccc.jpg</t>
  </si>
  <si>
    <t>BANSALAN SOFA</t>
  </si>
  <si>
    <t>10CM NO PIPING</t>
  </si>
  <si>
    <t xml:space="preserve">1. (14-12-2018 07:53:27)
TD
</t>
  </si>
  <si>
    <t>9 CREATED- Code: 20181214/ROO/000002/00000468/009</t>
  </si>
  <si>
    <t>20181214/ROO/000002/00000468/009</t>
  </si>
  <si>
    <t>a/23112018/6d3ee030e98149cbbaaf0b886d3587cf.jpg</t>
  </si>
  <si>
    <t>CADIZ BAR STOOL</t>
  </si>
  <si>
    <t>BLENDED ANTHRACITE PP</t>
  </si>
  <si>
    <t>4 CREATED- Code: 20181213/ROO/000002/00000468/004</t>
  </si>
  <si>
    <t>20181213/ROO/000002/00000468/004</t>
  </si>
  <si>
    <t>e/13122018/5ed9386d2dc04d17ab6ce9f102127143.jpg</t>
  </si>
  <si>
    <t>CADIZ BAR TABLE</t>
  </si>
  <si>
    <t>5 CREATED- Code: 20181213/ROO/000002/00000468/005</t>
  </si>
  <si>
    <t>20181213/ROO/000002/00000468/005</t>
  </si>
  <si>
    <t>d/23112018/ff014e4d889044cc89edf17b9a716cee.jpg</t>
  </si>
  <si>
    <t>DANAO LOUNGE CHAIR</t>
  </si>
  <si>
    <t>4,5MM</t>
  </si>
  <si>
    <t>SAME AS IN PICTURE</t>
  </si>
  <si>
    <t>SAME THICKNESS AS SEAT CUSHION AND EXACT SHAPE OF BACK</t>
  </si>
  <si>
    <t>7 CREATED- Code: 20181213/ROO/000002/00000468/007</t>
  </si>
  <si>
    <t>20181213/ROO/000002/00000468/007</t>
  </si>
  <si>
    <t>2/23112018/8d0a7a97bdc047e4ba2e506645cb38f9.jpg</t>
  </si>
  <si>
    <t>MALABON COFFEE TABLE</t>
  </si>
  <si>
    <t>SILVER BLACK</t>
  </si>
  <si>
    <t>3 CREATED- Code: 20181213/ROO/000002/00000468/003</t>
  </si>
  <si>
    <t>20181213/ROO/000002/00000468/003</t>
  </si>
  <si>
    <t>4/23112018/820698686e514c72925e088663965202.jpg</t>
  </si>
  <si>
    <t>MALABON DINING CHAIR</t>
  </si>
  <si>
    <t>5CM NO PIPING</t>
  </si>
  <si>
    <t>12 CREATED- Code: 20181214/ROO/000002/00000468/012</t>
  </si>
  <si>
    <t>20181214/ROO/000002/00000468/012</t>
  </si>
  <si>
    <t>8/23112018/6a9a2bc5507646b9818f139b6aa97cee.jpg</t>
  </si>
  <si>
    <t>MALABON LOUNGE CHAIR</t>
  </si>
  <si>
    <t>10CM NO PIPING SAME AS IN PICTURE</t>
  </si>
  <si>
    <t>BLUE GREY 180G</t>
  </si>
  <si>
    <t xml:space="preserve">1. (14-12-2018 07:53:26)
TD and Rendering
</t>
  </si>
  <si>
    <t>1 CREATED- Code: 20181213/ROO/000002/00000468/001</t>
  </si>
  <si>
    <t>20181213/ROO/000002/00000468/001</t>
  </si>
  <si>
    <t>7/23112018/0e0db516836b4fde8d8b077722f48638.jpg</t>
  </si>
  <si>
    <t>MALABON SOFA</t>
  </si>
  <si>
    <t>2 CREATED- Code: 20181213/ROO/000002/00000468/002</t>
  </si>
  <si>
    <t>20181213/ROO/000002/00000468/002</t>
  </si>
  <si>
    <t>8/23112018/0ee7fd45824444189ce3ccbb714ab160.jpg</t>
  </si>
  <si>
    <t>MANILA LOUNGE CHAIR</t>
  </si>
  <si>
    <t>POWDER COATED BROWN</t>
  </si>
  <si>
    <t>TWISTED ROPE</t>
  </si>
  <si>
    <t>MIXED BLACK BROWN</t>
  </si>
  <si>
    <t xml:space="preserve">10CM NO  PIPING</t>
  </si>
  <si>
    <t>NO PIPING SQUARE AS PILLOW 54 X 54</t>
  </si>
  <si>
    <t>8 CREATED- Code: 20181214/ROO/000002/00000468/008</t>
  </si>
  <si>
    <t>20181214/ROO/000002/00000468/008</t>
  </si>
  <si>
    <t>f/23112018/3f9675e0c14044a88033e98cec81f35e.jpg</t>
  </si>
  <si>
    <t>MANILA OTTOMAN</t>
  </si>
  <si>
    <t>7CM INLUDING 4 TIE RIBBONS</t>
  </si>
  <si>
    <t>6 CREATED- Code: 20181213/ROO/000002/00000468/006</t>
  </si>
  <si>
    <t>20181213/ROO/000002/00000468/006</t>
  </si>
  <si>
    <t>1/14122018/1f5c440af5f64840bf8e3ac30d485021.jpg</t>
  </si>
  <si>
    <t>2019-02-28</t>
  </si>
  <si>
    <t>SHEFFIELD FOLDING CHAIR</t>
  </si>
  <si>
    <t>13 ISSUED- Code: 20181214/ROO/000002/00000468/013</t>
  </si>
  <si>
    <t>20181214/ROO/000002/00000468/013</t>
  </si>
  <si>
    <t>3/11082017/ea22c71e782343f9adde9b3d397d4c03.jpg</t>
  </si>
  <si>
    <t>2019-01-15</t>
  </si>
  <si>
    <t>ALGARVE LOUNGE SET 3 PCS 1261 (1 LEFT BENCH, 1 RIGHT BENCH, 1 TABLE) WITH 4X TOSS CUSHIONS 45X45CM</t>
  </si>
  <si>
    <t xml:space="preserve">2. Ngo Duy Hung(29-03-2019 05:04:51)
SAMPLE IS NOT SELECTED
1. Ngo Duy Hung(18-12-2018 11:25:03)
COLOR SWATCH:
- 5 X TUBE ALU ANTHRACITE
- 5 X FABRIC SWATCH ROYAL ANTHRACITE
</t>
  </si>
  <si>
    <t>2019-01-14</t>
  </si>
  <si>
    <t>JARDILAND SAS</t>
  </si>
  <si>
    <t>AN VIET THINH SHOWROOM</t>
  </si>
  <si>
    <t>41719NL</t>
  </si>
  <si>
    <t>2 ISSUED- Code: 20181218/PAL/001260/00000469/002</t>
  </si>
  <si>
    <t>20181218/PAL/001260/00000469/002</t>
  </si>
  <si>
    <t>4/21092018/33fcd1a81d7046cabcdb1d2d2c0e400e.jpg</t>
  </si>
  <si>
    <t>ALTEA LOUNGE SET 3 PCS (2X CHAIR, BENCH)</t>
  </si>
  <si>
    <t xml:space="preserve">2. Ngo Duy Hung(29-03-2019 05:04:51)
SAMPLE IS NOT SELECTED
1. Ngo Duy Hung(18-12-2018 11:25:03)
COLOR SWATCH:
- 5 X ROPE ROUND 4.5MM ANTHRACITE PANELS
- 5 X FABRIC SWATCH ROYAL STONE GREY 240
</t>
  </si>
  <si>
    <t>d/21012019/fe0df229895b45c2b186ab12f47f1b20.jpg</t>
  </si>
  <si>
    <t>3 ISSUED- Code: 20181218/PAL/001260/00000469/003</t>
  </si>
  <si>
    <t>20181218/PAL/001260/00000469/003</t>
  </si>
  <si>
    <t>f/10102018/efcae9f94a974ac6a9281509720c1c7e.jpg</t>
  </si>
  <si>
    <t>KENT LOUNGE TABLE ROUND BIG 80X80X25CM</t>
  </si>
  <si>
    <t xml:space="preserve">1. Ngo Duy Hung(29-03-2019 05:04:51)
SAMPLE IS NOT SELECTED
</t>
  </si>
  <si>
    <t>c/12012019/a1f833597e714c12a63b039430907221.jpg</t>
  </si>
  <si>
    <t>5 ISSUED- Code: 20181218/TEC/001260/00000469/005</t>
  </si>
  <si>
    <t>20181218/TEC/001260/00000469/005</t>
  </si>
  <si>
    <t>9/10102018/0157c8f9d4e64edb88f43714666fa327.jpg</t>
  </si>
  <si>
    <t>KENT LOUNGE TABLE ROUND SMALL 60X60X33CM</t>
  </si>
  <si>
    <t>1/12012019/593270c77efd4dcbaa649777596bc4fc.jpg</t>
  </si>
  <si>
    <t>4 ISSUED- Code: 20181218/TEC/001260/00000469/004</t>
  </si>
  <si>
    <t>20181218/TEC/001260/00000469/004</t>
  </si>
  <si>
    <t>6/21092018/acbc6be5410b40af89d6eebc216fab42.jpg</t>
  </si>
  <si>
    <t>GLASS TOP</t>
  </si>
  <si>
    <t>SERVAL SAND 240</t>
  </si>
  <si>
    <t xml:space="preserve">1. Ngo Duy Hung(18-12-2018 11:25:03)
COLOR SWATCH:
- 5 X PANELS WICKER DOUBLE ROUND 10MM LIGHT BAMBOO
- 5 X 30CM ALU TUBE LIGHT BAMBOO FINISHING
</t>
  </si>
  <si>
    <t>0/12012019/d634ff264e8a4013960bc243baef96cb.jpg</t>
  </si>
  <si>
    <t>83/83/100</t>
  </si>
  <si>
    <t>84/168/50.5</t>
  </si>
  <si>
    <t>7.4/11.8/7</t>
  </si>
  <si>
    <t>36/9</t>
  </si>
  <si>
    <t>96/102</t>
  </si>
  <si>
    <t>171/53</t>
  </si>
  <si>
    <t>94/44</t>
  </si>
  <si>
    <t>9 FINISHED- Code: 20181218/APO/001260/00000469/009</t>
  </si>
  <si>
    <t>20181218/APO/001260/00000469/009</t>
  </si>
  <si>
    <t>c/18122018/eb96da62d59b4431b5058ea23ea33271.jpg</t>
  </si>
  <si>
    <t>LENCO PROMO SET (2 CHAIR, 1 BENCH)</t>
  </si>
  <si>
    <t>6/12012019/657dee50a3af48bab66deaab9a659816.jpg</t>
  </si>
  <si>
    <t>78/78</t>
  </si>
  <si>
    <t>6.5/11.5</t>
  </si>
  <si>
    <t>10 FINISHED- Code: 20181218/APO/001260/00000469/010</t>
  </si>
  <si>
    <t>20181218/APO/001260/00000469/010</t>
  </si>
  <si>
    <t>f/04102018/241c8eff46b54061b8da8ea9385e8665.jpg</t>
  </si>
  <si>
    <t>MELFORT SIDE TABLE 60X60X40CM</t>
  </si>
  <si>
    <t>8/12012019/035d18914f3142c791afdeac7d893e7a.jpg</t>
  </si>
  <si>
    <t>6 FINISHED- Code: 20181218/DAN/001260/00000469/006</t>
  </si>
  <si>
    <t>20181218/DAN/001260/00000469/006</t>
  </si>
  <si>
    <t>d/04102018/db7f417921594a11bb923f0e862fec86.jpg</t>
  </si>
  <si>
    <t>MELFORT SIDE TABLE 80X80X40CM</t>
  </si>
  <si>
    <t>3/12012019/a0d4feb1758d4a0284d1622c390c2acd.jpg</t>
  </si>
  <si>
    <t>7 FINISHED- Code: 20181218/DAN/001260/00000469/007</t>
  </si>
  <si>
    <t>20181218/DAN/001260/00000469/007</t>
  </si>
  <si>
    <t>8/06032019/942952be6d9a4b93bbf06df57abb4682.jpg</t>
  </si>
  <si>
    <t>2019-03-15</t>
  </si>
  <si>
    <t>NORTON LOUNGE CHAIR REVISED</t>
  </si>
  <si>
    <t>BIRDS EYE</t>
  </si>
  <si>
    <t>DOUBLE PIPING</t>
  </si>
  <si>
    <t>DOUBLE PIPING NO TRAPEZE</t>
  </si>
  <si>
    <t xml:space="preserve">3. Ngo Duy Hung(29-03-2019 05:04:51)
MAKE 1 MORE CHAIR AS CURRENT SAMPLE
2. An Huyen Cao(06-03-2019 17:34:33)
If possible, we should make the underframe go more inwards like the Monaco
1. Ngo Duy Hung(06-03-2019 10:49:59)
PLEASE MAKE 1 CHAIR WITH SEATING IN WOOD AS FACTORY DID BEFORE
</t>
  </si>
  <si>
    <t>a/25032019/11088dbb2b6946dcb45254cb97ec8a88.jpg</t>
  </si>
  <si>
    <t>12 ISSUED- Code: 20190306/ROS/001260/00000469/012</t>
  </si>
  <si>
    <t>20190306/ROS/001260/00000469/012</t>
  </si>
  <si>
    <t>f/23012019/e5fa79467d444655ade702a19385e019.jpg</t>
  </si>
  <si>
    <t>REVISED NORTON LOUNGE SET (2X CHAIR, 1X BENCH, 1X TABLE)</t>
  </si>
  <si>
    <t>CANE WEAVE</t>
  </si>
  <si>
    <t xml:space="preserve">4. Ngo Duy Hung(29-03-2019 05:04:51)
SAMPLE IS NOT SELECTED
3. Ngo Duy Hung(11-01-2019 10:22:18)
PLEASE FOLLOW ATTACHED TD
2. Ngo Duy Hung(18-12-2018 11:25:03)
COLOR SWATCH:
- 5 WICKER PANELS CANE WEAVE
- 5 FABRIC SWATCH ROYAL STONE BROWN 240
- 5 WOOD ACACIA LIGHT TEAK LOOK PANELS
1. Ngo Duy Hung(18-12-2018 10:01:37)
- AS ATTACHED EXCEL FILE
</t>
  </si>
  <si>
    <t>b/22032019/866fb2af72f4443dbb82e50a4cec55f4.jpg</t>
  </si>
  <si>
    <t>78/78/78/70</t>
  </si>
  <si>
    <t>74/74/137/120</t>
  </si>
  <si>
    <t>72/72/72/28</t>
  </si>
  <si>
    <t>16/16/23/5.5</t>
  </si>
  <si>
    <t>19/19/28/7.5</t>
  </si>
  <si>
    <t>4 boxes</t>
  </si>
  <si>
    <t>80.5/80.5/139.5/122</t>
  </si>
  <si>
    <t>76.5/76.5/80.5/74</t>
  </si>
  <si>
    <t>52.5/52.5/52.5/8.5</t>
  </si>
  <si>
    <t>1 FINISHED- Code: 20181218/ROS/001260/00000469/001</t>
  </si>
  <si>
    <t>20181218/ROS/001260/00000469/001</t>
  </si>
  <si>
    <t>f/18122018/14385d9f46da4bd8be160ccd04255c25.jpg</t>
  </si>
  <si>
    <t>SAHARA LOUNGE CHAIR (PLASTIC FEET)</t>
  </si>
  <si>
    <t xml:space="preserve">1. Ngo Duy Hung(18-12-2018 11:25:03)
COLOR SWATCH:
- 5 X PANELS WICKER HALFROUND 7MM RATTAN MIXED BROWN
- 5 X FABRIC SWATCH SIZE A4  ROYAL STONE GREY 240
</t>
  </si>
  <si>
    <t>9/10012019/f010df9295344d8e84f1bf38d1326d4b.jpg</t>
  </si>
  <si>
    <t>11 ISSUED- Code: 20181218/BIG/001260/00000469/011</t>
  </si>
  <si>
    <t>20181218/BIG/001260/00000469/011</t>
  </si>
  <si>
    <t>b/16102018/96983ca4ab614c1c8181edae07f62e28.jpg</t>
  </si>
  <si>
    <t>YATE LOUNGE SET 4PCS (2X CHAIR, BENCH, TABLE)</t>
  </si>
  <si>
    <t xml:space="preserve">1. Ngo Duy Hung(18-12-2018 11:25:03)
COLOR SWATCH:
- 5 X WICKER ROUND 10MM RATTAN MIXED NATURAL PANELS
- 5 X FABRIC SWATCH SERVAL SAND
</t>
  </si>
  <si>
    <t>9/28012019/f72e658089104c819aebb2f363821cec.jpg</t>
  </si>
  <si>
    <t>106/106/100</t>
  </si>
  <si>
    <t>117/222/70</t>
  </si>
  <si>
    <t>63/63/32</t>
  </si>
  <si>
    <t>25/49.7/23.5</t>
  </si>
  <si>
    <t>26/51/24</t>
  </si>
  <si>
    <t>107/107/101</t>
  </si>
  <si>
    <t>118/223/71</t>
  </si>
  <si>
    <t>65/65/34</t>
  </si>
  <si>
    <t>8 FINISHED- Code: 20181218/APO/001260/00000469/008</t>
  </si>
  <si>
    <t>20181218/APO/001260/00000469/008</t>
  </si>
  <si>
    <t>8/04102018/655c934d1a1d46e48d410fd9582e682b.jpg</t>
  </si>
  <si>
    <t>2019-01-11</t>
  </si>
  <si>
    <t>CERVO LOUNGE CORNER SET 4PCS (LEFT ARM, RIGHT ARM, CORNER, TABLE)</t>
  </si>
  <si>
    <t>FRAME</t>
  </si>
  <si>
    <t xml:space="preserve">1. An Huyen Cao(19-12-2018 16:48:43)
Take from PI 40308NL- ID 832
</t>
  </si>
  <si>
    <t>c/14012019/1acabb9d0df942b1b7ecc1ea518c81a2.jpg</t>
  </si>
  <si>
    <t>FIRST DUTCH BRANDS</t>
  </si>
  <si>
    <t>3 ISSUED- Code: 20181218/BIG/001091/00000470/003</t>
  </si>
  <si>
    <t>20181218/BIG/001091/00000470/003</t>
  </si>
  <si>
    <t>CERVO LOUNGE SET</t>
  </si>
  <si>
    <t xml:space="preserve">2. An Huyen Cao(19-12-2018 16:48:43)
TAKE FROM PRODUCTION PI 40552NL – ID 920 (1xchair+1xbench+1xtable) 
And make one chair more in WHITE FADED GREY ROUND 10 MM WITH CUSHIONS ROYAL GREY 240 --&gt; So in total 2xchairs (2 different colors)+ 1xbench+ 1xtable.
1. Jacqueline Janssen(18-12-2018 14:53:01)
1 CHAIR WILL BE IN RATTAN MIXED NATURAL WITH CUSHIONS COLOR ROYAL GREY
</t>
  </si>
  <si>
    <t>4 ISSUED- Code: 20181218/PAL/001091/00000470/004</t>
  </si>
  <si>
    <t>20181218/PAL/001091/00000470/004</t>
  </si>
  <si>
    <t xml:space="preserve">1. Jacqueline Janssen(18-12-2018 14:53:01)
WITH 3-SLATS IN BACK ON THE CHAIRS. TD TEAM IS MAKING TD
</t>
  </si>
  <si>
    <t>f/16012019/a5218ad0afa54ba4b5fe349e2e504a3b.jpg</t>
  </si>
  <si>
    <t>7 FINISHED- Code: 20181218/DAN/001091/00000470/007</t>
  </si>
  <si>
    <t>20181218/DAN/001091/00000470/007</t>
  </si>
  <si>
    <t>9/14012019/cd3e5ce250944b039c883f02bdb371ad.jpg</t>
  </si>
  <si>
    <t>SAMBA CORNER TABLE 80X80X30,5CM</t>
  </si>
  <si>
    <t>c/24012019/d82b587862a5494a8e3e558226988492.jpg</t>
  </si>
  <si>
    <t>30.5</t>
  </si>
  <si>
    <t>5 FINISHED- Code: 20181218/ROS/001091/00000470/005</t>
  </si>
  <si>
    <t>20181218/ROS/001091/00000470/005</t>
  </si>
  <si>
    <t>0/14012019/c999e6c0493147bebca84d5af2efaf58.jpg</t>
  </si>
  <si>
    <t>SAMBA LOUNGE TABLE 120X60X30,5CM</t>
  </si>
  <si>
    <t>0/24012019/838014dcaf3941bd8a6d6d9e63b245d4.jpg</t>
  </si>
  <si>
    <t>133.5</t>
  </si>
  <si>
    <t>63.5</t>
  </si>
  <si>
    <t>6 FINISHED- Code: 20181218/ROS/001091/00000470/006</t>
  </si>
  <si>
    <t>20181218/ROS/001091/00000470/006</t>
  </si>
  <si>
    <t>a/26092018/149cbb26aba945e0bcec339de161c65c.jpg</t>
  </si>
  <si>
    <t>YATE HIGHBACK LOUNGE CORNER SET 4PCS (LEFT ARM, RIGHT ARM, CORNER, TABLE)</t>
  </si>
  <si>
    <t xml:space="preserve">1. An Huyen Cao(19-12-2018 16:11:19)
Please take from PI 40124NL – ID 336.Note to change the cushions to ROYAL TAUPE 240.
</t>
  </si>
  <si>
    <t>1 ISSUED- Code: 20181218/PAL/001091/00000470/001</t>
  </si>
  <si>
    <t>20181218/PAL/001091/00000470/001</t>
  </si>
  <si>
    <t>a/22082019/e746f47f71a54b8d8e7af0d931c6437d.jpg</t>
  </si>
  <si>
    <t>YATE HIGHBACK LOUNGE SET 4PCS (2X CHAIR, BENCH, TABLE)</t>
  </si>
  <si>
    <t xml:space="preserve">1. An Huyen Cao(19-12-2018 16:11:19)
Please take from PI 40216NL – ID 1205. Note to change the cushions to ROYAL TAUPE 240.
</t>
  </si>
  <si>
    <t>2 ISSUED- Code: 20181218/PAL/001091/00000470/002</t>
  </si>
  <si>
    <t>20181218/PAL/001091/00000470/002</t>
  </si>
  <si>
    <t>6/18122018/a6e56e37bae54eb1a52cb49021b25969.jpg</t>
  </si>
  <si>
    <t>Albenga dining chair</t>
  </si>
  <si>
    <t>ASH GREY</t>
  </si>
  <si>
    <t>ACACIA LIGHT TEAK LOOK</t>
  </si>
  <si>
    <t>18X18 INCH SQUARED CUSHION</t>
  </si>
  <si>
    <t xml:space="preserve">1. PEPIJN VAN DEN BRINK(18-12-2018 16:22:46)
PREPARE FRAME FOR APPROVAL. Seat height incl 5cm cushion to be 48cm
Seat to hold 18x18 inch cushion
To cut costs further (quote with wicker rope 59,45), please use the 4mm round with hollow inside
Make sure angle of back is comfortable without cushion
Legs to be KD, quote to be 2pcs/box.
Reference images added again attached
ITEMS TO PASS 225 LBS STANDARD (NOT HIGHER)
</t>
  </si>
  <si>
    <t>e/23012019/cbf1cb182d224d058b368e55cb2dc112.jpg</t>
  </si>
  <si>
    <t>2018-12-10</t>
  </si>
  <si>
    <t>AVT OFFICE</t>
  </si>
  <si>
    <t>4 FINISHED- Code: 20181218/APO/001075/00000471/004</t>
  </si>
  <si>
    <t>20181218/APO/001075/00000471/004</t>
  </si>
  <si>
    <t>2019-01-08</t>
  </si>
  <si>
    <t>ALBENGA DINING CHAIR 705</t>
  </si>
  <si>
    <t>AS 705</t>
  </si>
  <si>
    <t xml:space="preserve">1. PEPIJN VAN DEN BRINK(04-01-2019 16:41:52)
TAKE FROM PRODUCTION 705
QUOTE FOR 1075 BASED ON PAPER WRAP 1 PER WRAP, LEGS KD.
</t>
  </si>
  <si>
    <t>13 CREATED- Code: 20190104/PAL/001075/00000471/013</t>
  </si>
  <si>
    <t>20190104/PAL/001075/00000471/013</t>
  </si>
  <si>
    <t>SHR-28-VHM</t>
  </si>
  <si>
    <t>ARRANGE SHOWROOM AVAILABILITY: GUSTO CORNER/PALAMOS CORNER &amp; CHAIR/VALONGO CORNER</t>
  </si>
  <si>
    <t xml:space="preserve">1. PEPIJN VAN DEN BRINK(20-12-2018 13:28:44)
Make sure below items will be available in the showroom for client visit 1075:
-Valongo lounge corner
-Gusto corner set
-Palamos corner set &amp; chair
</t>
  </si>
  <si>
    <t>10 CREATED- Code: 20181220/SHR/001075/00000471/010</t>
  </si>
  <si>
    <t>20181220/SHR/001075/00000471/010</t>
  </si>
  <si>
    <t>a/18122018/93bca96950c54428a560a6a2d0e74557.jpg</t>
  </si>
  <si>
    <t>2018-12-03</t>
  </si>
  <si>
    <t>CORFU CHAIR &amp; BENCH 1075</t>
  </si>
  <si>
    <t>AS 1262</t>
  </si>
  <si>
    <t xml:space="preserve">1. PEPIJN VAN DEN BRINK(18-12-2018 16:22:45)
Apply same cost reduction methods on bench &amp; chair as for 1262. 
Change alu to steel frame
ITEMS TO PASS 225 LBS STANDARD (NOT HIGHER)
</t>
  </si>
  <si>
    <t>c/11012019/99d0725152904a2cba3cfa926c1c59a7.jpg</t>
  </si>
  <si>
    <t>3 FINISHED- Code: 20181218/APO/001075/00000471/003</t>
  </si>
  <si>
    <t>20181218/APO/001075/00000471/003</t>
  </si>
  <si>
    <t>3/20122018/b256ffff5aa842509032cdd6f6886c17.jpg</t>
  </si>
  <si>
    <t>Fredrikstad dining chair 1263 (incl cross)</t>
  </si>
  <si>
    <t>PLASTIC</t>
  </si>
  <si>
    <t xml:space="preserve">1. PEPIJN VAN DEN BRINK(18-12-2018 16:30:47)
Take Fredrikstad 1263 as starting point but include cross to pass US testing requirements (225 lbs).
Please contact Mr Thinh (AVT office) for further support if needed
ITEMS TO PASS 225 LBS STANDARD (NOT HIGHER)
</t>
  </si>
  <si>
    <t>1/09012019/0347903d031f4610a3635daea814c520.jpg</t>
  </si>
  <si>
    <t>5 ISSUED- Code: 20181218/PAL/001075/00000471/005</t>
  </si>
  <si>
    <t>20181218/PAL/001075/00000471/005</t>
  </si>
  <si>
    <t>7/20122018/10175bca07f74e6fbd692c5d39f9093a.jpg</t>
  </si>
  <si>
    <t>Larissa dining chair 1075 (KD legs)</t>
  </si>
  <si>
    <t>ROYAL DARK BROWN (18X18 INCH SQUARED)</t>
  </si>
  <si>
    <t xml:space="preserve">1. PEPIJN VAN DEN BRINK(20-12-2018 13:07:40)
-RETRIEVE/REPRODUCE FINAL LARISSA DINING CHAIR THAT WAS MADE DURING REQUEST 309. NOTE AND FOLLOW REMARKS IN THAT REQUEST.
-APO already quoted $34,80 EXCL CUSHION, 2 PCS/BOX
-FOR MEETING WE NEED CUSHION TO BE INCLUDED
</t>
  </si>
  <si>
    <t>o/23012019/b787403b9504486ca7cf0d99a4da43b9.jpeg</t>
  </si>
  <si>
    <t>9 FINISHED- Code: 20181220/APO/001075/00000471/009</t>
  </si>
  <si>
    <t>20181220/APO/001075/00000471/009</t>
  </si>
  <si>
    <t>c/20122018/5d168cb868f1451c9803df43f2fcbe29.jpg</t>
  </si>
  <si>
    <t>Leonardo 1262 bench/chair/table</t>
  </si>
  <si>
    <t>as 1262</t>
  </si>
  <si>
    <t xml:space="preserve">1. PEPIJN VAN DEN BRINK(20-12-2018 13:07:40)
Make sure that Leonardo bench/chair/table samples for 1262 are available in the showroom by 06-01. We will use samples for meetings of both 1262 &amp; 1075. SO ONLY NEED TO MAKE ONCE!
For 1075, items need to be quoted &amp; load calculated based on ISTA 1A.
</t>
  </si>
  <si>
    <t>2/10012019/dcb813b6955b4f92983a7112cfa412ed.jpg</t>
  </si>
  <si>
    <t>8 ISSUED- Code: 20181220/PAL/001075/00000471/008</t>
  </si>
  <si>
    <t>20181220/PAL/001075/00000471/008</t>
  </si>
  <si>
    <t>c/20122018/ff25795d987f4c5ab34c54573233816b.jpg</t>
  </si>
  <si>
    <t>Mira coffee corner (23x23 inch seats) - 3s right arm, 2s left arm</t>
  </si>
  <si>
    <t>rattan mixed brown</t>
  </si>
  <si>
    <t xml:space="preserve">1. PEPIJN VAN DEN BRINK(20-12-2018 12:54:13)
Replicate the set that PAL samples for ID 1075 last time (see picture attached). Original request is code 309, please review the remarks below.
Set was quoted $222,5 earlier. Now we change packing from ISTA 1A box to paper wrap (like we do for Bari 1075) to cut costs. Left &amp; right arm together in 1 wrap.
-To cut costs further, we open the seats as per attached example
-Reduce the seat dimensions to 23x23 inch. Wicker to become FLAT.
-Steel frame
-Left &amp; right arm to be packed in 1 box
</t>
  </si>
  <si>
    <t>6/10012019/0c763f6a39a341df888ba713b24ec0db.jpg</t>
  </si>
  <si>
    <t>7 ISSUED- Code: 20181219/PAL/001075/00000471/007</t>
  </si>
  <si>
    <t>20181219/PAL/001075/00000471/007</t>
  </si>
  <si>
    <t>8/18122018/4c345d3e7fc34e8dbeeac800dcf24aa5.jpg</t>
  </si>
  <si>
    <t>New Bari lounge chair &amp; 3s bench</t>
  </si>
  <si>
    <t>AS BARI 1075</t>
  </si>
  <si>
    <t xml:space="preserve">1. PEPIJN VAN DEN BRINK(18-12-2018 15:53:02)
-PREPARE FRAMES FOR APPROVAL
-Follow same seat dimensions of current bari 1075
-Keep same seat height as current bari but make skirt underneath seat higher, legs shorter.
-Create shapes that match as close as possible with reference image. Height of arms &amp; back might be a bit higher compared to current Bari
-Only prepare 1x chair &amp; 1x 3s sofa for the meeting
-Open the seats like for current bari
</t>
  </si>
  <si>
    <t>b/14012019/a843c24cdada468fa1569960cfd4e782.jpg</t>
  </si>
  <si>
    <t>81 /81</t>
  </si>
  <si>
    <t>92 /228.5</t>
  </si>
  <si>
    <t>72.5 / 72.5</t>
  </si>
  <si>
    <t>93/229.5</t>
  </si>
  <si>
    <t>50/ 50</t>
  </si>
  <si>
    <t>2 FINISHED- Code: 20181218/APO/001075/00000471/002</t>
  </si>
  <si>
    <t>20181218/APO/001075/00000471/002</t>
  </si>
  <si>
    <t>e/18122018/40bf088d18c54c4b88276faadee5a08b.jpg</t>
  </si>
  <si>
    <t>New strap dining chair KD</t>
  </si>
  <si>
    <t>POWDERCOATED WHITE</t>
  </si>
  <si>
    <t>BRAIDED 20MM</t>
  </si>
  <si>
    <t>ROYAL LIGHT GREY</t>
  </si>
  <si>
    <t xml:space="preserve">1. PEPIJN VAN DEN BRINK(18-12-2018 15:53:02)
FOLLOW SAME STACKING VERSION AS FOR 1262
QUOTE PRICE AND LOAD ABILITY BASED ON STACKS OF CHAIRS (PAPER WRAPPING CHAIRS INDIVIDUALLY ON THE STACKS).
Changed construction and packing method should improve cost further (last quote from Mr Hao was $45,72, load 408).
ITEMS TO PASS 225 LBS STANDARD (NOT HIGHER)
</t>
  </si>
  <si>
    <t>5/02012019/ec88f8bba63a48368a44c8e4229230f9.jpg</t>
  </si>
  <si>
    <t>1 ISSUED- Code: 20181218/BIG/001075/00000471/001</t>
  </si>
  <si>
    <t>20181218/BIG/001075/00000471/001</t>
  </si>
  <si>
    <t>a/18122018/9abb6ef24e6b4f348a7415a2cf093276.jpg</t>
  </si>
  <si>
    <t>Open weave bench &amp; chair 1075</t>
  </si>
  <si>
    <t>bamboo</t>
  </si>
  <si>
    <t>ROYAL RIBBON ECRU</t>
  </si>
  <si>
    <t xml:space="preserve">1. PEPIJN VAN DEN BRINK(18-12-2018 16:41:12)
PREPARE SAME BENCH &amp; CHAIR AS BEFORE
NO NEED TO REPLICATE THE KNOTS TO CUT COSTS.
ITEMS TO PASS 225 LBS STANDARD (NOT HIGHER)
</t>
  </si>
  <si>
    <t>e/12012019/9615748bbef84a94b303d589a2e6b199.jpg</t>
  </si>
  <si>
    <t>6 FINISHED- Code: 20181218/APO/001075/00000471/006</t>
  </si>
  <si>
    <t>20181218/APO/001075/00000471/006</t>
  </si>
  <si>
    <t>o/28122018/27bf8b7b39b14d54923e3c35af5704ed.jpeg</t>
  </si>
  <si>
    <t>Papasan - Base &amp; Seat part</t>
  </si>
  <si>
    <t>DARK BROWN</t>
  </si>
  <si>
    <t>10mm round dark rattan grey</t>
  </si>
  <si>
    <t xml:space="preserve">1. (28-12-2018 13:05:26)
-No dead knots
-Items to be packed separately, paper wrapped
</t>
  </si>
  <si>
    <t>b/15012019/0f241c7a2adb482d839614efe72ef768.jpg</t>
  </si>
  <si>
    <t>12 FINISHED- Code: 20181228/APO/001075/00000471/012</t>
  </si>
  <si>
    <t>20181228/APO/001075/00000471/012</t>
  </si>
  <si>
    <t>b/21122018/a3e39fd8fd754b938bcbd3a33324624d.jpg</t>
  </si>
  <si>
    <t>2019-01-07</t>
  </si>
  <si>
    <t>Skagen wicker weave corner set 1075</t>
  </si>
  <si>
    <t>round 5mm</t>
  </si>
  <si>
    <t>Design Yorkshire, 8cm thickness.</t>
  </si>
  <si>
    <t>Design as Yorkshire, thickness 10cm</t>
  </si>
  <si>
    <t xml:space="preserve">1. PEPIJN VAN DEN BRINK(21-12-2018 13:30:00)
-ORDER WICKER THROUGH MYVAN
-FOLLOW TD ATTACHED BUT THINK OF A WAY TO MAKE THE SET KD
-WEAVING PATTERN:  please follow reference image
-Picture of yorkshire set added as reference for cushion design
</t>
  </si>
  <si>
    <t>7/13012019/0f7b1ad71b2f4598b9204d969df7f607.jpg</t>
  </si>
  <si>
    <t>77.5/136/136</t>
  </si>
  <si>
    <t>40/40/40</t>
  </si>
  <si>
    <t>11 ISSUED- Code: 20181221/TEC/001075/00000471/011</t>
  </si>
  <si>
    <t>20181221/TEC/001075/00000471/011</t>
  </si>
  <si>
    <t>9/31122018/ea18e52328b645bb8b912870bff49bd7.jpg</t>
  </si>
  <si>
    <t>2019-01-20</t>
  </si>
  <si>
    <t>Chair - Joris</t>
  </si>
  <si>
    <t>Metal</t>
  </si>
  <si>
    <t>Alu</t>
  </si>
  <si>
    <t>Wicker</t>
  </si>
  <si>
    <t xml:space="preserve">1. Reinhard Jolie(03-01-2019 10:33:16)
Factory targetprice 32usd
</t>
  </si>
  <si>
    <t>0/21012019/d0a59e0e36e74e77b43a3d87adc9847e.jpg</t>
  </si>
  <si>
    <t>INTERGAMMA B.V.</t>
  </si>
  <si>
    <t>47.5</t>
  </si>
  <si>
    <t>17 ISSUED- Code: 20181231/BIG/000784/00000472/017</t>
  </si>
  <si>
    <t>20181231/BIG/000784/00000472/017</t>
  </si>
  <si>
    <t>5/03012019/5e8946d16cca4091bc104580d6f89c8f.jpg</t>
  </si>
  <si>
    <t>Acacia</t>
  </si>
  <si>
    <t>Light teak look</t>
  </si>
  <si>
    <t>4/23012019/424fca470a784eeeb07e0a8aa958c850.jpg</t>
  </si>
  <si>
    <t>58.5</t>
  </si>
  <si>
    <t>85.2</t>
  </si>
  <si>
    <t>11 FINISHED- Code: 20181231/DAN/000784/00000472/011</t>
  </si>
  <si>
    <t>20181231/DAN/000784/00000472/011</t>
  </si>
  <si>
    <t>0/03012019/2b6476ca539842aa83246696d23d77e6.jpg</t>
  </si>
  <si>
    <t>DINING TABLE</t>
  </si>
  <si>
    <t>a/23012019/ecd83ee94024438b9db793be62e88282.jpg</t>
  </si>
  <si>
    <t>140</t>
  </si>
  <si>
    <t>144</t>
  </si>
  <si>
    <t>20 FINISHED- Code: 20181231/DAN/000784/00000472/020</t>
  </si>
  <si>
    <t>20181231/DAN/000784/00000472/020</t>
  </si>
  <si>
    <t>e/03012019/ca1d8e3ae2f147fb8058799749f52487.jpg</t>
  </si>
  <si>
    <t>DINING TABLE WOODEN TOP</t>
  </si>
  <si>
    <t>f/23012019/33082ec133e848c182d27908f639e2fa.jpg</t>
  </si>
  <si>
    <t>37</t>
  </si>
  <si>
    <t>193</t>
  </si>
  <si>
    <t>16.5</t>
  </si>
  <si>
    <t>13 FINISHED- Code: 20181231/DAN/000784/00000472/013</t>
  </si>
  <si>
    <t>20181231/DAN/000784/00000472/013</t>
  </si>
  <si>
    <t>e/31122018/a49b149ed8b14fb692b7dab60b9f089b.jpg</t>
  </si>
  <si>
    <t>Fauteuil - rotan</t>
  </si>
  <si>
    <t xml:space="preserve">1. Reinhard Jolie(04-01-2019 09:57:52)
Original sample will be brought from The Netherlands. this can be copied one on one.
</t>
  </si>
  <si>
    <t>e/21012019/f1ff85f91ddb49ae9f7d9563bba603a9.jpg</t>
  </si>
  <si>
    <t>79.5</t>
  </si>
  <si>
    <t>116</t>
  </si>
  <si>
    <t>6 ISSUED- Code: 20181231/ROO/000784/00000472/006</t>
  </si>
  <si>
    <t>20181231/ROO/000784/00000472/006</t>
  </si>
  <si>
    <t>6/03012019/9b6d71a1d48546c29f1cd87e3906a2c7.jpg</t>
  </si>
  <si>
    <t>GARDEN BENCH</t>
  </si>
  <si>
    <t>a/21012019/6313fb0265554bf09db8a221e17b25df.jpg</t>
  </si>
  <si>
    <t>9 ISSUED- Code: 20181231/TEC/000784/00000472/009</t>
  </si>
  <si>
    <t>20181231/TEC/000784/00000472/009</t>
  </si>
  <si>
    <t>c/03012019/e8afc03734fa4b438c3c88fe2feae6d4.jpg</t>
  </si>
  <si>
    <t>GARDEN WOOD BENCH</t>
  </si>
  <si>
    <t>9/21012019/0e3232c2700d4dbb97a64f61c5a9097f.jpg</t>
  </si>
  <si>
    <t>10 ISSUED- Code: 20181231/TEC/000784/00000472/010</t>
  </si>
  <si>
    <t>20181231/TEC/000784/00000472/010</t>
  </si>
  <si>
    <t>d/07012019/0e42d5b0c3a84946858213340d8d9be7.jpg</t>
  </si>
  <si>
    <t>KONYA LOUNGE CORNER SET</t>
  </si>
  <si>
    <t>Standard</t>
  </si>
  <si>
    <t>PLOFF</t>
  </si>
  <si>
    <t>2/22012019/36cdba96410046bf8fef87ecf5376a28.jpg</t>
  </si>
  <si>
    <t>1 ISSUED- Code: 20181231/TEC/000784/00000472/001</t>
  </si>
  <si>
    <t>20181231/TEC/000784/00000472/001</t>
  </si>
  <si>
    <t>d/03012019/7a01851393e845bbba08201ae872d53d.jpg</t>
  </si>
  <si>
    <t>NEW BENCH 03</t>
  </si>
  <si>
    <t xml:space="preserve">1. Reinhard Jolie(03-01-2019 12:54:49)
Follow technical drawing
</t>
  </si>
  <si>
    <t>3/23012019/a23902aa724f49d9ba3118f7a1f0599a.jpg</t>
  </si>
  <si>
    <t>46</t>
  </si>
  <si>
    <t>143</t>
  </si>
  <si>
    <t>18 FINISHED- Code: 20181231/DAN/000784/00000472/018</t>
  </si>
  <si>
    <t>20181231/DAN/000784/00000472/018</t>
  </si>
  <si>
    <t>2/31122018/88b5cc3c8a014930bee2eec999082c45.jpg</t>
  </si>
  <si>
    <t>NEW LOUNGE CHAIR WICKER</t>
  </si>
  <si>
    <t>Stitching</t>
  </si>
  <si>
    <t>8/29012019/2d27b34852ee43ffa5a9bacb08c9189b.jpg</t>
  </si>
  <si>
    <t>5 FINISHED- Code: 20181231/ROO/000784/00000472/005</t>
  </si>
  <si>
    <t>20181231/ROO/000784/00000472/005</t>
  </si>
  <si>
    <t>4/31122018/1fdd34497d5747609900e0aa03e0b5e9.jpg</t>
  </si>
  <si>
    <t>RIMINI BISTRO SET</t>
  </si>
  <si>
    <t>c/23012019/0de56ddaf6614fd6adabf5094ad40ea2.jpg</t>
  </si>
  <si>
    <t>58/58</t>
  </si>
  <si>
    <t>58/37.5</t>
  </si>
  <si>
    <t>72/79</t>
  </si>
  <si>
    <t>10.9</t>
  </si>
  <si>
    <t>93.5</t>
  </si>
  <si>
    <t>12 FINISHED- Code: 20181231/ROO/000784/00000472/012</t>
  </si>
  <si>
    <t>20181231/ROO/000784/00000472/012</t>
  </si>
  <si>
    <t>1/03012019/5d554b10758c45f988f5616aaf1c38cf.jpg</t>
  </si>
  <si>
    <t>ROTAN LOUNGE BENCH</t>
  </si>
  <si>
    <t xml:space="preserve">1. Reinhard Jolie(04-01-2019 10:25:24)
Bench should have this kind of weaving.
</t>
  </si>
  <si>
    <t>o/29012019/6e0368fa918d402ebc0ce68b24b27d98.jpeg</t>
  </si>
  <si>
    <t>141</t>
  </si>
  <si>
    <t>18.7</t>
  </si>
  <si>
    <t>3 FINISHED- Code: 20181231/APO/000784/00000472/003</t>
  </si>
  <si>
    <t>20181231/APO/000784/00000472/003</t>
  </si>
  <si>
    <t>a/03012019/8801687222ca4b96a37797b81ef0b81e.jpg</t>
  </si>
  <si>
    <t>ROTAN LOUNGE CHAIR</t>
  </si>
  <si>
    <t>2/29012019/c9f424ace45648e2bb4bda3088ac4af3.jpg</t>
  </si>
  <si>
    <t>8 FINISHED- Code: 20181231/APO/000784/00000472/008</t>
  </si>
  <si>
    <t>20181231/APO/000784/00000472/008</t>
  </si>
  <si>
    <t>a/31122018/7cb89b9b5f89439b878f940849399a98.jpg</t>
  </si>
  <si>
    <t>Side table – beton</t>
  </si>
  <si>
    <t>Polystone</t>
  </si>
  <si>
    <t>a/18012019/f2d441e924ab486ab46d46235fddd95c.jpg</t>
  </si>
  <si>
    <t>16 ISSUED- Code: 20181231/ROO/000784/00000472/016</t>
  </si>
  <si>
    <t>20181231/ROO/000784/00000472/016</t>
  </si>
  <si>
    <t>c/03012019/c19604055b73441ca16b139bcf161f66.jpg</t>
  </si>
  <si>
    <t>SIDE TABLE 60x60x40 + 45x45x45cm</t>
  </si>
  <si>
    <t>e/23012019/c1e4d99933ec43499e97a89f29037337.jpg</t>
  </si>
  <si>
    <t>45/60</t>
  </si>
  <si>
    <t>45/39.5</t>
  </si>
  <si>
    <t>6.3</t>
  </si>
  <si>
    <t>21 FINISHED- Code: 20181231/DAN/000784/00000472/021</t>
  </si>
  <si>
    <t>20181231/DAN/000784/00000472/021</t>
  </si>
  <si>
    <t>0/31122018/d5da6e7ca74840e49514869aed0e3af6.jpg</t>
  </si>
  <si>
    <t>Table - Grenoble</t>
  </si>
  <si>
    <t>a/21012019/995a121318c14599a76407124993673f.jpg</t>
  </si>
  <si>
    <t>19 ISSUED- Code: 20181231/TEC/000784/00000472/019</t>
  </si>
  <si>
    <t>20181231/TEC/000784/00000472/019</t>
  </si>
  <si>
    <t>6/03012019/72b97c6b56754610b2b8606389347e1e.jpg</t>
  </si>
  <si>
    <t>TOUROS POLYSTONE TABLE</t>
  </si>
  <si>
    <t>8/22012019/92a272e53ffb46ef880f91772784781b.jpg</t>
  </si>
  <si>
    <t>15 ISSUED- Code: 20181231/APH/000784/00000472/015</t>
  </si>
  <si>
    <t>20181231/APH/000784/00000472/015</t>
  </si>
  <si>
    <t>a/03012019/ef08843216254f6baa996886342ee8f7.jpg</t>
  </si>
  <si>
    <t>TRAPANI LOUNGE BENCH</t>
  </si>
  <si>
    <t>2/21012019/1295f45f4fd4408187ec183c1e3660e1.jpg</t>
  </si>
  <si>
    <t>2 ISSUED- Code: 20181231/TEC/000784/00000472/002</t>
  </si>
  <si>
    <t>20181231/TEC/000784/00000472/002</t>
  </si>
  <si>
    <t>c/03012019/226b665a19544a6c99e50272cc30ffa0.jpg</t>
  </si>
  <si>
    <t>TRAPANI LOUNGE CHAIR</t>
  </si>
  <si>
    <t>f/21012019/c52be3d844d14b6cb6ad7389adc62d57.jpg</t>
  </si>
  <si>
    <t>4 ISSUED- Code: 20181231/TEC/000784/00000472/004</t>
  </si>
  <si>
    <t>20181231/TEC/000784/00000472/004</t>
  </si>
  <si>
    <t>a/03012019/c2c926671bd34f9fb2f671ed8324d488.jpg</t>
  </si>
  <si>
    <t>BISTRO ROUND TABLE</t>
  </si>
  <si>
    <t>f/22012019/5158b492e8984b2abc4aec9d1ebf2098.jpg</t>
  </si>
  <si>
    <t>INTERGAMMA B.V. (Karwei)</t>
  </si>
  <si>
    <t>6 ISSUED- Code: 20181231/ROS/000984/00000473/006</t>
  </si>
  <si>
    <t>20181231/ROS/000984/00000473/006</t>
  </si>
  <si>
    <t>d/03012019/faf89a1493414e1c81ef33eca5adb50f.jpg</t>
  </si>
  <si>
    <t>CANBERRA HIGH DINING CORNER</t>
  </si>
  <si>
    <t>3/22012019/004c009bdf944acd9971f307486d2f44.jpg</t>
  </si>
  <si>
    <t>80/80/80/80</t>
  </si>
  <si>
    <t>80/170/170/80</t>
  </si>
  <si>
    <t>73/73/73/63</t>
  </si>
  <si>
    <t>18/31/31/13</t>
  </si>
  <si>
    <t>21/35/35/14.5</t>
  </si>
  <si>
    <t>82/82/82/84</t>
  </si>
  <si>
    <t>82/172/172/82.5</t>
  </si>
  <si>
    <t>40.5/38.5/38.5/35.5</t>
  </si>
  <si>
    <t>3 DATA FINISHED- Code: 20181231/ROS/000984/00000473/003</t>
  </si>
  <si>
    <t>20181231/ROS/000984/00000473/003</t>
  </si>
  <si>
    <t>e/31122018/022729bb28b0436bafa57a1fd251ccbd.jpg</t>
  </si>
  <si>
    <t>Chairs</t>
  </si>
  <si>
    <t>To be advise later</t>
  </si>
  <si>
    <t>e/23012019/f884f362709842c99119ef14848b9fb2.jpg</t>
  </si>
  <si>
    <t>8.7</t>
  </si>
  <si>
    <t>8 FINISHED- Code: 20181231/DAN/000984/00000473/008</t>
  </si>
  <si>
    <t>20181231/DAN/000984/00000473/008</t>
  </si>
  <si>
    <t>7/03012019/feb2b5156ca840758ec6ca30821c5aee.jpg</t>
  </si>
  <si>
    <t>7/23012019/f89bd20fdd844272a8b110ab38c5a804.jpg</t>
  </si>
  <si>
    <t>76.7</t>
  </si>
  <si>
    <t>243/25.5</t>
  </si>
  <si>
    <t>103/15</t>
  </si>
  <si>
    <t>15.5/11</t>
  </si>
  <si>
    <t>6 FINISHED- Code: 20181231/DAN/000984/00000473/006</t>
  </si>
  <si>
    <t>20181231/DAN/000984/00000473/006</t>
  </si>
  <si>
    <t>5/03012019/afe4c48d4fe844f79a08e985d5fb48b2.jpg</t>
  </si>
  <si>
    <t>FABRIC SIDE TABLE</t>
  </si>
  <si>
    <t>Fabric</t>
  </si>
  <si>
    <t>6/22012019/b5739f1d81df4194b4dcb0356cedca4f.jpg</t>
  </si>
  <si>
    <t>26</t>
  </si>
  <si>
    <t>10 ISSUED- Code: 20181231/ROS/000984/00000473/010</t>
  </si>
  <si>
    <t>20181231/ROS/000984/00000473/010</t>
  </si>
  <si>
    <t>d/03012019/59606a59f40f44c099a12db87fb52af9.jpg</t>
  </si>
  <si>
    <t xml:space="preserve">HUTTON LOUNGE CORNER  SET</t>
  </si>
  <si>
    <t>5/22012019/a13e1cd81a6f4730b958608171a87d1b.jpg</t>
  </si>
  <si>
    <t>65/65/65/29.5</t>
  </si>
  <si>
    <t>18/28/28/9</t>
  </si>
  <si>
    <t>21/32/32/10.5</t>
  </si>
  <si>
    <t>4boxes</t>
  </si>
  <si>
    <t>33/33/33/8.5</t>
  </si>
  <si>
    <t>1 DATA FINISHED- Code: 20181231/ROS/000984/00000473/001</t>
  </si>
  <si>
    <t>20181231/ROS/000984/00000473/001</t>
  </si>
  <si>
    <t>b/03012019/ad8875f22c55404d9454b246de879cbd.jpg</t>
  </si>
  <si>
    <t>MACERATA LOUNGE CORNER SET</t>
  </si>
  <si>
    <t>3/22012019/5a0ec129d2f2476c88994a69be760ef2.jpg</t>
  </si>
  <si>
    <t>5 ISSUED- Code: 20181231/TEC/000984/00000473/005</t>
  </si>
  <si>
    <t>20181231/TEC/000984/00000473/005</t>
  </si>
  <si>
    <t>4/03012019/2332b3c6adcd4d52a84a90b00e1edf73.jpg</t>
  </si>
  <si>
    <t>NEW ROTAN SOFA</t>
  </si>
  <si>
    <t>e/15022019/735b01a24916484ab230a1f26813553e.jpg</t>
  </si>
  <si>
    <t>68.5</t>
  </si>
  <si>
    <t>11 FINISHED- Code: 20181231/ROO/000984/00000473/011</t>
  </si>
  <si>
    <t>20181231/ROO/000984/00000473/011</t>
  </si>
  <si>
    <t>8/03012019/6a4ee82e231f43b380c785671863444d.jpg</t>
  </si>
  <si>
    <t>ROTAN ROUND TABLE POLYSTONE TOP</t>
  </si>
  <si>
    <t>Ceramic</t>
  </si>
  <si>
    <t>Concrete look</t>
  </si>
  <si>
    <t xml:space="preserve">1. Reinhard Jolie(03-01-2019 15:34:37)
Client also wants to see the same table with an wooden top in Light teak look. 
make 1x additional table top in wood.
</t>
  </si>
  <si>
    <t>c/21012019/200245c8ba684529bcc916ea06eafa4d.jpg</t>
  </si>
  <si>
    <t>7 ISSUED- Code: 20181231/PAL/000984/00000473/007</t>
  </si>
  <si>
    <t>20181231/PAL/000984/00000473/007</t>
  </si>
  <si>
    <t>8/03012019/d940bdcb544844e085ac7ef726daa28a.jpg</t>
  </si>
  <si>
    <t>ROTAN SOFA</t>
  </si>
  <si>
    <t>round wicker</t>
  </si>
  <si>
    <t>a/15022019/5136248f9fd04fa9bfedf076dab1a2b2.jpg</t>
  </si>
  <si>
    <t>148</t>
  </si>
  <si>
    <t>12 FINISHED- Code: 20181231/ROO/000984/00000473/012</t>
  </si>
  <si>
    <t>20181231/ROO/000984/00000473/012</t>
  </si>
  <si>
    <t>2/03012019/3ecc8c8f4d7842c79e6e711113d643b2.jpg</t>
  </si>
  <si>
    <t>SOFA WICKER</t>
  </si>
  <si>
    <t>1/22012019/cca2e0b9d7a84eb3a3ce11461f842aae.jpg</t>
  </si>
  <si>
    <t>13 ISSUED- Code: 20181231/ROO/000984/00000473/013</t>
  </si>
  <si>
    <t>20181231/ROO/000984/00000473/013</t>
  </si>
  <si>
    <t>7/04012019/2fba8813b83240c08cd66926a8a40c6d.jpg</t>
  </si>
  <si>
    <t>WALTON CHAISE LOUNGE SET</t>
  </si>
  <si>
    <t>6/22012019/d8813453c77542aea52d537e0cd0b0d9.jpg</t>
  </si>
  <si>
    <t>85/85/70</t>
  </si>
  <si>
    <t>130/215/70</t>
  </si>
  <si>
    <t>51.5/51.5/33</t>
  </si>
  <si>
    <t>20.5/33/4.5</t>
  </si>
  <si>
    <t>23.5/37/5.5</t>
  </si>
  <si>
    <t>87/87/74</t>
  </si>
  <si>
    <t>132.5/217.5/72.5</t>
  </si>
  <si>
    <t>35/35/7.5</t>
  </si>
  <si>
    <t>2 DATA FINISHED- Code: 20181231/ROS/000984/00000473/002</t>
  </si>
  <si>
    <t>20181231/ROS/000984/00000473/002</t>
  </si>
  <si>
    <t>4/30032018/8bf2679df5b641e5b16b0a31c4cf8687.jpg</t>
  </si>
  <si>
    <t>2019-01-28</t>
  </si>
  <si>
    <t>ARIZONA POTTERY TABLE</t>
  </si>
  <si>
    <t>8/21022019/c0c857c0eb8846a2bba624ea3a584589.jpg</t>
  </si>
  <si>
    <t>110</t>
  </si>
  <si>
    <t>48.5</t>
  </si>
  <si>
    <t>27 FINISHED- Code: 20190104/DAN/000783/00000474/027</t>
  </si>
  <si>
    <t>20190104/DAN/000783/00000474/027</t>
  </si>
  <si>
    <t>e/04012019/8d98ae83d85e4fdaa336f9bca6edd4d8.jpg</t>
  </si>
  <si>
    <t>PIS-37-VQN</t>
  </si>
  <si>
    <t>BARCELONA CHAIR WOOD+ROPE</t>
  </si>
  <si>
    <t>TAUPE</t>
  </si>
  <si>
    <t>2X SIDE CUSHION + 1X BACK CUSHION</t>
  </si>
  <si>
    <t>5/28012019/9cc116ec0bf84740a28d09b3f6e6e951.jpg</t>
  </si>
  <si>
    <t>92.5</t>
  </si>
  <si>
    <t>32 FINISHED- Code: 20190104/ROS/000783/00000474/032</t>
  </si>
  <si>
    <t>20190104/ROS/000783/00000474/032</t>
  </si>
  <si>
    <t>b/03012019/b8aae0cff7044456823e6e7af7c1ad6f.jpg</t>
  </si>
  <si>
    <t>BRISBANE HOCKER</t>
  </si>
  <si>
    <t>o/18022019/949bb8324986475b92b45dc9680920e7.JPEG</t>
  </si>
  <si>
    <t>1 chair + 1 hocker</t>
  </si>
  <si>
    <t>24 ISSUED- Code: 20190103/BIG/000783/00000474/024</t>
  </si>
  <si>
    <t>20190103/BIG/000783/00000474/024</t>
  </si>
  <si>
    <t>7/16102018/9478f50c4ea14f90b0e605f9da795799.jpg</t>
  </si>
  <si>
    <t>BRISBANE LOUNGE CHAIR</t>
  </si>
  <si>
    <t>o/18022019/53fe8e87f3bc4be6854793faf2c3437b.JPEG</t>
  </si>
  <si>
    <t>23 ISSUED- Code: 20190103/BIG/000783/00000474/023</t>
  </si>
  <si>
    <t>20190103/BIG/000783/00000474/023</t>
  </si>
  <si>
    <t>1/13092018/55d3e3156ff2403f91ac70736160b6f4.jpg</t>
  </si>
  <si>
    <t>BROOKTON DINING CHAIR 822</t>
  </si>
  <si>
    <t>5/26022019/06c19b5cdec1477bbea16e96569dc9fb.jpg</t>
  </si>
  <si>
    <t>60.5</t>
  </si>
  <si>
    <t>31 ISSUED- Code: 20190104/BIG/000783/00000474/031</t>
  </si>
  <si>
    <t>20190104/BIG/000783/00000474/031</t>
  </si>
  <si>
    <t>6/30032018/c8fbb8acda8646ddac67e88720ed4bec.jpg</t>
  </si>
  <si>
    <t>b/25022019/bd079b551e124d40b41145cb422bad67.jpg</t>
  </si>
  <si>
    <t>30 FINISHED- Code: 20190104/DAN/000783/00000474/030</t>
  </si>
  <si>
    <t>20190104/DAN/000783/00000474/030</t>
  </si>
  <si>
    <t>5/30032018/1495c7c16d204b4d9657b7702ef6c793.jpg</t>
  </si>
  <si>
    <t>CLASSIC DIRECTORY CHAIR</t>
  </si>
  <si>
    <t>2/25022019/7b2ae53f7f754ab8afe05f863c820eef.jpg</t>
  </si>
  <si>
    <t>28 FINISHED- Code: 20190104/DAN/000783/00000474/028</t>
  </si>
  <si>
    <t>20190104/DAN/000783/00000474/028</t>
  </si>
  <si>
    <t>f/30032018/46f5911a916e4781b339afa8ed75ea13.jpg</t>
  </si>
  <si>
    <t>CLASSIC DIRECTORY FOOTREST</t>
  </si>
  <si>
    <t>2/25022019/34d8141f152b44e784ee16cfe5e94b2e.jpg</t>
  </si>
  <si>
    <t>47</t>
  </si>
  <si>
    <t>2.5</t>
  </si>
  <si>
    <t>3.5</t>
  </si>
  <si>
    <t>29 FINISHED- Code: 20190104/DAN/000783/00000474/029</t>
  </si>
  <si>
    <t>20190104/DAN/000783/00000474/029</t>
  </si>
  <si>
    <t>4/11112015/0635890ff11b4a4195cca6e500d98f08.jpg</t>
  </si>
  <si>
    <t>CLASSIC FOLDING BENCH</t>
  </si>
  <si>
    <t>6/18022019/85c358d9c44147edb63031f12a8e6354.jpg</t>
  </si>
  <si>
    <t>52.4</t>
  </si>
  <si>
    <t>4.7</t>
  </si>
  <si>
    <t>101.5</t>
  </si>
  <si>
    <t>18 FINISHED- Code: 20190103/DAN/000783/00000474/018</t>
  </si>
  <si>
    <t>20190103/DAN/000783/00000474/018</t>
  </si>
  <si>
    <t>6/29032018/92e3093971c14aeebcced5ddbc60c055.jpg</t>
  </si>
  <si>
    <t>CLASSIC FOLDING CHAIR</t>
  </si>
  <si>
    <t>c/19022019/cba9a06bda564395979ed62d7db21c14.jpg</t>
  </si>
  <si>
    <t>38</t>
  </si>
  <si>
    <t>19 FINISHED- Code: 20190103/DAN/000783/00000474/019</t>
  </si>
  <si>
    <t>20190103/DAN/000783/00000474/019</t>
  </si>
  <si>
    <t>d/29032018/2a5aa4ac5ab44d7a8f42882d0956e93e.jpg</t>
  </si>
  <si>
    <t>CLASSIC FOLDING SET (2XCHAIR, TABLE 58X58X73CM)</t>
  </si>
  <si>
    <t>5/19022019/68414c8c39724a4fb2b781092868a16e.jpg</t>
  </si>
  <si>
    <t>58/53</t>
  </si>
  <si>
    <t>58/38</t>
  </si>
  <si>
    <t>73/82</t>
  </si>
  <si>
    <t>1 set</t>
  </si>
  <si>
    <t>16 FINISHED- Code: 20190103/DAN/000783/00000474/016</t>
  </si>
  <si>
    <t>20190103/DAN/000783/00000474/016</t>
  </si>
  <si>
    <t>d/06102016/707acf40d7d8486a94ace4ce9ca51d7f.jpg</t>
  </si>
  <si>
    <t>CLASSIC FOLDING TABLE 120X70X73 CM 621</t>
  </si>
  <si>
    <t>f/19022019/d6034f54b8bb40e08171019f1f59f5e0.jpg</t>
  </si>
  <si>
    <t>11.66</t>
  </si>
  <si>
    <t>14.35</t>
  </si>
  <si>
    <t>121.5</t>
  </si>
  <si>
    <t>20 FINISHED- Code: 20190103/DAN/000783/00000474/020</t>
  </si>
  <si>
    <t>20190103/DAN/000783/00000474/020</t>
  </si>
  <si>
    <t>1/04012019/fdadde34772347309b0bc932a2c8416d.jpg</t>
  </si>
  <si>
    <t>CUSHION BOX ON WHEELS 118X52X58 INLUDING BAG</t>
  </si>
  <si>
    <t xml:space="preserve">1. Gerard Mennen(04-01-2019 14:38:29)
FOR THIS ITEM A REAL SAMPLE WILL BE AVAILABLE FROM HOLLAND 08/01/2019
</t>
  </si>
  <si>
    <t>d/28012019/c3abc2deaddc40bfafc9ad3cfff7e96d.jpg</t>
  </si>
  <si>
    <t>118</t>
  </si>
  <si>
    <t>122</t>
  </si>
  <si>
    <t>33 FINISHED- Code: 20190104/ROS/000783/00000474/033</t>
  </si>
  <si>
    <t>20190104/ROS/000783/00000474/033</t>
  </si>
  <si>
    <t>e/03012019/22fc9e84c19a4ef79fb7e4ae40c30268.jpg</t>
  </si>
  <si>
    <t>DOMINO CHAIR WITH BRISBANE LEG</t>
  </si>
  <si>
    <t>ROYAL GREY 240</t>
  </si>
  <si>
    <t>o/18022019/2c90d681e763438e831a3200bf404cec.JPEG</t>
  </si>
  <si>
    <t>62.5</t>
  </si>
  <si>
    <t>7 ISSUED- Code: 20190103/APO/000783/00000474/007</t>
  </si>
  <si>
    <t>20190103/APO/000783/00000474/007</t>
  </si>
  <si>
    <t>7/03012019/8c908de3fe694a6f97d02594748cb359.jpg</t>
  </si>
  <si>
    <t>HARBY PROMO BENCH 2-SEATER</t>
  </si>
  <si>
    <t>3/15022019/ae23fb898cce48d1a7a2bd16e00bd9e3.jpg</t>
  </si>
  <si>
    <t>138</t>
  </si>
  <si>
    <t>21.5</t>
  </si>
  <si>
    <t>78.5</t>
  </si>
  <si>
    <t>134</t>
  </si>
  <si>
    <t>9 FINISHED- Code: 20190103/ROS/000783/00000474/009</t>
  </si>
  <si>
    <t>20190103/ROS/000783/00000474/009</t>
  </si>
  <si>
    <t>d/03012019/b0131b79bfd04360aeea595b87af045c.jpg</t>
  </si>
  <si>
    <t>HARBY PROMO CHAIR</t>
  </si>
  <si>
    <t>b/15022019/14dd427964414f96aa50c2a17bf4fba2.jpg</t>
  </si>
  <si>
    <t>76.5</t>
  </si>
  <si>
    <t>10 FINISHED- Code: 20190103/ROS/000783/00000474/010</t>
  </si>
  <si>
    <t>20190103/ROS/000783/00000474/010</t>
  </si>
  <si>
    <t>f/03012019/ef68769db35545c7bf8d444b692201e9.jpg</t>
  </si>
  <si>
    <t>HAVANA DINING CHAIR STACKABLE</t>
  </si>
  <si>
    <t>HEAVENLY BLUE 7454C</t>
  </si>
  <si>
    <t>5/15022019/484a08bb49d04222a3decd5d135ea67e.jpg</t>
  </si>
  <si>
    <t>3.8</t>
  </si>
  <si>
    <t>22 FINISHED- Code: 20190103/PAL/000783/00000474/022</t>
  </si>
  <si>
    <t>20190103/PAL/000783/00000474/022</t>
  </si>
  <si>
    <t>2/18022019/713a2555259a42a18f90bbd684d9e466.jpg</t>
  </si>
  <si>
    <t>58/52</t>
  </si>
  <si>
    <t>72/78.5</t>
  </si>
  <si>
    <t>17 FINISHED- Code: 20190103/DAN/000783/00000474/017</t>
  </si>
  <si>
    <t>20190103/DAN/000783/00000474/017</t>
  </si>
  <si>
    <t>1/24012019/1770903237204383bf5ea9c0d0c95011.jpg</t>
  </si>
  <si>
    <t xml:space="preserve">LOUNGESET: ALUMINIUM/WICKER: 2X CHAIR + BENCH  150CM+ TABLE WITH GLASS 100X60</t>
  </si>
  <si>
    <t xml:space="preserve">1. An Huyen Cao(24-01-2019 12:53:24)
TD
</t>
  </si>
  <si>
    <t>e/26022019/2931e9d5aca74833af8c597690a996e2.jpg</t>
  </si>
  <si>
    <t>85/85/85/106</t>
  </si>
  <si>
    <t>76/76/150/66</t>
  </si>
  <si>
    <t>80/80/80/33</t>
  </si>
  <si>
    <t>9/9/16.5/12</t>
  </si>
  <si>
    <t>14/14/36</t>
  </si>
  <si>
    <t>1/1/2</t>
  </si>
  <si>
    <t>88/88/88</t>
  </si>
  <si>
    <t>79/79/153</t>
  </si>
  <si>
    <t>34 ISSUED- Code: 20190123/PAL/000783/00000474/034</t>
  </si>
  <si>
    <t>20190123/PAL/000783/00000474/034</t>
  </si>
  <si>
    <t>c/06102015/7cc4e1989c414000864b022578ce50c7.jpg</t>
  </si>
  <si>
    <t>MANDAL LOUNGE CHAIR</t>
  </si>
  <si>
    <t>6/15022019/deed722699654d27857649ebfef186ab.jpg</t>
  </si>
  <si>
    <t>4 FINISHED- Code: 20190103/ROS/000783/00000474/004</t>
  </si>
  <si>
    <t>20190103/ROS/000783/00000474/004</t>
  </si>
  <si>
    <t>6/03012019/6506da15465647389b0fe520757408b1.jpg</t>
  </si>
  <si>
    <t>MELFORT ROUND TABLE 80CM - HEIGTH 35CM</t>
  </si>
  <si>
    <t xml:space="preserve">1. Gerard Mennen(03-01-2019 16:21:30)
TABLE SHOULD BE ABLE TO FIT UNDER r80x40
</t>
  </si>
  <si>
    <t>1/18022019/85eb26c4dc5f4b89b0e245ee5de5b91e.jpg</t>
  </si>
  <si>
    <t>12 FINISHED- Code: 20190103/DAN/000783/00000474/012</t>
  </si>
  <si>
    <t>20190103/DAN/000783/00000474/012</t>
  </si>
  <si>
    <t>f/18022019/2cb6af41cca24d6a968933c06813d443.jpg</t>
  </si>
  <si>
    <t>7.8</t>
  </si>
  <si>
    <t>8.8</t>
  </si>
  <si>
    <t>11 FINISHED- Code: 20190103/DAN/000783/00000474/011</t>
  </si>
  <si>
    <t>20190103/DAN/000783/00000474/011</t>
  </si>
  <si>
    <t>6/30032018/22bf497ccc9141e2bc64d3274de6c305.jpg</t>
  </si>
  <si>
    <t>OSAKA ROOM DIVIDER 28X80X170CM</t>
  </si>
  <si>
    <t xml:space="preserve">1. Gerard Mennen(03-01-2019 17:32:16)
INCLUDING 4 SHELVES
</t>
  </si>
  <si>
    <t>3/19022019/2852c3306e59400abe5fe82eb2a42882.jpg</t>
  </si>
  <si>
    <t>174.5</t>
  </si>
  <si>
    <t>21 FINISHED- Code: 20190103/DAN/000783/00000474/021</t>
  </si>
  <si>
    <t>20190103/DAN/000783/00000474/021</t>
  </si>
  <si>
    <t>2/02012019/4e61f0a29d65420791c321028d832ed6.jpg</t>
  </si>
  <si>
    <t>OUTDOOR CHAIR</t>
  </si>
  <si>
    <t xml:space="preserve">1. An Huyen Cao(07-01-2019 15:12:21)
See attachment how to revise the fabric chair
</t>
  </si>
  <si>
    <t>6/27022019/ef8e2f3f8c1b47b1866d809bfa33bc20.jpg</t>
  </si>
  <si>
    <t>89.5</t>
  </si>
  <si>
    <t>2 FINISHED- Code: 20190102/APO/000783/00000474/002</t>
  </si>
  <si>
    <t>20190102/APO/000783/00000474/002</t>
  </si>
  <si>
    <t>c/03012019/f313d48061d646fd803c8f4de77d8bf4.jpg</t>
  </si>
  <si>
    <t>OUTDOOR HOCKER</t>
  </si>
  <si>
    <t xml:space="preserve">1. An Huyen Cao(07-01-2019 15:12:21)
PLEASE SEE ATTACHMENT HOW TO REVISE THE HOCKER
</t>
  </si>
  <si>
    <t>3/27022019/f8653afb1d99492dad6919ea2ae08b36.jpg</t>
  </si>
  <si>
    <t>5 FINISHED- Code: 20190103/APO/000783/00000474/005</t>
  </si>
  <si>
    <t>20190103/APO/000783/00000474/005</t>
  </si>
  <si>
    <t>e/03012019/501814830ded45a1a311d768e95364ac.jpg</t>
  </si>
  <si>
    <t>RELAX CHAIR (SAMPLE INDO)</t>
  </si>
  <si>
    <t>WICKER ROPE 4,5MM</t>
  </si>
  <si>
    <t>TEAK</t>
  </si>
  <si>
    <t>NATUREL</t>
  </si>
  <si>
    <t xml:space="preserve">1. (14-01-2019 03:42:56)
Total 3 pieces: 1 for Client, 2 for showroom AVT
</t>
  </si>
  <si>
    <t>1/25022019/1874bbbe91d1421aa59216eb8edf7d8f.jpg</t>
  </si>
  <si>
    <t>13 ISSUED- Code: 20190103/APO/000783/00000474/013</t>
  </si>
  <si>
    <t>20190103/APO/000783/00000474/013</t>
  </si>
  <si>
    <t>c/03012019/278a9c0087024cdbb99112235d7e5939.jpg</t>
  </si>
  <si>
    <t>SAFARI BENCH 240X92X72</t>
  </si>
  <si>
    <t>TWISTED</t>
  </si>
  <si>
    <t>o/27022019/ff1d813972974ffe859b29618bdd2a55.jpeg</t>
  </si>
  <si>
    <t>241</t>
  </si>
  <si>
    <t>14 FINISHED- Code: 20190103/APO/000783/00000474/014</t>
  </si>
  <si>
    <t>20190103/APO/000783/00000474/014</t>
  </si>
  <si>
    <t>1/03012019/96919ccd42164a8fb1b89630771019f6.jpg</t>
  </si>
  <si>
    <t>SAFARI LOUNGE CHAIR 104X92X72CM</t>
  </si>
  <si>
    <t>o/27022019/916b189d45a14b14af8add0d2037ba1f.jpeg</t>
  </si>
  <si>
    <t>15 FINISHED- Code: 20190103/APO/000783/00000474/015</t>
  </si>
  <si>
    <t>20190103/APO/000783/00000474/015</t>
  </si>
  <si>
    <t>6/30032018/6d090fa8f9144878a54f5c0dc59e592a.jpg</t>
  </si>
  <si>
    <t>SEMARANG BENCH 66X180X88CM</t>
  </si>
  <si>
    <t>pantone#TCX/TPX16-5123</t>
  </si>
  <si>
    <t xml:space="preserve">1. An Huyen Cao(07-01-2019 15:12:21)
Make the Semarang bench in the color PANTONE TCX/TPX 16-5123 as attachment. (With black underlayer)
</t>
  </si>
  <si>
    <t>2/15022019/06deb597231843cb84e3d16a43c0e134.jpg</t>
  </si>
  <si>
    <t>3 FINISHED- Code: 20190102/ROS/000783/00000474/003</t>
  </si>
  <si>
    <t>20190102/ROS/000783/00000474/003</t>
  </si>
  <si>
    <t>d/04012019/e50005fd98ea4c32aacac0141e4e8e7d.jpg</t>
  </si>
  <si>
    <t>SIDE TABLE WOOD/PU CEMENT R40XH55</t>
  </si>
  <si>
    <t>CEMENT/PU TOP</t>
  </si>
  <si>
    <t>f/25022019/0bafa390c7444c5c9cf54a06bc5f523e.jpg</t>
  </si>
  <si>
    <t>26 FINISHED- Code: 20190104/APH/000783/00000474/026</t>
  </si>
  <si>
    <t>20190104/APH/000783/00000474/026</t>
  </si>
  <si>
    <t>0/04012019/6148c09d5b2841e8b94101789a958f33.jpg</t>
  </si>
  <si>
    <t>SIDE TABLE WOOD/PU CEMENT R50XH40</t>
  </si>
  <si>
    <t>b/25022019/9fa12cc893c047d19ce4a46bc1195d1b.jpg</t>
  </si>
  <si>
    <t>25 FINISHED- Code: 20190104/APH/000783/00000474/025</t>
  </si>
  <si>
    <t>20190104/APH/000783/00000474/025</t>
  </si>
  <si>
    <t>9/02012019/6296d7bfc6164fc8823aba849fa89494.jpg</t>
  </si>
  <si>
    <t xml:space="preserve">1. An Huyen Cao(07-01-2019 15:12:21)
See attachment how to revise the JUPP table
</t>
  </si>
  <si>
    <t>9/26022019/5f5228abbbd74e919ab6dcbb4c52437d.jpg</t>
  </si>
  <si>
    <t>1 ISSUED- Code: 20190102/TEC/000783/00000474/001</t>
  </si>
  <si>
    <t>20190102/TEC/000783/00000474/001</t>
  </si>
  <si>
    <t>b/22022019/025aa3dd7235454b9c484f73e1cd1f60.jpg</t>
  </si>
  <si>
    <t xml:space="preserve">TONGA  ROUND LOUNGE TABLE 47X47X43CM</t>
  </si>
  <si>
    <t>4/25022019/a3b527d7e6de4b278f7473578dd0d595.jpg</t>
  </si>
  <si>
    <t>8 FINISHED- Code: 20190103/APH/000783/00000474/008</t>
  </si>
  <si>
    <t>20190103/APH/000783/00000474/008</t>
  </si>
  <si>
    <t>7/24122018/cd4ced5d941b434186e9b16486fa81ff.jpg</t>
  </si>
  <si>
    <t>WATES LOUNGE SET 4 PCS (2X CHAIR, 1X BENCH, 1X LOUNGE TABLE 100X60X45CM)</t>
  </si>
  <si>
    <t>c/27022019/35b9c7070e364d989005890cd921732d.jpg</t>
  </si>
  <si>
    <t>69/69/100</t>
  </si>
  <si>
    <t>68/140/50</t>
  </si>
  <si>
    <t>78/78/45</t>
  </si>
  <si>
    <t>1/2</t>
  </si>
  <si>
    <t>72/145</t>
  </si>
  <si>
    <t>74/75</t>
  </si>
  <si>
    <t>47/62</t>
  </si>
  <si>
    <t>6 FINISHED- Code: 20190103/APO/000783/00000474/006</t>
  </si>
  <si>
    <t>20190103/APO/000783/00000474/006</t>
  </si>
  <si>
    <t>1/17012019/6a9fade5e64e4447884479d18cfea458.jpg</t>
  </si>
  <si>
    <t>2019-03-03</t>
  </si>
  <si>
    <t>ADELAIDE SIDE TABLES SET</t>
  </si>
  <si>
    <t>ANTHRACITE A060</t>
  </si>
  <si>
    <t>VINTAGE LIGHT GREY</t>
  </si>
  <si>
    <t xml:space="preserve">3. Ngo Duy Hung(11-03-2019 06:19:50)
AS IT IS
2. DAVE VAN DER LINDEN(06-03-2019 16:30:02)
PLEASE INCLUDE PICTURES WITH CORRECT ROPE
1. (17-01-2019 15:40:49)
FRMAE LIKE CARPIANO 1263
THICKNESS ROPE 18MM, MR ROB TOOK SAMPLE TO VIETNAM, PLEASE CHECK
</t>
  </si>
  <si>
    <t>c/10032019/815dc7a4a04a49fd834ea4f7bd202a00.jpg</t>
  </si>
  <si>
    <t>Intratuin Trade &amp; Logistics B.V.</t>
  </si>
  <si>
    <t>18 SAMPLE APPROVED- Code: 20190114/AKI/000705/00000475/018</t>
  </si>
  <si>
    <t>20190114/AKI/000705/00000475/018</t>
  </si>
  <si>
    <t>4/14012019/aa4930d38bfb484fa7c66b4fc463f0e9.jpg</t>
  </si>
  <si>
    <t>ARAGON DINING CHAIR</t>
  </si>
  <si>
    <t>ANTHRACITE/WHITE</t>
  </si>
  <si>
    <t xml:space="preserve">2. DAVE VAN DER LINDEN(22-02-2019 08:38:52)
MAKE THE SAME AS TANANARIVE, CLIENT 1263.
THE LEGS NEED TO BE MADE A LITTLE SMALLER AND ALSO MUST BE WITHIN SEAT OF THE CHAIR
1. (17-01-2019 15:40:48)
UPPER PART (SEAT + BACK) AS MIRA
WEAVING AS HARTMAN CHAIR THAT MR ROB BROUGHT TO VN, CHECK SAMPLE SHOWROOM
CONNECTION OF LEGS UNDER THE FRAME SHOULD NOT BE VISIBLE
</t>
  </si>
  <si>
    <t>c/28022019/6b284ab522ea42df9e1bf6b573e2cff9.jpg</t>
  </si>
  <si>
    <t>2 SAMPLE APPROVED- Code: 20190114/BIG/000705/00000475/002</t>
  </si>
  <si>
    <t>20190114/BIG/000705/00000475/002</t>
  </si>
  <si>
    <t>b/14012019/58e3cac3119f47669d073b01de8dc008.jpg</t>
  </si>
  <si>
    <t>BARBADOS LOUNGE CORNER SET</t>
  </si>
  <si>
    <t xml:space="preserve">2. Ngo Duy Hung(11-03-2019 08:09:56)
SAMPLE AS IT IS
1. DAVE VAN DER LINDEN(22-01-2019 17:43:48)
AS SAMPLE SHOWROOM BUT NEW CUSHION COLOR
</t>
  </si>
  <si>
    <t>35 SAMPLE APPROVED- Code: 20190114/SHR/000705/00000475/035</t>
  </si>
  <si>
    <t>20190114/SHR/000705/00000475/035</t>
  </si>
  <si>
    <t>d/14012019/bdae2defc6b745a2af7f4bd93f2b01f5.jpg</t>
  </si>
  <si>
    <t>DOUBLE ROUND 10 MM</t>
  </si>
  <si>
    <t>BRUSCHETTA PANTONE 18-1346</t>
  </si>
  <si>
    <t>BURGUNDY RED ILAN W2131-978</t>
  </si>
  <si>
    <t xml:space="preserve">2. Ngo Duy Hung(11-03-2019 05:08:16)
WICKER FLAT COVERING FRAME SHOULD HAVE SAME SURFACE FINISHING AS WICKER OF GIBSON CORNER SET: LOOKS ROUGH
MIDDLE OF SEAT SHOULD BE DOWNWARDS TO MAKE COMFORTABLE SEAT
FRONT SUPPORT BAR SHOULD CURVES DOWN
1. (15-01-2019 12:47:23)
COLOR AS TERRACOTTA COLOR 1263
FABRIC, CHECKING WITH ILAN
MODEL EXACTLY AS FA76
</t>
  </si>
  <si>
    <t>5/16032019/f38fd99f488147058563fc9bf1d18043.jpg</t>
  </si>
  <si>
    <t>21 FINISHED- Code: 20190114/APO/000705/00000475/021</t>
  </si>
  <si>
    <t>20190114/APO/000705/00000475/021</t>
  </si>
  <si>
    <t>6/16012019/ed2b2189840548b5924cccbf9e8dbe6e.jpg</t>
  </si>
  <si>
    <t>CAIRO LOUNGE SET (2X CHAIR + 1X BENCH)</t>
  </si>
  <si>
    <t>FLAT 7MM OPEN WEAVE</t>
  </si>
  <si>
    <t>LIGHT YELLOW</t>
  </si>
  <si>
    <t xml:space="preserve">2. Ngo Duy Hung(11-03-2019 05:33:17)
HEIGHT OF BACK CUSHION MUST BE INCREASED 7CM, SEE PHOTO
CHANGE CUSHION COLOR TO ROYAL STONE BROWN
TOP OF ARMREST AND ARMREST SIDE SURFACE SHOULD BE ROUND
1. (16-01-2019 16:38:45)
WEAVING AS NORTON
WOODEN LEGS IN ACACIA LIGHT TEAK LOOK
CUSHION THICKNESS IS 11CM
</t>
  </si>
  <si>
    <t>6/22032019/0e4410e342524de8bbe1e5a15d2e9a79.jpg</t>
  </si>
  <si>
    <t>96/96</t>
  </si>
  <si>
    <t>98/154</t>
  </si>
  <si>
    <t>73/73</t>
  </si>
  <si>
    <t>15/...</t>
  </si>
  <si>
    <t>97/97</t>
  </si>
  <si>
    <t>99/155</t>
  </si>
  <si>
    <t>74/74</t>
  </si>
  <si>
    <t>8 FINISHED- Code: 20190114/APO/000705/00000475/008</t>
  </si>
  <si>
    <t>20190114/APO/000705/00000475/008</t>
  </si>
  <si>
    <t>0/17012019/1b8ef3f74140485785d6b477d6e0b748.jpg</t>
  </si>
  <si>
    <t>CAYMAN LOUNGE SET</t>
  </si>
  <si>
    <t xml:space="preserve">3. Ngo Duy Hung(11-03-2019 06:13:08)
FIX WICKER AT BACK AS ORIGINAL (RIGHT CHAIR) TO MAKE IT COMFORTABLE, NOW THE SEATER CAN FEEL THE BACK TOP FRAME, SEE PHOTO.
FRONT LEGS HIGHER 3.5CM
MAKE ROUND SEAT CUSHION D40CM AND AROUND 1CM THICKNESS
2. DAVE VAN DER LINDEN(22-02-2019 08:40:28)
MAKE THE LEG CONSTRUCTION SAME AS ORIGINAL CHAIR (STEEL)
THE MODEL SHOULD BE THE SAME AS ORIGINAL, ONLY MAKE ALL DIMS 5% BIGGER.
1. (17-01-2019 15:24:02)
AS SAMPLE SHOWROOM, BUT 5% BIGGER
</t>
  </si>
  <si>
    <t>6/21032019/f75f84f8a92f4b05b5a4830afcb2a51e.jpg</t>
  </si>
  <si>
    <t>64/64/60</t>
  </si>
  <si>
    <t>66/126/60</t>
  </si>
  <si>
    <t>88/88/47</t>
  </si>
  <si>
    <t>4 (1set/box)</t>
  </si>
  <si>
    <t>13 ISSUED- Code: 20190114/APO/000705/00000475/013</t>
  </si>
  <si>
    <t>20190114/APO/000705/00000475/013</t>
  </si>
  <si>
    <t>2/16012019/0a8c14d0f33e4f4980d95c2a1a49b407.jpg</t>
  </si>
  <si>
    <t>ROUND 4,5 MM</t>
  </si>
  <si>
    <t xml:space="preserve">2. Ngo Duy Hung(11-03-2019 07:01:30)
MAKE 2 OPTIONS OF CUSHION:
- SET 1: AS SAMPLE IN NATURAL TAUPE
- SET 2: IN ROYAL STONE GREEN, HEIGHT OF CUSHION 25CM, SEAT CUSHION SHAPE AS SET 1
1. (16-01-2019 16:38:46)
AS INDO SAMPLE
</t>
  </si>
  <si>
    <t>8/19032019/18223879ab354e2eb936ffcc47dd700a.jpg</t>
  </si>
  <si>
    <t>33 ISSUED- Code: 20190114/APO/000705/00000475/033</t>
  </si>
  <si>
    <t>20190114/APO/000705/00000475/033</t>
  </si>
  <si>
    <t>9/14012019/4965376dee71451db63e8d2bffe9c1dd.jpg</t>
  </si>
  <si>
    <t>DELHI WITH OPEN WEAVE</t>
  </si>
  <si>
    <t>MYSTIC BROWN</t>
  </si>
  <si>
    <t xml:space="preserve">1. Ngo Duy Hung(11-03-2019 06:13:08)
OK AS IT IS
</t>
  </si>
  <si>
    <t>3/10032019/e32c60dcca9745429bd082b1fbfb18f1.jpg</t>
  </si>
  <si>
    <t>12 SAMPLE APPROVED- Code: 20190114/PAL/000705/00000475/012</t>
  </si>
  <si>
    <t>20190114/PAL/000705/00000475/012</t>
  </si>
  <si>
    <t>b/14012019/594d16a72a654be4aa4df4d1dddd060b.jpg</t>
  </si>
  <si>
    <t>ESTORIL LOUNGE CHAIR</t>
  </si>
  <si>
    <t>ROUND 6 MM</t>
  </si>
  <si>
    <t>SERVAL LIGHT BROWN &amp; ROYAL STONE GREEN</t>
  </si>
  <si>
    <t xml:space="preserve">3. Ngo Duy Hung(11-03-2019 06:42:20)
MAKE 2 CUSHION SET: ROYAL STONE GREEN &amp; SERVAL LIGHT BROWN
2. DAVE VAN DER LINDEN(05-03-2019 12:48:08)
WEAVING IS SLOPPY AND NOT NICE
THE FRAME SHOULD BE COVERED BY WICKER 100%
1. (15-01-2019 12:47:23)
ITEM BASED ON NEW JAMBI CHAIR BUT WITH CLOSED WEAVING SEAT + BACK
</t>
  </si>
  <si>
    <t>e/10032019/c1e17e507fe54287929af4b58187f667.jpg</t>
  </si>
  <si>
    <t>27 ISSUED- Code: 20190114/PAL/000705/00000475/027</t>
  </si>
  <si>
    <t>20190114/PAL/000705/00000475/027</t>
  </si>
  <si>
    <t>3/14012019/7824371e2867444ebf422cb462614fc8.jpg</t>
  </si>
  <si>
    <t>FIORANO DINING TABLE 190X100X78CM</t>
  </si>
  <si>
    <t>GREY WASH</t>
  </si>
  <si>
    <t xml:space="preserve">2. Ngo Duy Hung(11-03-2019 06:13:08)
USE TOP AS PHOTO
1. (15-01-2019 12:47:23)
AS MADE FOR 1075, 2 YEARS AGO, AT BONG HONG
LEGS ARE ALU, CONNECTION SLAT IS WOOD
TEAK ORDER AT JESSICA (TT)
USE 20X60MM PROFILE
</t>
  </si>
  <si>
    <t>0/05032019/280559416b704234bfcaba89eb40da8d.jpg</t>
  </si>
  <si>
    <t>JES-65-PHY</t>
  </si>
  <si>
    <t>14 SAMPLE APPROVED- Code: 20190114/PAL/000705/00000475/014</t>
  </si>
  <si>
    <t>20190114/PAL/000705/00000475/014</t>
  </si>
  <si>
    <t>2019-03-05</t>
  </si>
  <si>
    <t>DOUBLE HALFROUND 12MM</t>
  </si>
  <si>
    <t>MOSS GREEN</t>
  </si>
  <si>
    <t xml:space="preserve">1. Ngo Duy Hung(11-03-2019 05:08:16)
WICKER COLOR IS OK
MAKE CUSHION WITH PIPING COLOR SERVAL ANTHRACITE
</t>
  </si>
  <si>
    <t>a/08032019/86e141b307ee47f5b07b29437380c961.jpg</t>
  </si>
  <si>
    <t>38 ISSUED- Code: 20190207/PAL/000705/00000475/038</t>
  </si>
  <si>
    <t>20190207/PAL/000705/00000475/038</t>
  </si>
  <si>
    <t>2/17012019/bb58945ae9034951a2c39dbbaba4a8d4.jpg</t>
  </si>
  <si>
    <t>LANGON 3-SEAT LOUNGE BENCH 230CM</t>
  </si>
  <si>
    <t>SERVAL ANTHRACITE &amp; SERVAL LIGHT BROWN</t>
  </si>
  <si>
    <t xml:space="preserve">3. Ngo Duy Hung(11-03-2019 06:13:08)
BACK CUSHION SHOULD BE HIGHER 5CM, SEAT AND BACK CUSHION WITH PIPING
MAKE 2 CUSHION SETS IN SERVAL ANTHRACITE &amp; SERVAL LIGHT BROWN
2. DAVE VAN DER LINDEN(06-03-2019 16:26:19)
PLEASE INCLUDE PICTURES OF ITEM INCL CUSHION
1. (17-01-2019 15:40:49)
ITEM LIKE LANGON LOUNGE CORNER 1263, BUT ONLY 3-SEAT LOUNGE BENCH
SIDES INCLUDING SLATS AS 1263
MYSTIC BROWN AS COLOR 2017/2018
</t>
  </si>
  <si>
    <t>f/04032019/7113cec36d8246269790766be990c809.jpg</t>
  </si>
  <si>
    <t>230</t>
  </si>
  <si>
    <t>232.5</t>
  </si>
  <si>
    <t>102.5</t>
  </si>
  <si>
    <t>72.0</t>
  </si>
  <si>
    <t>10 ISSUED- Code: 20190114/ROS/000705/00000475/010</t>
  </si>
  <si>
    <t>20190114/ROS/000705/00000475/010</t>
  </si>
  <si>
    <t>f/14012019/9b6d95aaad954ba9b8b6955b9d5a3452.jpg</t>
  </si>
  <si>
    <t>LANGON COFFEE TABLE 90X90X41CM</t>
  </si>
  <si>
    <t>7/04032019/8b6ab9a92e724d85bbf486cd9ab216a5.jpg</t>
  </si>
  <si>
    <t>11 SAMPLE APPROVED- Code: 20190114/ROS/000705/00000475/011</t>
  </si>
  <si>
    <t>20190114/ROS/000705/00000475/011</t>
  </si>
  <si>
    <t>d/14012019/adca702828064ca5853247ba97180b95.jpg</t>
  </si>
  <si>
    <t>LEONARDO LOUNGE CORNER SET (705)</t>
  </si>
  <si>
    <t>ROUND 10 MM</t>
  </si>
  <si>
    <t xml:space="preserve">2. Ngo Duy Hung(11-03-2019 06:42:20)
CHANGE CUSHION TO SERVAL ANTHRACITE
ADD CONNECTOR
1. (15-01-2019 12:47:23)
USE SAMPLE 429/1262 AVAILABLE IN SHOWROOM, NO NEED TO MAKE
</t>
  </si>
  <si>
    <t>6/14022019/fbe422500eb0400b8ed61543ca2fdd3e.jpg</t>
  </si>
  <si>
    <t>20 SAMPLE APPROVED- Code: 20190114/SHR/000705/00000475/020</t>
  </si>
  <si>
    <t>20190114/SHR/000705/00000475/020</t>
  </si>
  <si>
    <t>5/17012019/3eb2eae78ac34d73b855490a641ca5a7.jpg</t>
  </si>
  <si>
    <t>LUZERN DINING CHAIR</t>
  </si>
  <si>
    <t xml:space="preserve">2. Ngo Duy Hung(11-03-2019 06:42:20)
PLEASE MAKE AS SAMPLE CHAIR ID 12053 ARTICLE
CHANGE TO ROPE COLOR OLIVE
OPEN WEAVE AS STOOL IN PHOTO
1. (17-01-2019 15:24:02)
AS MADE FOR 1263
LIKE BERN, BUT WITH ROUND WICKER ON SEAT
</t>
  </si>
  <si>
    <t>f/08032019/d8f52b506a2747ff9680dac75def3311.jpg</t>
  </si>
  <si>
    <t>26 SAMPLE APPROVED- Code: 20190114/TEC/000705/00000475/026</t>
  </si>
  <si>
    <t>20190114/TEC/000705/00000475/026</t>
  </si>
  <si>
    <t>9/17012019/065929f11ba04f11b6588552d752babd.jpg</t>
  </si>
  <si>
    <t>LUZERN DINING TABLE</t>
  </si>
  <si>
    <t xml:space="preserve">3. Ngo Duy Hung(11-03-2019 07:01:30)
TABLE MUST BE MORE STABLE, MAKE TABLE TOP IN D120CM
2. DAVE VAN DER LINDEN(06-03-2019 16:31:50)
THE LEGS SHOULD HAVE ROUNDED EDGE
PLEASE RE-DO
1. (17-01-2019 15:24:02)
LIKE 1263 SAMPLE, BUT END OF LEG IS ROUNDED
</t>
  </si>
  <si>
    <t>8/08032019/e7267e43297a4f41a7f82dd5707b5cd7.jpg</t>
  </si>
  <si>
    <t>31 ISSUED- Code: 20190114/TEC/000705/00000475/031</t>
  </si>
  <si>
    <t>20190114/TEC/000705/00000475/031</t>
  </si>
  <si>
    <t>4/16012019/309f7f3eb8c9472286f1ff7867582a1f.jpg</t>
  </si>
  <si>
    <t>MALIBU LOUNGE CORNER SET</t>
  </si>
  <si>
    <t xml:space="preserve">2. Ngo Duy Hung(11-03-2019 05:33:17)
SEATING OF LEFT AND RIGHT MUST BE IN 3 PARTS AS PHOTO
1. (16-01-2019 16:38:45)
ITEM LIKE LOS ANGELAS 1263, BUT SMALL ADJUSTMENTS NEEDED
SEAT CUSHION THICKNESS SHOULD BE 10CM
SEAT CUSHION SHOULD FALL INTO THE SEAT OF THE ITEM (2CM)
BACK PART SHOULD BE MADE OF ALU
</t>
  </si>
  <si>
    <t>2/08032019/cbfe8fe89a8f448686f7ab44b63bc2be.jpg</t>
  </si>
  <si>
    <t>9 ISSUED- Code: 20190114/PAL/000705/00000475/009</t>
  </si>
  <si>
    <t>20190114/PAL/000705/00000475/009</t>
  </si>
  <si>
    <t>6/28022019/044449731f104c8797a85584a92f53ad.jpg</t>
  </si>
  <si>
    <t>MALLORCA LOUNGE CORNER SET FIXED PROMO 705</t>
  </si>
  <si>
    <t xml:space="preserve">3. Ngo Duy Hung(11-03-2019 07:01:30)
REVISE TABLE SIZE: 100X82X71CM
CHANGE CUSHION COLOR TO STANDARD ANTHRACITE M1266 (1074)
2. (01-03-2019 11:41:31)
MAKE SET WITH STANDARD COLUMN TABLE F9OD
1. (28-02-2019 15:27:30)
MAKE AS F9UQ EXCEPT WITH STANDARD CORNER AND NOT ADJUSTABLE.
</t>
  </si>
  <si>
    <t>a/19032019/bda2b9c4fa7a47d2b6da296366b3a383.jpg</t>
  </si>
  <si>
    <t>90/90/90/82</t>
  </si>
  <si>
    <t>128/128/90/102</t>
  </si>
  <si>
    <t>100/100/100/72</t>
  </si>
  <si>
    <t>1/1/1/1 (packaging with paperwrapped)</t>
  </si>
  <si>
    <t>91/91/91/83</t>
  </si>
  <si>
    <t>129/129/91/103</t>
  </si>
  <si>
    <t>101/101/101/20</t>
  </si>
  <si>
    <t>39 ISSUED- Code: 20190207/BIG/000705/00000475/039</t>
  </si>
  <si>
    <t>20190207/BIG/000705/00000475/039</t>
  </si>
  <si>
    <t>9/14012019/fec1479349ea42f59f1d192145a539c7.jpg</t>
  </si>
  <si>
    <t>MONZA SIDE TABLE SET PROMO</t>
  </si>
  <si>
    <t xml:space="preserve">2. Ngo Duy Hung(11-03-2019 06:13:08)
MAKE SET OF 3: D51 X H51CM, D49.5 X H41CM, D39 X H47CM
MAKE TOP IN PURE COLOR AS TABLE IN PHOTO (TOP BENEATH), NO GRAINY
LEG STRUCTURE AS PHOTO
1. (15-01-2019 12:47:23)
TAKE SAMPLE SHOWROOM, NO NEED TO MAKE
</t>
  </si>
  <si>
    <t>5/22032019/dbe868f3af0e4cae8be9cff5add536af.jpg</t>
  </si>
  <si>
    <t>17 ISSUED- Code: 20190114/SHR/000705/00000475/017</t>
  </si>
  <si>
    <t>20190114/SHR/000705/00000475/017</t>
  </si>
  <si>
    <t>1/14012019/58255bb17a1e43aab6a13b997ab260c2.jpg</t>
  </si>
  <si>
    <t>MUGELLO DINING TABLE 230X100X78</t>
  </si>
  <si>
    <t xml:space="preserve">2. Ngo Duy Hung(11-03-2019 06:13:08)
OK AS IT IS
1. (18-01-2019 13:03:49)
LIKE BELTRA BUT HORIZONTAL SLATS (NO FRAMING TOP)
TEAK ORDER AT JESSICA (TT)
</t>
  </si>
  <si>
    <t>9/06032019/9b9b5e41d71b448a9e5df6f490ed43e2.jpg</t>
  </si>
  <si>
    <t>15 SAMPLE APPROVED- Code: 20190114/PAL/000705/00000475/015</t>
  </si>
  <si>
    <t>20190114/PAL/000705/00000475/015</t>
  </si>
  <si>
    <t>c/16012019/b73637946c9543d3b46992e9eb163d6d.jpg</t>
  </si>
  <si>
    <t xml:space="preserve">NARVIK LOUNGE SET (2X CHAIR  + 1XBENCH + 1X TABLE 110X60X40CM)</t>
  </si>
  <si>
    <t xml:space="preserve">2. Ngo Duy Hung(11-03-2019 07:01:29)
MAKE TABLE WITH CORNER R40CM
1. (17-01-2019 15:24:02)
AS OUR STANDARD BUT RECT TABLE
</t>
  </si>
  <si>
    <t>3/20032019/0cac1aa88c0f4a0494c7ebd442a46a0c.jpg</t>
  </si>
  <si>
    <t>28 ISSUED- Code: 20190114/TEC/000705/00000475/028</t>
  </si>
  <si>
    <t>20190114/TEC/000705/00000475/028</t>
  </si>
  <si>
    <t>4/14012019/2351fbdbb22040c0a4f5512568a5761a.jpg</t>
  </si>
  <si>
    <t>NASSAU DINING CHAIR</t>
  </si>
  <si>
    <t xml:space="preserve">3. Ngo Duy Hung(11-03-2019 06:21:05)
CHANGE WOOD TO LIGHT TEAK LOOK
CHANGE STRUCTURE TO STACKABLE VERSION, PACK 6 CHAIRS PER BOX. FOR NOW KEEP AS IT IS FOR MEETING 20-MAR
2. (29-01-2019 13:33:15)
ARMREST SHOULD BE "SUNKEN"IN TO TUBE, SEE PICTURE IN ATTACHMENT. 
ARMREST NEEDS TO BE AS ON DRAWING, PHOTO IS AN EXAMPLE OF OTHER CHAIR.
1. (15-01-2019 12:47:23)
LIKE BAHAMAS WITH 3MM THICKER FRAME AND WOODEN ARMREST + SEAT
</t>
  </si>
  <si>
    <t>a/06032019/5db59aea6e264d6982b5a885c694674c.jpg</t>
  </si>
  <si>
    <t>19 ISSUED- Code: 20190114/PAL/000705/00000475/019</t>
  </si>
  <si>
    <t>20190114/PAL/000705/00000475/019</t>
  </si>
  <si>
    <t>2019-03-18</t>
  </si>
  <si>
    <t>NESTING TABLE D57.5 X H40CM</t>
  </si>
  <si>
    <t>MATCHING COLOR TROYES</t>
  </si>
  <si>
    <t xml:space="preserve">1. Ngo Duy Hung(11-03-2019 08:09:56)
TABLE FOR TROYES LOUNGE SET, FRAME SHOULD MATCH COLOR OF FRAME TROYES LOUNGE SET
</t>
  </si>
  <si>
    <t>41 ISSUED- Code: 20190311/PAL/000705/00000475/041</t>
  </si>
  <si>
    <t>20190311/PAL/000705/00000475/041</t>
  </si>
  <si>
    <t>b/14012019/931b7432003447e08eb9d914c1cc09d2.jpg</t>
  </si>
  <si>
    <t>NEW HONOLULU SET (705)</t>
  </si>
  <si>
    <t xml:space="preserve">2. Ngo Duy Hung(11-03-2019 07:01:30)
SEAT CUSHION DOES NOT FIT THE CHAIR &amp; BENCH
MAKE LEG FRAME CORNER WITH R AS TABLE
1. (17-01-2019 15:40:49)
AS SAMPLE FOR 1263, BUT NEW WEAVING AS BAR CHAIR INDO
</t>
  </si>
  <si>
    <t>9/10032019/cd4cf81dc7be4a4094da69c8c976531f.jpg</t>
  </si>
  <si>
    <t>30 ISSUED- Code: 20190114/PAL/000705/00000475/030</t>
  </si>
  <si>
    <t>20190114/PAL/000705/00000475/030</t>
  </si>
  <si>
    <t>e/16012019/9b5fe33c40eb4b968e7897ba01950e20.jpg</t>
  </si>
  <si>
    <t>NOGARO DINING CHAIR</t>
  </si>
  <si>
    <t xml:space="preserve">2. Ngo Duy Hung(11-03-2019 04:44:45)
FRONT LEG FRAME CURVES FORWARDS 3CM TO PASS STABILITY TEST
MAKE 3 CUSHION COLOR: SERVAL LIGHT BROWN, ROYAL ANTHRACITE AND COLOR AS ATTACHED
1. (16-01-2019 16:38:45)
UPPER PART (SEAT + BACK) AS REIMS DINING
A FEETCAP NEEDS TO BE ADDED SUCH THAT ROPE WILL NOT TOUCH THE GROUND
COLOR IS TERRACOTTA COLOR AS WICKER ROPE FOR CLIENT 1263
FABRIC COLOR WILL ORDER AND ARRANGE WITH ILAN
</t>
  </si>
  <si>
    <t>c/19032019/cf6fce689df34d739f6e4b20dbc607ef.jpg</t>
  </si>
  <si>
    <t>1 (packaging with paperwrapped)</t>
  </si>
  <si>
    <t>1 ISSUED- Code: 20190114/BIG/000705/00000475/001</t>
  </si>
  <si>
    <t>20190114/BIG/000705/00000475/001</t>
  </si>
  <si>
    <t>1/14012019/1466d7acdb10433e946b2c9ff4db226d.jpg</t>
  </si>
  <si>
    <t>PALS LOUNGE BENCH</t>
  </si>
  <si>
    <t>MOSS GREEN PANTONE 2307</t>
  </si>
  <si>
    <t xml:space="preserve">2. Ngo Duy Hung(11-03-2019 06:42:20)
AS IT IS FOR BUYING TRIP. FRAME SHOULD BE SAME COLOR AS WICKER IN THE FUTURE
CHANGE CUSHION TO SERVAL ANTHRACITE
LEG OF CHAIR &amp; BENCH SHOULD BE SAME
1. (15-01-2019 12:47:23)
NEW WICKER COLOR
LEGS SHOULD BE MADE IN ALU
FABRIC, CHECKING WITH ILAN
CUSHION THICKNESS IS 13CM
</t>
  </si>
  <si>
    <t>d/22032019/c3cb74ec9a4c4528bb2079fbf9450873.jpg</t>
  </si>
  <si>
    <t>237.5</t>
  </si>
  <si>
    <t>112.5</t>
  </si>
  <si>
    <t>237</t>
  </si>
  <si>
    <t>54.5</t>
  </si>
  <si>
    <t>22 FINISHED- Code: 20190114/APO/000705/00000475/022</t>
  </si>
  <si>
    <t>20190114/APO/000705/00000475/022</t>
  </si>
  <si>
    <t>4/16012019/a1b8b8a428694ae2a6cea52a0631f2a1.jpg</t>
  </si>
  <si>
    <t>PALS LOUNGE CHAIR</t>
  </si>
  <si>
    <t xml:space="preserve">2. Ngo Duy Hung(11-03-2019 06:42:20)
AS IT IS FOR BUYING TRIP. FRAME SHOULD BE SAME COLOR AS WICKER IN THE FUTURE
CHANGE CUSHION TO SERVAL ANTHRACITE
1. (15-01-2019 12:47:23)
NEW WICKER COLOR
LEGS SHOULD BE MADE IN ALU
FABRIC, CHECKING WITH ILAN
CUSHION THICKNESS IS 13CM
</t>
  </si>
  <si>
    <t>6/22032019/ded96db22430495abe36df85f2e9c9c5.jpg</t>
  </si>
  <si>
    <t>109.5</t>
  </si>
  <si>
    <t>23 FINISHED- Code: 20190114/APO/000705/00000475/023</t>
  </si>
  <si>
    <t>20190114/APO/000705/00000475/023</t>
  </si>
  <si>
    <t>3/14012019/2513a014029e42a4baf10e2903ac5aca.jpg</t>
  </si>
  <si>
    <t>PORTOFINO DINING CHAIR</t>
  </si>
  <si>
    <t>MATCHING WICKER COLOR</t>
  </si>
  <si>
    <t>BURGUNDY RED ILAN W-2131-978</t>
  </si>
  <si>
    <t xml:space="preserve">2. Ngo Duy Hung(11-03-2019 05:11:40)
WEAVING AT ARMREST MUST BE IN LINE
SEATING FRAME POWDER COATED MATCHING COLOR OF WICKER
FEET CAP SHOULD BE MOVED OUTWARDS ENOUGH TO PASS STABILITY TEST
NO BACK CUSHION NEEDED
1. (17-01-2019 15:40:49)
COLOR IS TERRACOTTA COLOR AS WICKER ROPE FOR CLIENT 1263
FABRIC COLOR WILL CHECK WITH ILAN
WEAVING AS BAR CHAIR INDO, CHECK SAMPLE SHOWROOM
CUSHION THICKNESS IS 4CM
ALU FRAME FOR SEAT, STEEL LEGS
</t>
  </si>
  <si>
    <t>a/08032019/7b23985c5c7240c0a18acf4c9b60e429.jpg</t>
  </si>
  <si>
    <t>64.5</t>
  </si>
  <si>
    <t>6 ISSUED- Code: 20190114/APO/000705/00000475/006</t>
  </si>
  <si>
    <t>20190114/APO/000705/00000475/006</t>
  </si>
  <si>
    <t>PORTOFINO DINING CHAIR PANTONE 7409C</t>
  </si>
  <si>
    <t>PANTONE 7409 C</t>
  </si>
  <si>
    <t xml:space="preserve">1. Ngo Duy Hung(11-03-2019 05:21:58)
MAKE 1 MORE PORTOFINO DINING CHAIR IN PANTONE 7409 C
</t>
  </si>
  <si>
    <t>40 ISSUED- Code: 20190311/BIG/000705/00000475/040</t>
  </si>
  <si>
    <t>20190311/BIG/000705/00000475/040</t>
  </si>
  <si>
    <t>5/14012019/2c5eff9568244fd1af10300914c3ca1e.jpg</t>
  </si>
  <si>
    <t>PORTOFINO LOUNGE BENCH</t>
  </si>
  <si>
    <t xml:space="preserve">2. DAVE VAN DER LINDEN(11-03-2019 15:03:59)
MIDDLE SUPPORT BAR IN SIDE SHOULD BE REMOVED
WEAVING MUST BE IN LINE
FRAME COLOR SHOULD MATCH WITH WICKER
1. (17-01-2019 15:40:49)
COLOR IS TERRACOTTA COLOR AS WICKER ROPE FOR CLIENT 1263
FABRIC COLOR WILL CHECK WITH ILAN
WEAVING AS BAR CHAIR INDO, CHECK SAMPLE SHOWROOM
CUSHION THICKNESS IS 7CM
ALU FRAME FOR SEAT, STEEL LEGS
</t>
  </si>
  <si>
    <t>4/19032019/79df4dacd8c646d2a503bc25be38da22.jpg</t>
  </si>
  <si>
    <t>192.5</t>
  </si>
  <si>
    <t>5 ISSUED- Code: 20190114/APO/000705/00000475/005</t>
  </si>
  <si>
    <t>20190114/APO/000705/00000475/005</t>
  </si>
  <si>
    <t>d/14012019/d56ee268f2be4b088f5bb49894f7e6d0.jpg</t>
  </si>
  <si>
    <t>PORTOFINO LOUNGE CHAIR</t>
  </si>
  <si>
    <t xml:space="preserve">2. Ngo Duy Hung(11-03-2019 05:08:15)
REMOVE MIDDLE SUPPORT BAR AT ARMREST
WEAVING AT ARMREST MUST BE IN LINE
SEATING FRAME POWDER COATED MATCHING COLOR OF WICKER
1. (17-01-2019 15:40:49)
COLOR IS TERRACOTTA COLOR AS WICKER ROPE FOR CLIENT 1263
FABRIC COLOR WILL CHECK WITH ILAN
WEAVING AS BAR CHAIR INDO, CHECK SAMPLE SHOWROOM
CUSHION THICKNESS IS 7CM
ALU FRAME FOR SEAT, STEEL LEGS
</t>
  </si>
  <si>
    <t>6/07032019/dc3821a119a24653b64a38bd48f05889.jpg</t>
  </si>
  <si>
    <t>9.5</t>
  </si>
  <si>
    <t>4 ISSUED- Code: 20190114/APO/000705/00000475/004</t>
  </si>
  <si>
    <t>20190114/APO/000705/00000475/004</t>
  </si>
  <si>
    <t>a/14012019/b289e82d48244cf2a836dc2234091802.jpg</t>
  </si>
  <si>
    <t>PORTOFINO LOUNGE CHAIR HIGHBACK WITH HOCKER</t>
  </si>
  <si>
    <t xml:space="preserve">3. Ngo Duy Hung(11-03-2019 05:21:57)
PORTOFINO FOOT REST
- ZIPPER LINE SHOULD BE AT BOTTOM SIDE, 2CM FROM THE EDGE
- TIE STRINGS MUST BE AT BOTTOM SIDE
2. Ngo Duy Hung(11-03-2019 05:08:15)
PORTOFINO LOUNGE CHAIR HIGH BACK
- LOWER BACK WITH 7CM
- BACK SHOULD BE SKEWED MORE 5CM TO THE BACK
- WEAVING SHOULD BE IN LINE
- SEATING FRAME POWDER COATED MATCHING COLOR OF WICKER
- REMOVE MIDDLE SUPPORT BAR AT ARMREST
- BACK CUSHION FOAM MUST BE THIN BUT ADD MORE POLYFIBER INSTEAD SO THE CUSHION LOOKS PUFFY ENOUGH
1. (17-01-2019 15:40:48)
COLOR IS TERRACOTTA COLOR AS WICKER ROPE FOR CLIENT 1263
FABRIC COLOR WILL CHECK WITH ILAN
WEAVING AS BAR CHAIR INDO, CHECK SAMPLE SHOWROOM
CUSHION THICKNESS IS 7CM
ALU FRAME FOR SEAT, STEEL LEGS
</t>
  </si>
  <si>
    <t>d/20032019/4e24694670974460a700081374b32b97.jpg</t>
  </si>
  <si>
    <t>89/56</t>
  </si>
  <si>
    <t>68/59.5</t>
  </si>
  <si>
    <t>102/33</t>
  </si>
  <si>
    <t>10.3/4</t>
  </si>
  <si>
    <t>3 SAMPLE APPROVED- Code: 20190114/APO/000705/00000475/003</t>
  </si>
  <si>
    <t>20190114/APO/000705/00000475/003</t>
  </si>
  <si>
    <t>9/16012019/24dce42fff4c4ddc9ed86b92ef1c7006.jpg</t>
  </si>
  <si>
    <t>ROXAS LOUNGE SET</t>
  </si>
  <si>
    <t xml:space="preserve">1. (17-01-2019 15:24:02)
AS SAMPLE INDO, ONLY BENCH INCL MIDDLE LEG
</t>
  </si>
  <si>
    <t>3/20032019/211094f5ec6f403c897e1989a2528350.jpg</t>
  </si>
  <si>
    <t>81/81/...</t>
  </si>
  <si>
    <t>82/202/...</t>
  </si>
  <si>
    <t>12.5/29/...</t>
  </si>
  <si>
    <t>83/86/...</t>
  </si>
  <si>
    <t>85/205/...</t>
  </si>
  <si>
    <t>51/51/...</t>
  </si>
  <si>
    <t>24 ISSUED- Code: 20190114/APO/000705/00000475/024</t>
  </si>
  <si>
    <t>20190114/APO/000705/00000475/024</t>
  </si>
  <si>
    <t>a/16012019/21e5a3fe72a84a42be7204db6ba1dad2.jpg</t>
  </si>
  <si>
    <t>SAMAR LOUNGE SET (2X CHAIR + 1X BENCH)</t>
  </si>
  <si>
    <t xml:space="preserve">1. (16-01-2019 16:38:46)
AS SAMAR DINING CHAIR BUT LOUNGE VERSION
</t>
  </si>
  <si>
    <t>34 CREATED- Code: 20190114/XXX/000705/00000475/034</t>
  </si>
  <si>
    <t>20190114/XXX/000705/00000475/034</t>
  </si>
  <si>
    <t>a/14012019/fac0e2f3811c470ab5e4cc57240fd29d.jpg</t>
  </si>
  <si>
    <t>sUNBURY DINING TABLE 190X100X78</t>
  </si>
  <si>
    <t xml:space="preserve">2. Ngo Duy Hung(11-03-2019 06:13:08)
USE TOP AS PHOTO
1. DAVE VAN DER LINDEN(22-01-2019 17:19:51)
MAKE SUNBURY TABLE AS 783
TEAK ORDER AT JESSICA (TT)
</t>
  </si>
  <si>
    <t>a/05032019/b43ca1bc50b546bf9793c623f3e6c666.jpg</t>
  </si>
  <si>
    <t>16 SAMPLE APPROVED- Code: 20190114/PAL/000705/00000475/016</t>
  </si>
  <si>
    <t>20190114/PAL/000705/00000475/016</t>
  </si>
  <si>
    <t>4/29012019/d3384f3730cd4dd89e5b0ab2ff640d30.jpg</t>
  </si>
  <si>
    <t>TROYES STACKABLE DINING CHAIR</t>
  </si>
  <si>
    <t xml:space="preserve">3. Ngo Duy Hung(11-03-2019 08:09:56)
NEED TO PACK 4 CHAIRS PER BOX =&gt; SUGGEST MODIFY STACKING HOLES
2. DAVE VAN DER LINDEN(06-03-2019 16:30:02)
THE LINES IN THE BACK AT VERTICAL TUBE ARE SKEWED AND NOT NICE
PLEASE RE-DO
1. (29-01-2019 14:14:05)
LIKE REIMS STACKABLE BUT DIFFERENT WEAVING
WEAVING 3 LINES OF ROUND ROPE
</t>
  </si>
  <si>
    <t>b/20032019/46c50b527720431c877bdbb14eb595b1.jpg</t>
  </si>
  <si>
    <t>37 SAMPLE APPROVED- Code: 20190129/PAL/000705/00000475/037</t>
  </si>
  <si>
    <t>20190129/PAL/000705/00000475/037</t>
  </si>
  <si>
    <t>e/14012019/47698e4d3fe4433a9cf50062fd532745.jpg</t>
  </si>
  <si>
    <t>TROYES STACKING LOUNGE SET (2X CHAIR + 1X BENCH)</t>
  </si>
  <si>
    <t xml:space="preserve">2. DAVE VAN DER LINDEN(06-03-2019 16:30:02)
THE LINES IN THE BACK AT VERTICAL TUBE ARE SKEWED AND NOT NICE
PLEASE RE-DO
1. (17-01-2019 15:40:49)
LIKE REIMS STACKABLE BUT DIFFERENT WEAVING
WEAVING 3 LINES OF ROUND ROPE
</t>
  </si>
  <si>
    <t>0/06032019/5525e46c8abd4805bb0c34b79182bcbb.jpg</t>
  </si>
  <si>
    <t>29 SAMPLE APPROVED- Code: 20190114/PAL/000705/00000475/029</t>
  </si>
  <si>
    <t>20190114/PAL/000705/00000475/029</t>
  </si>
  <si>
    <t>7/14012019/b17c3e0fb5974bd0a74fe30917399d5b.jpg</t>
  </si>
  <si>
    <t>VALONGO LOUNGE CORNER SET PROMO</t>
  </si>
  <si>
    <t xml:space="preserve">2. Ngo Duy Hung(11-03-2019 07:01:29)
CHANGE TO TEXTILENE BLACK AT BACK INSTEAD OF WOOD, SIDE IS STILL WOOD.
DENT FRAME IS NOT ACCEPTED
1. (15-01-2019 12:47:23)
AS VALONGO, BUT BACK INCL TEXTILENE I/O WOOD
OR IF YOU HAVE OTHER OPTION TO MAKE CHEAPER, PLEASE ADVISE!
FOR EXAMPLE NO TEXTILENE BUT ALU BARS IN THE BACK
INNERSIDE OF ARMREST SHOULD BE WOOD
TEAK ORDER AT JESSICA (TT)
</t>
  </si>
  <si>
    <t>c/20032019/1e685f523bb24ecb85647715acd96173.jpg</t>
  </si>
  <si>
    <t>25 ISSUED- Code: 20190114/PAL/000705/00000475/025</t>
  </si>
  <si>
    <t>20190114/PAL/000705/00000475/025</t>
  </si>
  <si>
    <t>c/14012019/6a4f059108a34393926473848eea1a15.jpg</t>
  </si>
  <si>
    <t>YOSEMITE DINING BENCH 220CM</t>
  </si>
  <si>
    <t xml:space="preserve">2. Ngo Duy Hung(11-03-2019 05:33:17)
LEG FRAME IS NOT STRAIGHT
1. (15-01-2019 12:47:23)
TEAK PLEASE ARRANGE WITH JESSICA (TT)
</t>
  </si>
  <si>
    <t>8/05032019/94d5572debb54feb87ac7ae472f9ea10.jpg</t>
  </si>
  <si>
    <t>7 SAMPLE APPROVED- Code: 20190114/PAL/000705/00000475/007</t>
  </si>
  <si>
    <t>20190114/PAL/000705/00000475/007</t>
  </si>
  <si>
    <t>6/21012019/08737980e6dd40d6a154faffaf746af6.jpg</t>
  </si>
  <si>
    <t>2019-02-15</t>
  </si>
  <si>
    <t>NEW OYSTER 1071</t>
  </si>
  <si>
    <t xml:space="preserve">1. (21-01-2019 13:30:23)
+Seat height as it is
+Increase overall height back to result in overall height 32 inch
+Change height of armrest to have overall height 25inch (from floor)
+Make sure client squared cushion 18x18 inch will fit seat nicely
+ Hardware zinc color, footcap white to match with frame.
</t>
  </si>
  <si>
    <t>e/06032019/0e6116780767441e81fc3608cc6b850a.jpg</t>
  </si>
  <si>
    <t>SAN FRANCISCO</t>
  </si>
  <si>
    <t>15 ISSUED- Code: 20190121/APO/001071/00000477/015</t>
  </si>
  <si>
    <t>20190121/APO/001071/00000477/015</t>
  </si>
  <si>
    <t>e/21012019/8bf7bc9bb3ca41e7a8d50deb6753a396.jpg</t>
  </si>
  <si>
    <t>BERN DINING CHAIR 1071</t>
  </si>
  <si>
    <t xml:space="preserve">1. (21-01-2019 10:43:42)
+Replicate sample from last meeting but make sure to Increase front legs with 1/2 inch, rest of dimension remain unchanged.
-Change finishing to TEAK LOOK, same as for Delhi lounge chair 1071 with the flat 25mm charcoal wicker
+Ensure teak look warm like Girona on the left (check attached photo), no red
</t>
  </si>
  <si>
    <t>2/21022019/826c9f09eb31415d95dbbca5f1cad10f.jpg</t>
  </si>
  <si>
    <t>11 ISSUED- Code: 20190121/TEC/001071/00000477/011</t>
  </si>
  <si>
    <t>20190121/TEC/001071/00000477/011</t>
  </si>
  <si>
    <t>9/22012019/669d70053089428da80d9e17bdf02883.jpg</t>
  </si>
  <si>
    <t>CAMPINAS LOUNGE CORNER RIGHT ARM 1071</t>
  </si>
  <si>
    <t>9/24022019/aa8160afec454e3b9812fcf4bd3c9d60.jpg</t>
  </si>
  <si>
    <t>21 ISSUED- Code: 20190122/PAL/001071/00000477/021</t>
  </si>
  <si>
    <t>20190122/PAL/001071/00000477/021</t>
  </si>
  <si>
    <t>2/22012019/b26e96f9e3334da780aaf8865d44cbe2.jpg</t>
  </si>
  <si>
    <t>CAMPINAS LOUNGE CORNER TABLE 1071</t>
  </si>
  <si>
    <t>DHR7MM</t>
  </si>
  <si>
    <t xml:space="preserve">1. (22-01-2019 05:53:37)
+ Wooden top on tables should be removable to serve as storage
+No need for gas pumps, structure to be simple (just being able to remove the top)
</t>
  </si>
  <si>
    <t>f/24022019/2038ed31088242089c79d4de4ba54e1f.jpg</t>
  </si>
  <si>
    <t>19 ISSUED- Code: 20190122/PAL/001071/00000477/019</t>
  </si>
  <si>
    <t>20190122/PAL/001071/00000477/019</t>
  </si>
  <si>
    <t>d/22012019/d5b032c0257b468fa9d690000efdba6e.jpg</t>
  </si>
  <si>
    <t>CAMPINAS LOUNGE LEFT ARM 1071</t>
  </si>
  <si>
    <t>e/24022019/aa402ff0526c4362bc3f8b837e6f17fa.jpg</t>
  </si>
  <si>
    <t>20 ISSUED- Code: 20190122/PAL/001071/00000477/020</t>
  </si>
  <si>
    <t>20190122/PAL/001071/00000477/020</t>
  </si>
  <si>
    <t>c/22012019/5d6c6b6634324b9985ddac54ca41fef2.jpg</t>
  </si>
  <si>
    <t>CERVO CORNER PIECE 1071</t>
  </si>
  <si>
    <t>REDUCE THICKNESS BACK CUSHIONS LIKE YORKSHIRE BUT KEEP DESIGN AS PER CERVO</t>
  </si>
  <si>
    <t xml:space="preserve">1. (22-01-2019 06:38:46)
- Make sure items fit nicely to each other and include connectors 
- Back cushion thickness like Yorkshire but design as Cervo SPOGA
-Cushion dimension to become 28,5x28,5 inch
-CORNER PIECE TO INCLUDE 2 BACK CUSHIONS (so it can be used as outer arm &amp; corner piece)
</t>
  </si>
  <si>
    <t>1/16032019/71bfbb7e916b46758564cdd4266a975f.jpg</t>
  </si>
  <si>
    <t>21 FINISHED- Code: 20190122/APO/001071/00000477/021</t>
  </si>
  <si>
    <t>20190122/APO/001071/00000477/021</t>
  </si>
  <si>
    <t>a/22012019/989445fb38bf4207a74a43290e27f4fd.jpg</t>
  </si>
  <si>
    <t>CERVO HOCKER 1071</t>
  </si>
  <si>
    <t xml:space="preserve">1. (22-01-2019 08:58:51)
-MIDDLE PIECE/HOCKER/CORNERPIECE to be made with cushion dimension 28,5x28,5 inch
 -Make sure items fit nicely to each other and include connectors
</t>
  </si>
  <si>
    <t>d/16032019/ba886ebd20154a4f8a040e13cf30ae47.jpg</t>
  </si>
  <si>
    <t>24 FINISHED- Code: 20190122/APO/001071/00000477/024</t>
  </si>
  <si>
    <t>20190122/APO/001071/00000477/024</t>
  </si>
  <si>
    <t>3/22012019/bf07dd1a7a32438ca11db62c3bd9fe92.jpg</t>
  </si>
  <si>
    <t>CERVO LOUNGE CHAIR 1071</t>
  </si>
  <si>
    <t>Thickness as yorkshire but design to keep as Cervo (spoga)</t>
  </si>
  <si>
    <t xml:space="preserve">1. (22-01-2019 09:12:29)
- Chair dimensions to remain as is.
- Back cushion thickness like Yorkshire but design as Cervo SPOGA
</t>
  </si>
  <si>
    <t>9/16032019/bd74c6eadc574de0a54c888aa023076b.jpg</t>
  </si>
  <si>
    <t>25 FINISHED- Code: 20190122/APO/001071/00000477/025</t>
  </si>
  <si>
    <t>20190122/APO/001071/00000477/025</t>
  </si>
  <si>
    <t>4/22012019/f464f45ca4e2492ba27fcf0fc29eacb1.jpg</t>
  </si>
  <si>
    <t>CERVO MIDDLE PIECE 1071</t>
  </si>
  <si>
    <t>thickness like yorkshire but design as per cervo (spoga)</t>
  </si>
  <si>
    <t xml:space="preserve">1. (22-01-2019 06:59:36)
- MIDDLE PIECE/HOCKER/CORNER PIECE to be made with cushion dimension 28,5x28,5 INCH
  - Make sure items fit nicely to each other and include connectors 
  - Back cushion thickness like Yorkshire but design as Cervo SPOGA
</t>
  </si>
  <si>
    <t>f/16032019/b3f4e58454474b8194a6cf28fda7029c.jpg</t>
  </si>
  <si>
    <t>20.2</t>
  </si>
  <si>
    <t>22 FINISHED- Code: 20190122/APO/001071/00000477/022</t>
  </si>
  <si>
    <t>20190122/APO/001071/00000477/022</t>
  </si>
  <si>
    <t>9/21012019/59a7657c5382498992e18485a991458b.jpg</t>
  </si>
  <si>
    <t>DANAO LOUNGE CHAIR 1071</t>
  </si>
  <si>
    <t>ANTHRACITE PP</t>
  </si>
  <si>
    <t>STANDRAD</t>
  </si>
  <si>
    <t>STANDARD ROYAL ANTHRACITE</t>
  </si>
  <si>
    <t xml:space="preserve">1. (18-01-2019 11:01:53)
+ Factory to provide weaving suggestion which is different from current sample
+ Braided seat
Frame dimensions as per real sample.
</t>
  </si>
  <si>
    <t>b/04032019/88b2650eb87a408e9289cd7f620bc168.jpg</t>
  </si>
  <si>
    <t>2 ISSUED- Code: 20190118/APO/001071/00000477/002</t>
  </si>
  <si>
    <t>20190118/APO/001071/00000477/002</t>
  </si>
  <si>
    <t>d/21012019/528f07846fc24625a638c67bc839577e.jpg</t>
  </si>
  <si>
    <t>DELHI 1071 NEW BASKET WEAVE PATTERN</t>
  </si>
  <si>
    <t xml:space="preserve">1. (21-01-2019 09:42:30)
+ As is, no change
</t>
  </si>
  <si>
    <t>3/24022019/54f9b49bcd7249c58b76f8e03601a189.jpg</t>
  </si>
  <si>
    <t>10 ISSUED- Code: 20190121/PAL/001071/00000477/010</t>
  </si>
  <si>
    <t>20190121/PAL/001071/00000477/010</t>
  </si>
  <si>
    <t>f/21012019/6e20009eccfb4f89a115a1be39f2e672.jpg</t>
  </si>
  <si>
    <t>DELHI DINING ARMCHAIR CHUNKY LEGS (1071)</t>
  </si>
  <si>
    <t>SEE REMARK, 2 OPTION FOR COLORS</t>
  </si>
  <si>
    <t>SEE REMARK, HAVE 2 OPTION FOR COLOR</t>
  </si>
  <si>
    <t xml:space="preserve">1. (21-01-2019 11:48:04)
+ 2 OPTIONS FOR COLORS BELOW:
   - Options 1: Flat wicker rope grey matte finish, acacia teak look (2pcs) - contact MYVAN for flat wicker in this new color
   - Option 2: Flat wicker rattan grey, acacia light teak look (2pcs)
+ Back legs for both options above: Increase length with 1/2 inch
+ Seat weave (for 2 options): Changing as the photo remark, back seat as is
--&gt; Means for seat, we will have different weaving pattern then for the back panel
</t>
  </si>
  <si>
    <t>b/24022019/db3f42d9368b4d15876f240c36cc3299.jpg</t>
  </si>
  <si>
    <t>12 ISSUED- Code: 20190121/PAL/001071/00000477/012</t>
  </si>
  <si>
    <t>20190121/PAL/001071/00000477/012</t>
  </si>
  <si>
    <t>8/07022019/f2e9734da90b40c681c54ba5562d8279.jpg</t>
  </si>
  <si>
    <t>2019-02-18</t>
  </si>
  <si>
    <t>DELHI DINING ARMLESS CHAIR CHUNKY LEGS (1071)</t>
  </si>
  <si>
    <t xml:space="preserve">1. PEPIJN VAN DEN BRINK(07-02-2019 10:32:02)
Follow same instructions as for  Delhi armchair chunky legs but remove the arms to create an armless version.
Apply WICKER LOOM WHITE weave on seat &amp; back. see attached picture as example
Chair to be sampled fully assembled (non KD!)
</t>
  </si>
  <si>
    <t>2/24022019/b9c91d7cf53c47bfb674b5dbf0b4bd13.jpg</t>
  </si>
  <si>
    <t>27 ISSUED- Code: 20190207/PAL/001071/00000477/027</t>
  </si>
  <si>
    <t>20190207/PAL/001071/00000477/027</t>
  </si>
  <si>
    <t>9/22012019/788f3f4be9904381b3baea8a7a75d68c.jpg</t>
  </si>
  <si>
    <t>DELHI LOUNGE CHAIR 1071-LOOM BLACK</t>
  </si>
  <si>
    <t xml:space="preserve">1. (21-01-2019 09:28:32)
Sample again as for last meeting but now make sure that both samples will have correct teak look color (sample from client meeting had wood finishing which was too red)
</t>
  </si>
  <si>
    <t>a/24022019/4783d507dea644bb8804dcbc1b218249.jpg</t>
  </si>
  <si>
    <t>9 ISSUED- Code: 20190121/PAL/001071/00000477/009</t>
  </si>
  <si>
    <t>20190121/PAL/001071/00000477/009</t>
  </si>
  <si>
    <t>2/21012019/d1008271ef4a4f0faef57a0d67087ceb.jpg</t>
  </si>
  <si>
    <t>DIGOS DINING CHAIR 1071</t>
  </si>
  <si>
    <t>APO wicker rope (inhouse production)</t>
  </si>
  <si>
    <t xml:space="preserve">1. (21-01-2019 13:16:39)
+ Remove X base on the base
+Apron fully assembled, legs KD
+Change legs to become like Malabon dining chair 1071 (slightly thinner legs to save costs)
+Make sure that seat can fit the USHAPED 18 inch cushion from client (consult Nicole/Thuy for real sample of the cushion)
+Wicker rope to follow type which APO is producing inhouse (2nd attachment), color to follow real sample sent from showroom (black)
</t>
  </si>
  <si>
    <t>8/16032019/5263af2030f2463c8e7e97a95d0168d8.jpg</t>
  </si>
  <si>
    <t>14 FINISHED- Code: 20190121/APO/001071/00000477/014</t>
  </si>
  <si>
    <t>20190121/APO/001071/00000477/014</t>
  </si>
  <si>
    <t>c/22012019/4a7e86180edb41b69cbe16841e411831.jpg</t>
  </si>
  <si>
    <t>LENCO LOUNGE BENCH 1071</t>
  </si>
  <si>
    <t xml:space="preserve">1. (22-01-2019 05:19:01)
-Wicker is light bamboo
-Fabric to be royal ribbon ecru for now, need to develop fabric with serval texture later
 -Include attached render for the idea, follow same for bench but reduce overall seat width with 4cm. Means overall width of bench becomes -1cm compared to our standard.
-NOTE ADDITIONAL REMARKS ON 23-01 (ATTACHED)
-Wrapping at the seat with 4 lines instead of 3 as discussed on 12-02
</t>
  </si>
  <si>
    <t>f/26022019/31a5803d6eca49a8b04e7dace6eba371.jpg</t>
  </si>
  <si>
    <t>166</t>
  </si>
  <si>
    <t>169</t>
  </si>
  <si>
    <t>17 ISSUED- Code: 20190122/APO/001071/00000477/017</t>
  </si>
  <si>
    <t>20190122/APO/001071/00000477/017</t>
  </si>
  <si>
    <t>f/22012019/a029e1beddf84d1a9382d9f6b69d3c2a.jpg</t>
  </si>
  <si>
    <t>LENCO LOUNGE CHAIR 1071</t>
  </si>
  <si>
    <t xml:space="preserve">1. (22-01-2019 04:13:07)
-Wicker is light bamboo
-Fabric to be royal ribbon ecru for now, need to develop fabric with serval texture later
-Include attached render, APO to weld frame based on remarks in the render for approval
-For the bench, follow instructions as discussed by Skype between Pepijn &amp; Duc
-NOTE ADDITIONAL REMARKS ON 23-01 (ATTACHED)
-Wrapping at the seat with 4 lines instead of 3 as discussed on 12-02
</t>
  </si>
  <si>
    <t>9/26022019/4f5732eca72447da96b3c6f6d88a467f.jpg</t>
  </si>
  <si>
    <t>16 ISSUED- Code: 20190122/APO/001071/00000477/016</t>
  </si>
  <si>
    <t>20190122/APO/001071/00000477/016</t>
  </si>
  <si>
    <t>9/22012019/ae37ee088ed349d6903e7a08613d053d.jpg</t>
  </si>
  <si>
    <t>LENCO TABLE 1071</t>
  </si>
  <si>
    <t xml:space="preserve">1. (22-01-2019 05:25:26)
- Lenco table top to have overall dimensions 80x60cm
-Suggestion to use thinner tubes underneath glass plate to secure the glass plate better and let it flush with the outer table top frame.
-Glass plate to fit nicely inside the frame (no big gaps), suction caps to be used.
-Wrapping at the seat with 4 lines instead of 3 as discussed on 12-02
-Overall height of table incl feedcap to become 33cm (instead of 35 like 1282).
</t>
  </si>
  <si>
    <t>7/26022019/b36c1838f1c447f18a5c965ee421704f.jpg</t>
  </si>
  <si>
    <t>18 ISSUED- Code: 20190122/APO/001071/00000477/018</t>
  </si>
  <si>
    <t>20190122/APO/001071/00000477/018</t>
  </si>
  <si>
    <t>1/22012019/c43542c7bc654ade826a35e0138039a9.jpg</t>
  </si>
  <si>
    <t>MALABON DINING CHAIR 1071</t>
  </si>
  <si>
    <t>WICKER ROPE (INHOUSE PRODUCTION APO)</t>
  </si>
  <si>
    <t>COPY COLOR OF REAL SAMPLE</t>
  </si>
  <si>
    <t xml:space="preserve">1. PEPIJN VAN DEN BRINK(22-01-2019 12:54:42)
-NOTE THAT REFERENCE IMAGE INCLUDES 1 TUBE LESS COMPARED TO REAL SAMPLE, PLEASE FOLLOW THE SKETCH
-MAKE SURE SEAT FITS CLIENT OWN CUSHION USHAPED 18X18 INCH
-WOODEN LEGS TO BE SLIGHTLY THINNER
-APRON TO BE FIXED TO THE SEATFRAME, LEGS KD.
-APO OWN WICKER ROPE TO USE TO CUT COSTS
</t>
  </si>
  <si>
    <t>3/16032019/751eae21db654fe98dad80d2c2b73b1b.jpg</t>
  </si>
  <si>
    <t>28 FINISHED- Code: 20190122/APO/001071/00000477/028</t>
  </si>
  <si>
    <t>20190122/APO/001071/00000477/028</t>
  </si>
  <si>
    <t>3/31012019/476ee75eb3e34669b7c3f52ae51a795c.jpg</t>
  </si>
  <si>
    <t>MELTON BENCH 1071</t>
  </si>
  <si>
    <t>MATTE WHITE</t>
  </si>
  <si>
    <t>SHOULD BE MADE OUT OF 1 PIECE</t>
  </si>
  <si>
    <t>TO BE INFORMED LATER</t>
  </si>
  <si>
    <t xml:space="preserve">1. (22-01-2019 09:33:20)
- Back panel to have 4 CM width slats with 3 cm in between them (SAME AS FOR CHAIR)
- Seat cushion to be +1 inch thickness compared to made sample (BECOMES 10CM THICKNESS) - SEAT CUSHION MADE OUT OF 1 PIECE
- Back cushion to be higher (overall height to become 16 inch). BACK CUSHIONS TO BECOME 10CM THICKNESS
UPDATES 31-01
-SEAT CUSHION OUT OF 1 PIECE
-ARMS &amp; LEGS SHOULD HAVE WIDTH 3 INCH
-OVERALL WIDTH BENCH TO BECOME 64''
-SEE ATTACHMENT
</t>
  </si>
  <si>
    <t>d/12032019/2f198bf59e3943809f920ac366be4d17.jpg</t>
  </si>
  <si>
    <t>26 FINISHED- Code: 20190122/PAL/001071/00000477/026</t>
  </si>
  <si>
    <t>20190122/PAL/001071/00000477/026</t>
  </si>
  <si>
    <t>5/22012019/e573aa43a1ee403c971b4c33fad5b5e4.jpg</t>
  </si>
  <si>
    <t>MELTON CHAIR 1071</t>
  </si>
  <si>
    <t>DESIGN AS LAST MADE SAMPLE BUT INCREASE HEIGHT TO BECOME 41CM, THICKNESS 10CM</t>
  </si>
  <si>
    <t>DESIGN AS LAST SAMPLE BUT TOTAL THICKNESS TO BECOME 10CM</t>
  </si>
  <si>
    <t xml:space="preserve">1. (22-01-2019 09:23:30)
- Back panel to have 4cm width slats with 3 CM  in between them - SEE ATTACHMENT
- Seat cushion to be +1 inch thickness compared to made sample (BECOMES 10CM)
- Back cushion to be higher (overall height to become 16 INCH) - THICKNESS BECOMES 10CM. SAME DESIGN AS PREVIOUS MADE SAMPLE BY PAL
-ADDITIONAL UPDATE 31-01: ARM &amp; LEG WIDTH TO INCREASE TO 3 INCH (SEE 2ND ATTACHMENT!)
</t>
  </si>
  <si>
    <t>4/12032019/d199600f22a94869aac4c5daf7831130.jpg</t>
  </si>
  <si>
    <t>25 FINISHED- Code: 20190122/PAL/001071/00000477/025</t>
  </si>
  <si>
    <t>20190122/PAL/001071/00000477/025</t>
  </si>
  <si>
    <t>0/22012019/8d3275c7f4554ab88a3f0e03dfd572d9.jpg</t>
  </si>
  <si>
    <t>MELTON TABLE 1071 - 110X70X37CM</t>
  </si>
  <si>
    <t xml:space="preserve">1. (22-01-2019 09:38:03)
-TABLE UPDATED TO DIMENSIONS 110X70X38
-ALU LEGS TO HAVE WIDTH 3 INCH
-SEE ATTACHMENT
</t>
  </si>
  <si>
    <t>e/11032019/c0a1d1e3ce7d41bc8d70796f08f60b1e.jpg</t>
  </si>
  <si>
    <t>27 ISSUED- Code: 20190122/PAL/001071/00000477/027</t>
  </si>
  <si>
    <t>20190122/PAL/001071/00000477/027</t>
  </si>
  <si>
    <t>d/18012019/d3c0f3cc83e944bc9f8a0c24ca5a29f1.jpg</t>
  </si>
  <si>
    <t>PANAY ROUND TABLE 1071</t>
  </si>
  <si>
    <t xml:space="preserve">1. (18-01-2019 11:19:22)
+ Panay table dia. 90xH76cm. No umbrella hole.
+ Keep apron outside but laminated like done for the bottom table in attached file
+ Thickness of top in center to be 12mm to cut costs
+ Laminate rim outside, slat thick in center 1/2 INCH
-Target price for table to be 65$, expected order volume 1200pcs.
-Legs to remain thickness as real sample in showroom, possibility to laminate?
</t>
  </si>
  <si>
    <t>e/21022019/3894745c04424fb4bd2832bc8dbf50d8.jpg</t>
  </si>
  <si>
    <t>4 ISSUED- Code: 20190118/TEC/001071/00000477/004</t>
  </si>
  <si>
    <t>20190118/TEC/001071/00000477/004</t>
  </si>
  <si>
    <t>e/18012019/dc055ccb483d442e8e66d767e529a9b2.jpg</t>
  </si>
  <si>
    <t>PARA BENCH 1071</t>
  </si>
  <si>
    <t xml:space="preserve">1. (18-01-2019 11:06:33)
+ Front legs to make 1/2 inch longer compared to available sample in showroom
- hide all hardware, overall dimension as is
-Bench to pass US testing
</t>
  </si>
  <si>
    <t>7/21022019/b291934afe074e49b3400adc3efe5215.jpg</t>
  </si>
  <si>
    <t>3 ISSUED- Code: 20190118/TEC/001071/00000477/003</t>
  </si>
  <si>
    <t>20190118/TEC/001071/00000477/003</t>
  </si>
  <si>
    <t>b/21012019/98d9e75d2c0a4df8b89e4ed3c8d73b47.jpg</t>
  </si>
  <si>
    <t>SIRMIONE LOUNGE CHAIR 1071</t>
  </si>
  <si>
    <t xml:space="preserve">1. (21-01-2019 07:13:27)
+ Sirmione lounge chair as made for client before
</t>
  </si>
  <si>
    <t>8/15022019/5ba22e45a91849ebbf67f2bb61c577bf.jpg</t>
  </si>
  <si>
    <t>7 ISSUED- Code: 20190121/ROS/001071/00000477/007</t>
  </si>
  <si>
    <t>20190121/ROS/001071/00000477/007</t>
  </si>
  <si>
    <t>f/22012019/65114d0242ae4f4cac21f8fd65da96c2.jpg</t>
  </si>
  <si>
    <t>VETIS BENCH 1071</t>
  </si>
  <si>
    <t xml:space="preserve">1. (22-01-2019 09:56:24)
+ Polystone seat also add 1INCH on each side so that length of bench is same as for table (overall length increases with 2inch!)
+ Width of underframe to remain unchanged compared to previously made sample, only polystone top to increase in length 1 inch on both sides
</t>
  </si>
  <si>
    <t>28 ISSUED- Code: 20190122/PAL/001071/00000477/028</t>
  </si>
  <si>
    <t>20190122/PAL/001071/00000477/028</t>
  </si>
  <si>
    <t>2/22012019/da2bc1821d5a431498866f6cb61d13e3.jpg</t>
  </si>
  <si>
    <t>VETIS TABLE 1071</t>
  </si>
  <si>
    <t xml:space="preserve">1. (22-01-2019 09:46:11)
+ Table top longer 1 INCH each side, add umbrella hole same Anzio, convert bottom stretcher to accommodate umbrella pole
+ Keep overall length of underframe at 156cm (like current sample). The +1 inch on both ends should allow to sit at end of the table better.
</t>
  </si>
  <si>
    <t>28 ISSUED- Code: 20190122/APH/001071/00000477/028</t>
  </si>
  <si>
    <t>20190122/APH/001071/00000477/028</t>
  </si>
  <si>
    <t>5/21012019/bbcf4e33e80f4f499feb3d910eeb6af9.jpg</t>
  </si>
  <si>
    <t>2019-02-21</t>
  </si>
  <si>
    <t>DELHI LOUNGE ARMCHAIR 1084</t>
  </si>
  <si>
    <t xml:space="preserve">1. (24-01-2019 08:20:41)
+ SAMPLE AFTER MEETING WAS RETURNED TO PAL. MAKE 1PC MORE &amp; TEST IN-HOUSE BEFORE CONNOR REVIEWS. 
+ MAKE SURE PROPER STRONG JOINTS BETWEEN SEAT PART, ARMREST AND BACKREST. - CONSULT TU FOR BEST SOLUTION
+ WILL AIRFREIGHT 1PC, 1PC RETAIN.
</t>
  </si>
  <si>
    <t>b/15032019/44ea1e980e5b4c03a4031208bc93d1e5.jpg</t>
  </si>
  <si>
    <t>6 ISSUED- Code: 20190121/TEC/001084/00000478/006</t>
  </si>
  <si>
    <t>20190121/TEC/001084/00000478/006</t>
  </si>
  <si>
    <t>d/21012019/3898c8ccf9704ad39733da8eedb15810.jpg</t>
  </si>
  <si>
    <t>DELHI WOODEN LOUNGE CHAIR 1084</t>
  </si>
  <si>
    <t xml:space="preserve">1. (24-01-2019 08:20:41)
+ MAKE SURE PROPER STRONG JOINTS BETWEEN SEAT PART AND BACKREST. - CONSULT TU FOR BEST SOLUTION
TEST IN-HOUSE BEFORE CONNOR REVIEWS.
+ 1PC FOR AIRFREIGHT, 1PC FOR RETAIN.
</t>
  </si>
  <si>
    <t>4/15032019/7d60221dc3f94efa8d5dcb515e02ca0b.jpg</t>
  </si>
  <si>
    <t>7 ISSUED- Code: 20190121/TEC/001084/00000478/007</t>
  </si>
  <si>
    <t>20190121/TEC/001084/00000478/007</t>
  </si>
  <si>
    <t>1/21012019/bec05e45456b49c6a5c9447d230f76d4.jpg</t>
  </si>
  <si>
    <t>LAGUNA PROMO LOUNGE SET (1BOX) 1084</t>
  </si>
  <si>
    <t xml:space="preserve">1. (24-01-2019 09:04:03)
+ TEST IN-HOUSE BEFORE CONNOR REVIEWS.
+ 1PC FOR AIR, 1PC FOR RETAIN.
</t>
  </si>
  <si>
    <t>5/15032019/3b093c4f0d0b484c8eb6dba784a3419a.jpg</t>
  </si>
  <si>
    <t>12 ISSUED- Code: 20190121/PAL/001084/00000478/012</t>
  </si>
  <si>
    <t>20190121/PAL/001084/00000478/012</t>
  </si>
  <si>
    <t>d/21012019/0388ec21ecf74c3ab5f6c04d6438e362.jpg</t>
  </si>
  <si>
    <t>MIRA CEMENTPLATE TABLE 1084 DIA. 40 X H55 CM</t>
  </si>
  <si>
    <t xml:space="preserve">1. (24-01-2019 09:04:03)
+ 1PC FOR AIRFREIGHT, 1PC FOR RETAIN.
+ TEST IN-HOUSE BEFORE CONNOR REVIEWS.
</t>
  </si>
  <si>
    <t>d/14032019/9c8f193cf1d3410fbc2e92b9a3e7aa6e.jpg</t>
  </si>
  <si>
    <t>9 FINISHED- Code: 20190121/APH/001084/00000478/009</t>
  </si>
  <si>
    <t>20190121/APH/001084/00000478/009</t>
  </si>
  <si>
    <t>8/21012019/fe00eb0bf58743b5ab8c4f68ffed1ba0.jpg</t>
  </si>
  <si>
    <t>MIRA CEMENTPLATE TABLE 1084 DIA. 60 X H45CM</t>
  </si>
  <si>
    <t xml:space="preserve">1. (24-01-2019 09:04:03)
+ 1PC FOR AIRFREIGHT, 1PC FOR RETAIN. 
+ TEST IN-HOUSE BEFORE CONNOR REVIEWS.
</t>
  </si>
  <si>
    <t>f/14032019/9ca41f744a4e40eeafb688d3ef30dce1.jpg</t>
  </si>
  <si>
    <t>8 FINISHED- Code: 20190121/APH/001084/00000478/008</t>
  </si>
  <si>
    <t>20190121/APH/001084/00000478/008</t>
  </si>
  <si>
    <t>4/21012019/56773af8dad24b87a60490287185f8d4.jpg</t>
  </si>
  <si>
    <t>OREGON BAR TABLE 1084 L80 x W110 x H100 CM</t>
  </si>
  <si>
    <t xml:space="preserve">1. PEPIJN VAN DEN BRINK(23-01-2019 15:16:47)
+ Based on idea of small side table, make bartable with dimensions 110x80x100. Test in-house before Connor reviews.
+ Follow TEC quoted price for this table (attached).
+ 1pc for air, 1pc for retain.
</t>
  </si>
  <si>
    <t>6/15032019/4c3fcec0820d4b569fc00c601be79abd.jpg</t>
  </si>
  <si>
    <t>14 ISSUED- Code: 20190121/TEC/001084/00000478/014</t>
  </si>
  <si>
    <t>20190121/TEC/001084/00000478/014</t>
  </si>
  <si>
    <t>2/21012019/140e606205fd44679fdd3328cded9e8f.jpg</t>
  </si>
  <si>
    <t>OREGON LOUNGE SET 1084</t>
  </si>
  <si>
    <t xml:space="preserve">1. (21-01-2019 12:37:29)
+ SAMPLE AFTER MEETING WAS RETURNED TO PAL. MAKE 1 MORE SET AS IS, TEST IN-HOUSE BEFORE CONNOR REVIEWS.
+ 1 SET FOR AIR, 1 SET FOR RETAIN.
</t>
  </si>
  <si>
    <t>e/15032019/8e6bf2e9bee24365b7bbd6ee37465680.jpg</t>
  </si>
  <si>
    <t>15 ISSUED- Code: 20190121/PAL/001084/00000478/015</t>
  </si>
  <si>
    <t>20190121/PAL/001084/00000478/015</t>
  </si>
  <si>
    <t>1/21012019/da1740a1d901440c93837b1e3880c1f0.jpg</t>
  </si>
  <si>
    <t>OREGON SIDE TABLE 1084 L69 x W29 x H49.5 CM</t>
  </si>
  <si>
    <t xml:space="preserve">1. (24-01-2019 08:47:59)
+ TEST IN-HOUSE BEFORE CONNOR REVIEWS.
+ 1PC FOR AIR, 1PC FOR RETAIN.
</t>
  </si>
  <si>
    <t>1/15032019/1812cb123ab84543895d901b99918ffa.jpg</t>
  </si>
  <si>
    <t>13 ISSUED- Code: 20190121/TEC/001084/00000478/013</t>
  </si>
  <si>
    <t>20190121/TEC/001084/00000478/013</t>
  </si>
  <si>
    <t>6/23012019/6ec039e3afcc49b89c98ff701af70ce0.jpg</t>
  </si>
  <si>
    <t>OTOBE LOUNGE CHAIR 100X98X77</t>
  </si>
  <si>
    <t>10MM ROUND</t>
  </si>
  <si>
    <t xml:space="preserve">1. PEPIJN VAN DEN BRINK(23-01-2019 15:20:21)
+Change 3s bench to a single lounge chair.
+ Test in-house before Connor reviews. 1pc for air, 1pc for retain.
</t>
  </si>
  <si>
    <t>9/15032019/77db779dfd904efa8d3871ada6b3f7a6.jpg</t>
  </si>
  <si>
    <t>16 FINISHED- Code: 20190123/APO/001084/00000478/016</t>
  </si>
  <si>
    <t>20190123/APO/001084/00000478/016</t>
  </si>
  <si>
    <t>0/21012019/dc84affa239e437d9bb01340c7629a35.jpg</t>
  </si>
  <si>
    <t>SORENTO STACKING CHAIR 1084</t>
  </si>
  <si>
    <t xml:space="preserve">1. (21-01-2019 10:09:17)
+ SAMPLE AFTER MEETING WAS RETURNED TO PAL. MAKE 1PC MORE AS IS &amp; TEST IN-HOUSE BEFORE CONNOR REVIEWS. 
+ WILL AIRFREIGHT 1PC, 1PC RETAIN.
</t>
  </si>
  <si>
    <t>7/15032019/64ee59b53a67430a9868f8fd90ac7249.jpg</t>
  </si>
  <si>
    <t>2 ISSUED- Code: 20190121/PAL/001084/00000478/002</t>
  </si>
  <si>
    <t>20190121/PAL/001084/00000478/002</t>
  </si>
  <si>
    <t>f/21012019/0059b29b13f64019912bc607de17789b.jpg</t>
  </si>
  <si>
    <t xml:space="preserve">1. (21-01-2019 10:02:34)
+ SAMPLE AFTER MEETING WAS RETURNED TO PAL. MAKE 1PC MORE AS IS &amp; TEST IN-HOUSE BEFORE CONNOR REVIEWS. 
+ WILL AIRFREIGHT 1PC, 1PC RETAIN.
</t>
  </si>
  <si>
    <t>6/15032019/7c3b4cfee5ae43aa89b0924e3b5ecd88.jpg</t>
  </si>
  <si>
    <t>1 ISSUED- Code: 20190121/PAL/001084/00000478/001</t>
  </si>
  <si>
    <t>20190121/PAL/001084/00000478/001</t>
  </si>
  <si>
    <t>c/21012019/d45c36f200ae464d8a1547ba0a2b5b17.jpg</t>
  </si>
  <si>
    <t>2019-02-26</t>
  </si>
  <si>
    <t>TOMA LOUNGE CHAIR 1084 (NO BACK CUSHION)</t>
  </si>
  <si>
    <t>TWIST WICKER APO MADE</t>
  </si>
  <si>
    <t xml:space="preserve">1. (24-01-2019 08:34:34)
+ NO BACK CUSHION.
+ LEGS TO INCREASE WITH 6CM SO OVERALL SEAT HEIGHT EXCL CUSHION BECOMES +6CM.
SEAT CUSHION THICKNESS TO BE 8CM
 APPLY BRAIDED SEAT FRAME.
+ WEAVING PATTERN AS CURRENT SHOWROOM SAMPLE BUT USING 3 LINES ONLY INSTEAD OF 4.
+COLOR OF ROPE TO FOLLOW ATTACHMENT
+ TEST IN-HOUSE BEFORE CONNOR REVIES. 1PC FOR AIR, 1PC FOR RETAIN.
</t>
  </si>
  <si>
    <t>9/01032019/1a16fa8848384612be14fe023b1c9935.jpg</t>
  </si>
  <si>
    <t>11 ISSUED- Code: 20190121/APO/001084/00000478/011</t>
  </si>
  <si>
    <t>20190121/APO/001084/00000478/011</t>
  </si>
  <si>
    <t>3/21012019/e154880147384450ae5d9440db85eb81.jpg</t>
  </si>
  <si>
    <t>TUSCANY BARSTOOL 1084</t>
  </si>
  <si>
    <t xml:space="preserve">1. (21-01-2019 10:56:46)
+ SAMPLE AFTER MEETING WAS RETURNED TO TEC. MAKE 1PC MORE AS IS &amp; TEST IN-HOUSE BEFORE CONNOR REVIEWS. 
+ WILL AIRFREIGHT 1PC, 1PC RETAIN.
</t>
  </si>
  <si>
    <t>5 ISSUED- Code: 20190121/TEC/001084/00000478/005</t>
  </si>
  <si>
    <t>20190121/TEC/001084/00000478/005</t>
  </si>
  <si>
    <t>2/21012019/6058a192eb0f4257935fa58aaef6b45c.jpg</t>
  </si>
  <si>
    <t>WATES DINING BENCH 1084</t>
  </si>
  <si>
    <t xml:space="preserve">1. (21-01-2019 10:51:05)
+ TEST IN-HOUSE BEFORE CONNOR REVIEWS. 
+ WILL AIRFREIGHT 1PC, 1PC RETAIN.
</t>
  </si>
  <si>
    <t>a/19022019/f6e239c6ab354095b367993bbbb42752.jpg</t>
  </si>
  <si>
    <t>4 SAMPLE APPROVED- Code: 20190121/APO/001084/00000478/004</t>
  </si>
  <si>
    <t>20190121/APO/001084/00000478/004</t>
  </si>
  <si>
    <t>d/21012019/6f9096f8f24643a597226454b92dcf4f.jpg</t>
  </si>
  <si>
    <t>WATES DINING CHAIR 1084</t>
  </si>
  <si>
    <t xml:space="preserve">1. (21-01-2019 10:15:24)
+ SAMPLE AFTER MEETING WAS RETURNED TO APO. MAKE 1PC MORE AS IS &amp; TEST IN-HOUSE BEFORE CONNOR REVIEWS. 
+ WILL AIRFREIGHT 1PC, 1PC RETAIN.
</t>
  </si>
  <si>
    <t>c/19022019/0d14c24208f14471b6dca517d12642f5.jpg</t>
  </si>
  <si>
    <t>3 SAMPLE APPROVED- Code: 20190121/APO/001084/00000478/003</t>
  </si>
  <si>
    <t>20190121/APO/001084/00000478/003</t>
  </si>
  <si>
    <t>1/22012019/14af3d6a7f6847558e65ab54c9a87f76.jpg</t>
  </si>
  <si>
    <t>2019-02-16</t>
  </si>
  <si>
    <t>BISTRO CHAIR 1075</t>
  </si>
  <si>
    <t>ROSE GOLD</t>
  </si>
  <si>
    <t xml:space="preserve">1. (22-01-2019 06:11:14)
+ PURPOSE OF SAMPLES: QUALITY TEST (1PC), TRANSIT TEST (2PCS), AIRFREIGHT (1PC) &amp; RETAIN (1PC).
+ FINISHING SAMPLES AFTER POWDER COAT COLOR IS APPROVED ONLY.
</t>
  </si>
  <si>
    <t>TESTING</t>
  </si>
  <si>
    <t>PI: 42243VN</t>
  </si>
  <si>
    <t>2 ISSUED- Code: 20190122/SHR/001075/00000479/002</t>
  </si>
  <si>
    <t>20190122/SHR/001075/00000479/002</t>
  </si>
  <si>
    <t>BISTRO STEEL SWATCH</t>
  </si>
  <si>
    <t xml:space="preserve">1. (22-01-2019 06:11:15)
DIMENSION: 30.5 CM LONG
</t>
  </si>
  <si>
    <t>6 ISSUED- Code: 20190122/AKI/001075/00000479/006</t>
  </si>
  <si>
    <t>20190122/AKI/001075/00000479/006</t>
  </si>
  <si>
    <t>e/22012019/caa6291cb388457fbb28e135385e188b.jpg</t>
  </si>
  <si>
    <t>BISTRO TABLE 1075</t>
  </si>
  <si>
    <t xml:space="preserve">1. (22-01-2019 06:11:14)
+ PURPOSE OF SAMPLE: QUALITY TEST (1PC), TRANSIT TEST (1PC), AIFREIGHT (1PC) &amp; RETAIN (1PC).
+ FINISHING SAMPLES AFTER POWDWER COAT COLOR IS APPROVED ONLY.
</t>
  </si>
  <si>
    <t>1 ISSUED- Code: 20190122/AKI/001075/00000479/001</t>
  </si>
  <si>
    <t>20190122/AKI/001075/00000479/001</t>
  </si>
  <si>
    <t>a/23012019/1b642118aa87463c95a1e1d8c52d3944.jpg</t>
  </si>
  <si>
    <t>PARLA SIDE TABLE 1075 L45 X W45 X H47 CM (BLUE PANTONE 2905C)</t>
  </si>
  <si>
    <t>BLUE PANTONE 2905C</t>
  </si>
  <si>
    <t>BLUE MATCHING WICKER</t>
  </si>
  <si>
    <t xml:space="preserve">1. (23-01-2019 06:55:51)
- OVERALL DIMENSION: 45x45X47 CM
- SAMPLE PURPOSE: SEND TO CLIENT
</t>
  </si>
  <si>
    <t>7/20022019/b51ee281031a49bfb120eabbd0131cd6.jpg</t>
  </si>
  <si>
    <t>11 SAMPLE APPROVED- Code: 20190123/PAL/001075/00000479/011</t>
  </si>
  <si>
    <t>20190123/PAL/001075/00000479/011</t>
  </si>
  <si>
    <t>9/22012019/0bf4136918544b90b229862fe57c366d.jpg</t>
  </si>
  <si>
    <t>PARLA SIDE TABLE 1075 L45 X W45 X H47CM (PINK COLOR)</t>
  </si>
  <si>
    <t>PINK 1200</t>
  </si>
  <si>
    <t xml:space="preserve">1. (22-01-2019 06:11:14)
PURPOSE OF SAMPLES: QUALITY TEST (1PC), AIRFREIGHT (1PC), RETAIN (1PC).
</t>
  </si>
  <si>
    <t>0/20022019/a87fbcfb914b49f49ce0dac6a6586e6b.jpg</t>
  </si>
  <si>
    <t>3 SAMPLE APPROVED- Code: 20190122/PAL/001075/00000479/003</t>
  </si>
  <si>
    <t>20190122/PAL/001075/00000479/003</t>
  </si>
  <si>
    <t>7/23012019/7341daa4dec34c02a3f1d4d26d4d0f4e.jpg</t>
  </si>
  <si>
    <t>PARLA STACKABLE LOUNGE CHAIR 1075 (BLUE COLOR)</t>
  </si>
  <si>
    <t xml:space="preserve">1. (23-01-2019 07:07:51)
SAMPLE PURPOSE: SEND TO CLIENT.
</t>
  </si>
  <si>
    <t>e/20022019/07e2664c2bdf449080b9c8772ef47057.jpg</t>
  </si>
  <si>
    <t>12 SAMPLE APPROVED- Code: 20190123/PAL/001075/00000479/012</t>
  </si>
  <si>
    <t>20190123/PAL/001075/00000479/012</t>
  </si>
  <si>
    <t>5/22012019/6b12f89688c0483c963b70d050d3bd7f.jpg</t>
  </si>
  <si>
    <t>PARLA STACKABLE LOUNGE CHAIR 1075 (PINK COLOR)</t>
  </si>
  <si>
    <t xml:space="preserve">1. (22-01-2019 06:11:14)
+ PURPOSE OF SAMPLES: QUALITY TEST (1PC), AIRFREIGHT (1PC) &amp; RETAIN (1PC).
+ ONCE REVISE SEAT FRAME ANGLE TO STACK 30PCS / DOLLY, PLS SEND OLD &amp; NEW SAMPLE TO AVT ONCE DONE FOR CLIENT REVIEW AGAIN.
</t>
  </si>
  <si>
    <t>c/20022019/49dbc1edf0364b0ab0f3fa497b27204b.jpg</t>
  </si>
  <si>
    <t>4 SAMPLE APPROVED- Code: 20190122/APH/001075/00000479/004</t>
  </si>
  <si>
    <t>20190122/APH/001075/00000479/004</t>
  </si>
  <si>
    <t xml:space="preserve">SWATCH FOR  PARLA - PINK (WICKER COMBINES WITH STEEL)</t>
  </si>
  <si>
    <t>PINK MATCH WICKER PINK</t>
  </si>
  <si>
    <t xml:space="preserve">1. (25-01-2019 04:58:21)
DIMENSION: 30.5 X 30.5 CM
</t>
  </si>
  <si>
    <t>7 ISSUED- Code: 20190122/PAL/001075/00000479/007</t>
  </si>
  <si>
    <t>20190122/PAL/001075/00000479/007</t>
  </si>
  <si>
    <t>SWATCH FOR PARLA - BLUE (STEEL COMBINES WITH WICKER)</t>
  </si>
  <si>
    <t xml:space="preserve">1. (22-01-2019 06:11:15)
DIMENSION: 30.5 X 30.5 CM
</t>
  </si>
  <si>
    <t>9 ISSUED- Code: 20190122/PAL/001075/00000479/009</t>
  </si>
  <si>
    <t>20190122/PAL/001075/00000479/009</t>
  </si>
  <si>
    <t>c/28012019/dce8764022bd4302af3da4b8730320d2.jpg</t>
  </si>
  <si>
    <t xml:space="preserve">1. Vo Thi My Dieu(28-01-2019 06:58:22)
Metal base: matte black
Check stability
Check fordable option for balcony???
</t>
  </si>
  <si>
    <t>0/04032019/d70398160e294c5b90679f0f8febe7dc.jpg</t>
  </si>
  <si>
    <t>15 ISSUED- Code: 20190128/ROS/000984/00000480/015</t>
  </si>
  <si>
    <t>20190128/ROS/000984/00000480/015</t>
  </si>
  <si>
    <t>5/28012019/a8f8f3178aa74db2806a7535538c66dc.jpg</t>
  </si>
  <si>
    <t xml:space="preserve">1. Vo Thi My Dieu(28-01-2019 06:58:21)
table:90x90x H 70 cm
Move out table legs 
Thickness of legs: keep 6x6cm
Seat bench: H 45 cm with cut leg 3cm (included cushion)
For table top: thickness of the slat at side: 6 cm
</t>
  </si>
  <si>
    <t>d/28022019/e41e250ef1f6421d8963d822203506e5.jpg</t>
  </si>
  <si>
    <t>80/80/80/90</t>
  </si>
  <si>
    <t>80/170/170/90</t>
  </si>
  <si>
    <t>69.5/69.5/69.5/70</t>
  </si>
  <si>
    <t>1/1/1/1</t>
  </si>
  <si>
    <t>3 ISSUED- Code: 20190128/ROS/000984/00000480/003</t>
  </si>
  <si>
    <t>20190128/ROS/000984/00000480/003</t>
  </si>
  <si>
    <t>2/28012019/71673c728096439fb2934e2416d07f85.jpg</t>
  </si>
  <si>
    <t xml:space="preserve">DINING TABLE POLYSTONE  TOP</t>
  </si>
  <si>
    <t>POLYSTONE TOP</t>
  </si>
  <si>
    <t xml:space="preserve">1. Vo Thi My Dieu(28-01-2019 06:58:22)
Rob will check and adjust this table different with table of 705
</t>
  </si>
  <si>
    <t>6/07032019/0cce91c8032a497eaed5068237e69e1e.jpg</t>
  </si>
  <si>
    <t>14 ISSUED- Code: 20190128/APH/000984/00000480/014</t>
  </si>
  <si>
    <t>20190128/APH/000984/00000480/014</t>
  </si>
  <si>
    <t>d/28012019/7945a66d04dc4a2f88fa7f24fe0ed17a.jpg</t>
  </si>
  <si>
    <t xml:space="preserve">1. Vo Thi My Dieu(28-01-2019 06:58:22)
wooden top as it is and remove beam
Rob will check and adjust this table different with table of 705
</t>
  </si>
  <si>
    <t>2/07032019/59486f177842446cad2d590598c9f63d.jpg</t>
  </si>
  <si>
    <t>243</t>
  </si>
  <si>
    <t>13 FINISHED- Code: 20190128/DAN/000984/00000480/013</t>
  </si>
  <si>
    <t>20190128/DAN/000984/00000480/013</t>
  </si>
  <si>
    <t>c/28012019/5fc70675b7454e72bc8dbb5832b9823b.jpg</t>
  </si>
  <si>
    <t>NATURAL TAPUE</t>
  </si>
  <si>
    <t xml:space="preserve">1. Vo Thi My Dieu(28-01-2019 06:58:21)
legs: to alight with table
Legs: move inside 8mm
Cushion: with piping &amp; softer
</t>
  </si>
  <si>
    <t>b/28022019/f710aa1362f04bc9ae92cd26d440f163.jpg</t>
  </si>
  <si>
    <t>6 ISSUED- Code: 20190128/ROS/000984/00000480/006</t>
  </si>
  <si>
    <t>20190128/ROS/000984/00000480/006</t>
  </si>
  <si>
    <t>9/28012019/e6317fd5eb634caf86bb7d1108fc9b58.jpg</t>
  </si>
  <si>
    <t>FAUTEUIL - ROTAN</t>
  </si>
  <si>
    <t>LIGHT BAMBOO SAME AS LENCO</t>
  </si>
  <si>
    <t xml:space="preserve">1. Vo Thi My Dieu(28-01-2019 06:58:21)
Tube color: light bamboo as Lenco
Wicker color: light bamboo as Lenco
</t>
  </si>
  <si>
    <t>9/08032019/0c2fac1fa43f44b7a84d971dff058df7.jpg</t>
  </si>
  <si>
    <t>11 ISSUED- Code: 20190128/BIG/000984/00000480/011</t>
  </si>
  <si>
    <t>20190128/BIG/000984/00000480/011</t>
  </si>
  <si>
    <t>4/28012019/7867893ed33b4a40a2f5fc11a23ac3f5.jpg</t>
  </si>
  <si>
    <t>LORETTO LOUNGE CHAIR</t>
  </si>
  <si>
    <t xml:space="preserve">1. Vo Thi My Dieu(28-01-2019 06:58:21)
Change to wicker rope in light bamboo
Stackable chair and rendering first 
Close weaving way and weaving side armrest part
Add armrest 
Cushion color: stone grey
</t>
  </si>
  <si>
    <t>d/12032019/bb14a30804da4fc2ac1f3034f82c10b8.jpg</t>
  </si>
  <si>
    <t>10 FINISHED- Code: 20190128/PAL/000984/00000480/010</t>
  </si>
  <si>
    <t>20190128/PAL/000984/00000480/010</t>
  </si>
  <si>
    <t>8/28012019/52df016c20f74864bbddf5044dbe1bd5.jpg</t>
  </si>
  <si>
    <t xml:space="preserve">ROYAL DARK GREY  240</t>
  </si>
  <si>
    <t xml:space="preserve">1. Vo Thi My Dieu(28-01-2019 06:58:22)
Metal frame: matte black
Corner of armrest &amp; back rest: straight
Seat height: lower 2 cm to 44 cm i/o 46cm as sample ( cut leg 2cm)
Height of arm rest: 65 cm (gap between slat from 4.5cm to 6.5cm)
Hidden hardware 
Fabric: 240gsm i/o 180gr as sample
</t>
  </si>
  <si>
    <t>7/10032019/4d3bbf5fc72d4165873cd7f8f73c3df9.jpg</t>
  </si>
  <si>
    <t>12 ISSUED- Code: 20190128/TEC/000984/00000480/012</t>
  </si>
  <si>
    <t>20190128/TEC/000984/00000480/012</t>
  </si>
  <si>
    <t>5/28012019/f32902522311485c81880d6deebb028a.jpg</t>
  </si>
  <si>
    <t>NEW ROTAN SOFA 1</t>
  </si>
  <si>
    <t xml:space="preserve">1. Vo Thi My Dieu(28-01-2019 06:58:21)
Color : change tube color to light bamboo as Lenco
Improve the construction of the back rest &amp; seat for more comfortable
</t>
  </si>
  <si>
    <t>o/09032019/a13a0ef74f9545e6ae38f665dac10d25.jpeg</t>
  </si>
  <si>
    <t>7 ISSUED- Code: 20190128/APO/000984/00000480/007</t>
  </si>
  <si>
    <t>20190128/APO/000984/00000480/007</t>
  </si>
  <si>
    <t>4/28012019/30eb6c970b7049c1b73acb4fbdf6e53a.jpg</t>
  </si>
  <si>
    <t>NEW ROTAN SOFA 2</t>
  </si>
  <si>
    <t xml:space="preserve">1. Vo Thi My Dieu(28-01-2019 06:58:21)
Tube of the bench: light bamboo as Lenco
Frame: color should be match with tube color 
Remove the vertical supporting bar at the front and back
Side bar move in the middle as picture
-&gt; 2 options: 
tube &amp; frame in black
Tube &amp; frame in light bamboo
</t>
  </si>
  <si>
    <t>4/12032019/c8e007495ec343b08066273001f9de26.jpg</t>
  </si>
  <si>
    <t>8 ISSUED- Code: 20190128/APO/000984/00000480/008</t>
  </si>
  <si>
    <t>20190128/APO/000984/00000480/008</t>
  </si>
  <si>
    <t>a/28012019/267d93c6546e4ec99eaeb61492e72b23.jpg</t>
  </si>
  <si>
    <t>TBC</t>
  </si>
  <si>
    <t xml:space="preserve">1. Vo Thi My Dieu(28-01-2019 06:58:21)
Change the wicker color on table rim &amp; base. IG will send swatch of color wicker and tube
Base Dia. 85 cm i/o 92cm as sample
</t>
  </si>
  <si>
    <t>4 ISSUED- Code: 20190128/PAL/000984/00000480/004</t>
  </si>
  <si>
    <t>20190128/PAL/000984/00000480/004</t>
  </si>
  <si>
    <t>6/28012019/92c2826fa30b432788a98eadd65cda22.jpg</t>
  </si>
  <si>
    <t>ROTAN ROUND TABLE WOOD TOP</t>
  </si>
  <si>
    <t>3/06032019/599672b9bde5474b91fb66a2770fc8cf.jpg</t>
  </si>
  <si>
    <t>5 ISSUED- Code: 20190128/PAL/000984/00000480/005</t>
  </si>
  <si>
    <t>20190128/PAL/000984/00000480/005</t>
  </si>
  <si>
    <t>4/28012019/67e292d944fb49ae93d5a4572d069109.jpg</t>
  </si>
  <si>
    <t xml:space="preserve">1. Vo Thi My Dieu(28-01-2019 06:58:21)
Darker Wicker should match with frame
</t>
  </si>
  <si>
    <t>8/11032019/dfb3b67bb5d94051a6af5723e627193a.jpg</t>
  </si>
  <si>
    <t>9 ISSUED- Code: 20190128/PAL/000984/00000480/009</t>
  </si>
  <si>
    <t>20190128/PAL/000984/00000480/009</t>
  </si>
  <si>
    <t>2/15022019/511d2700b333433e8f72c15b286b4396.jpg</t>
  </si>
  <si>
    <t>TENERIFE LOUNGE CORNER 2.0</t>
  </si>
  <si>
    <t>b/10032019/6ec9e10e133f443bb754e9ed1a99aafd.jpg</t>
  </si>
  <si>
    <t>18 ISSUED- Code: 20190215/PAL/000984/00000480/018</t>
  </si>
  <si>
    <t>20190215/PAL/000984/00000480/018</t>
  </si>
  <si>
    <t>6/28012019/1d294a073ad64336a9ff75e089397ec6.jpg</t>
  </si>
  <si>
    <t xml:space="preserve">1. Vo Thi My Dieu(28-01-2019 06:58:21)
Legs: move inside 1 cm from the wooden part &amp; turn the direction (same revised 1 leg at the meeting) 
Arm rest: as revised at the meeting ( remove middle slat of armrest)
Improve the connection of the wood at the arm rest
Add back cushion (pillow) as original picture from inquiry
</t>
  </si>
  <si>
    <t>6/28022019/b995923770104cc192bfe32deedcb679.jpg</t>
  </si>
  <si>
    <t>2 ISSUED- Code: 20190128/ROS/000984/00000480/002</t>
  </si>
  <si>
    <t>20190128/ROS/000984/00000480/002</t>
  </si>
  <si>
    <t>15 CREATED- Code: 20190301/XXX/000784/00000481/015</t>
  </si>
  <si>
    <t>20190301/XXX/000784/00000481/015</t>
  </si>
  <si>
    <t>2/28012019/bfb17653f505445bae6ad5784ab65eeb.jpg</t>
  </si>
  <si>
    <t>DELHI ARMLESS LOUNGE CHAIR</t>
  </si>
  <si>
    <t xml:space="preserve">1. Vo Thi My Dieu(28-01-2019 08:41:53)
KD version 
Flat wicker 
Color of wicker: blended anthracite
Double weaving for back rest 
Full weaving  style
</t>
  </si>
  <si>
    <t>5/10032019/38acbb4787e64cccbb6c96902f31a4ac.jpg</t>
  </si>
  <si>
    <t>7 ISSUED- Code: 20190128/PAL/000784/00000481/007</t>
  </si>
  <si>
    <t>20190128/PAL/000784/00000481/007</t>
  </si>
  <si>
    <t>1/01032019/73a97529738d4391be850bbd512385ae.jpg</t>
  </si>
  <si>
    <t>DELHI PROMO</t>
  </si>
  <si>
    <t xml:space="preserve">1. Reinhard Jolie(01-03-2019 10:57:26)
KD VERSION
SINGLE WEAVE WICKER
</t>
  </si>
  <si>
    <t>1/05032019/82d481c397e748ce9568365d98a3857c.jpg</t>
  </si>
  <si>
    <t>59.0</t>
  </si>
  <si>
    <t>80.0</t>
  </si>
  <si>
    <t>16 ISSUED- Code: 20190301/ROS/000784/00000481/016</t>
  </si>
  <si>
    <t>20190301/ROS/000784/00000481/016</t>
  </si>
  <si>
    <t>b/04022019/175c5b532c7a4a8787c5d5ffd48c35a7.jpg</t>
  </si>
  <si>
    <t xml:space="preserve">1. Vo Thi My Dieu(28-01-2019 08:41:53)
Legs move to underneath (4 cm from the top edge)
Gaps on side apron
</t>
  </si>
  <si>
    <t>f/07032019/47c5fcd9ca3847ae80aafc4c8776c83e.jpg</t>
  </si>
  <si>
    <t>10 FINISHED- Code: 20190128/DAN/000784/00000481/010</t>
  </si>
  <si>
    <t>20190128/DAN/000784/00000481/010</t>
  </si>
  <si>
    <t>4/01032019/522c41bd7ef3418fbb35fb9030365e21.jpg</t>
  </si>
  <si>
    <t xml:space="preserve">FAUTEUIL - ROTAN  2</t>
  </si>
  <si>
    <t xml:space="preserve">1. Vo Thi My Dieu(01-03-2019 10:08:57)
Tube color: light bamboo as Lenco
Wicker color: light bamboo as Lenco
Weaving way same as Lenco chair
</t>
  </si>
  <si>
    <t>b/08032019/aff3299285db43709f15f28530adf30d.jpg</t>
  </si>
  <si>
    <t>14 ISSUED- Code: 20190301/BIG/000784/00000481/014</t>
  </si>
  <si>
    <t>20190301/BIG/000784/00000481/014</t>
  </si>
  <si>
    <t>f/28012019/0d51f7f496aa4ad7aa2560ef9c957d68.jpg</t>
  </si>
  <si>
    <t xml:space="preserve">1. Vo Thi My Dieu(28-01-2019 08:41:53)
Add 1 supporting bar underneath
</t>
  </si>
  <si>
    <t>f/05032019/19c8ee910641470595a8492a893a7939.jpg</t>
  </si>
  <si>
    <t>8 ISSUED- Code: 20190128/TEC/000784/00000481/008</t>
  </si>
  <si>
    <t>20190128/TEC/000784/00000481/008</t>
  </si>
  <si>
    <t>e/28012019/2766c87ac63145589af1a0bcde588b6b.jpg</t>
  </si>
  <si>
    <t xml:space="preserve">1. Vo Thi My Dieu(28-01-2019 08:41:53)
Reduce the gap between seat slat to 1,5 cm (add 1 more slat &amp; adjust the size of slat &amp; gap)
Back rest : add 1 slat, gap - 1,5 cm
Change the frame to U shape
Color of metal frame: matte black
More slanting seat in front
Keep back of backward as sample
</t>
  </si>
  <si>
    <t>e/04032019/d4076b3268a64bbd9775c7753f09f752.jpg</t>
  </si>
  <si>
    <t>9 ISSUED- Code: 20190128/TEC/000784/00000481/009</t>
  </si>
  <si>
    <t>20190128/TEC/000784/00000481/009</t>
  </si>
  <si>
    <t>a/04022019/1180885f497544059ba54a60cad57b9e.jpg</t>
  </si>
  <si>
    <t xml:space="preserve">1. Vo Thi My Dieu(28-01-2019 08:41:53)
Table gap btw slat 1.6cm and remove 1 slat
Color of metal frame: TBC
Arm rest: move back 17 cm from front slat
Cushion: cut out to hide joining of the beam
</t>
  </si>
  <si>
    <t>f/11032019/97558d1a300149af8e96d65148e4e763.jpg</t>
  </si>
  <si>
    <t>1 ISSUED- Code: 20190128/TEC/000784/00000481/001</t>
  </si>
  <si>
    <t>20190128/TEC/000784/00000481/001</t>
  </si>
  <si>
    <t>b/01032019/c79ceb4cc4fa47308a1150765fa53eca.jpg</t>
  </si>
  <si>
    <t>NEW BENCH</t>
  </si>
  <si>
    <t xml:space="preserve">1. Vo Thi My Dieu(01-03-2019 10:08:57)
Check the stability
Improve the connection btw seat,  back rest &amp; base frame
Reduce the gap btw the seat &amp; the arm rest
</t>
  </si>
  <si>
    <t>a/08032019/4b7096641cb4426fa8bfc0eda9677b51.jpg</t>
  </si>
  <si>
    <t>13 ISSUED- Code: 20190301/DAN/000784/00000481/013</t>
  </si>
  <si>
    <t>20190301/DAN/000784/00000481/013</t>
  </si>
  <si>
    <t>3/28012019/d096b3c952324aae8a181575c41e53aa.jpg</t>
  </si>
  <si>
    <t>NEW DINING CHAIR 2</t>
  </si>
  <si>
    <t xml:space="preserve">1. Vo Thi My Dieu(28-01-2019 08:41:53)
1 KD pc/ ctn
4 stacking pcs/ ctn
With seat cushion
Prepare current Touros for ST
</t>
  </si>
  <si>
    <t>c/04032019/a4a2bbf8592f41688820f5b9b219cbe7.jpg</t>
  </si>
  <si>
    <t>2 ISSUED- Code: 20190128/DAN/000784/00000481/002</t>
  </si>
  <si>
    <t>20190128/DAN/000784/00000481/002</t>
  </si>
  <si>
    <t>d/28012019/78ed3aa5427441bc8cdef0620ee730b1.jpg</t>
  </si>
  <si>
    <t>DARK RATTAN GREY</t>
  </si>
  <si>
    <t xml:space="preserve">1. Vo Thi My Dieu(28-01-2019 08:41:53)
Shape &amp; color as it is (natural rattan color)
- Add 5-6 adjustable hooks
</t>
  </si>
  <si>
    <t>e/12032019/f527a435103e47f4aa0bcf99c16cea0c.jpg</t>
  </si>
  <si>
    <t>5 ISSUED- Code: 20190128/APO/000784/00000481/005</t>
  </si>
  <si>
    <t>20190128/APO/000784/00000481/005</t>
  </si>
  <si>
    <t>f/28012019/620369213fc648779bb6858736ba66d1.jpg</t>
  </si>
  <si>
    <t>SIDE TABLE</t>
  </si>
  <si>
    <t>o/07032019/bdc804c75f4c45049796777ddd5031e7.jpeg</t>
  </si>
  <si>
    <t>13 ISSUED- Code: 20190128/DAN/000784/00000481/013</t>
  </si>
  <si>
    <t>20190128/DAN/000784/00000481/013</t>
  </si>
  <si>
    <t>6/28012019/197d5a0661cb47d4b4224b3094043eff.jpg</t>
  </si>
  <si>
    <t>SIDE TABLE – BETON</t>
  </si>
  <si>
    <t xml:space="preserve">1. Vo Thi My Dieu(28-01-2019 08:41:53)
Pattern as is it
color: grey
No of table : TBC
</t>
  </si>
  <si>
    <t>3/04032019/9a2a65349aa54f3cbdecd24ae31f06b7.jpg</t>
  </si>
  <si>
    <t>11 ISSUED- Code: 20190128/APH/000784/00000481/011</t>
  </si>
  <si>
    <t>20190128/APH/000784/00000481/011</t>
  </si>
  <si>
    <t>5/28012019/e6e1846721b44b4b9a627f0b108bb3a9.jpg</t>
  </si>
  <si>
    <t xml:space="preserve">1. Vo Thi My Dieu(28-01-2019 08:41:53)
Metal frame color should match with table top
Dimension : TBC
</t>
  </si>
  <si>
    <t>1/04032019/7375f8a261b44e0a8224cc2bed48906f.jpg</t>
  </si>
  <si>
    <t>12 ISSUED- Code: 20190128/APH/000784/00000481/012</t>
  </si>
  <si>
    <t>20190128/APH/000784/00000481/012</t>
  </si>
  <si>
    <t>1/28012019/0ca970313a5e4e9ebcade60a77a21e6e.jpg</t>
  </si>
  <si>
    <t>TRAPANI LOUNGE BENCH - ONLY CUSHION</t>
  </si>
  <si>
    <t xml:space="preserve">1. Vo Thi My Dieu(28-01-2019 08:41:53)
Seat cushion: need bigger to cover the gap under the arm rest (cut out the corner of the cushion to fit with arm rest bar)
Connection point of arm rest as it is
</t>
  </si>
  <si>
    <t>3/06032019/5f72b6bef55a48b381739943577be85f.jpg</t>
  </si>
  <si>
    <t>3 ISSUED- Code: 20190128/TEC/000784/00000481/003</t>
  </si>
  <si>
    <t>20190128/TEC/000784/00000481/003</t>
  </si>
  <si>
    <t>a/28012019/99a937e06cb344ab838436b1b431fd1e.jpg</t>
  </si>
  <si>
    <t>TRAPANI LOUNGE CHAIR - ONLY CUSHION</t>
  </si>
  <si>
    <t>3/06032019/cf1a4addc186479c95415b1dd3f9154a.jpg</t>
  </si>
  <si>
    <t>4 ISSUED- Code: 20190128/TEC/000784/00000481/004</t>
  </si>
  <si>
    <t>20190128/TEC/000784/00000481/004</t>
  </si>
  <si>
    <t>0/18022019/b17af9ee62bc47f18303607ce714044b.jpg</t>
  </si>
  <si>
    <t>2019-03-06</t>
  </si>
  <si>
    <t>SAYBROOK DINING CHAIR</t>
  </si>
  <si>
    <t>YES (AS IN THE ATTACHED PICTURE)</t>
  </si>
  <si>
    <t xml:space="preserve">YES (AS IN THE ATTACHED  PICTURE)</t>
  </si>
  <si>
    <t>ROYAL SAND 240 (AS IN THE ATTACHED PICTURE)</t>
  </si>
  <si>
    <t xml:space="preserve">3. (20-02-2019 04:10:06)
MAKE 7 PCS OF SWATCHES OF WICKER &amp; FABRIC TO SEND TOGETHER WITH SAMPLE, SWATCH SIZE 25X25 CM
2. (28-01-2019 10:21:09)
REAL ITEM BORROWED FROM CLIENT  WILL BE SENT TO  FACTORY ON WEEK 8.
1. (28-01-2019 10:21:09)
ATTACHED PRODUCT SHEET PROVIDED BY CLIENT
</t>
  </si>
  <si>
    <t>0/05032019/37a6c8e7ad1e4d6abd20a73b1e811b15.jpg</t>
  </si>
  <si>
    <t>POTTERY BARN</t>
  </si>
  <si>
    <t>client office in HCMC</t>
  </si>
  <si>
    <t>original item to be sent to factory on week 8</t>
  </si>
  <si>
    <t>90.8</t>
  </si>
  <si>
    <t>106.7</t>
  </si>
  <si>
    <t>1 ISSUED- Code: 20190128/BIG/909357/00000482/001</t>
  </si>
  <si>
    <t>20190128/BIG/909357/00000482/001</t>
  </si>
  <si>
    <t>2/13022019/b32cc1d2ba2f40898c32da5c45d2ceae.jpg</t>
  </si>
  <si>
    <t>2019-03-20</t>
  </si>
  <si>
    <t>LOUNGE BENCH NAPARI</t>
  </si>
  <si>
    <t xml:space="preserve">2. Ngo Duy Hung(18-03-2019 09:21:46)
SHOULD MAKE STACKING
1. Tran Ngoc Nam Phuong(13-02-2019 05:41:51)
* This chair will send to factory this weekend. The factory needs to copy this chair and make a bench in the same design. 
The only difference is that the chairs need to fit into the bench and the backrest has to have an curved design as our Lenco set.
* The outer frame should be covered by rattan grey wicker
* Please prepare color swatch as below:
-  5 X PANELS WICKER DOUBLE ROUND 10MM RATTAN GREY
-  5 X 30CM STEEL TUBE BLACK
</t>
  </si>
  <si>
    <t>e/01042019/781fa5ddba53440ab20e19fdbe35edae.jpg</t>
  </si>
  <si>
    <t>RUSTA</t>
  </si>
  <si>
    <t>1 ISSUED- Code: 20190213/PAL/000272/00000483/001</t>
  </si>
  <si>
    <t>20190213/PAL/000272/00000483/001</t>
  </si>
  <si>
    <t>4/13022019/76aefea2813c44809c5b2f73e5fdbc01.jpg</t>
  </si>
  <si>
    <t>LOUNGE CHAIR NAPARI</t>
  </si>
  <si>
    <t xml:space="preserve">2. Ngo Duy Hung(18-03-2019 09:21:46)
SHOULD MAKE STACKING
1. Tran Ngoc Nam Phuong(13-02-2019 05:41:52)
* This chair will send to factory this weekend. The factory needs to copy this chair and make a bench in the same design. 
The only difference is that the chairs need to fit into the bench and the backrest has to have an curved design as our Lenco set.
* The outer frame should be covered by rattan grey wicker
</t>
  </si>
  <si>
    <t>e/01042019/2a676babdd134d03be37041af8f503d6.jpg</t>
  </si>
  <si>
    <t>2 ISSUED- Code: 20190213/PAL/000272/00000483/002</t>
  </si>
  <si>
    <t>20190213/PAL/000272/00000483/002</t>
  </si>
  <si>
    <t>6/14022019/3b68e11e86ef4f0199200164627cfe3b.jpg</t>
  </si>
  <si>
    <t>FELINI DINING CHAIR</t>
  </si>
  <si>
    <t>FLAT 12MM BASKETWEAVE</t>
  </si>
  <si>
    <t>BURLY (1200)</t>
  </si>
  <si>
    <t>SANDED BLACK 2048 (1200)</t>
  </si>
  <si>
    <t xml:space="preserve">1. (21-02-2019 12:15:05)
USE TD/FRAME FROM PAL1
</t>
  </si>
  <si>
    <t>a/27022019/e33793be51144006a57ce4efe13e8a29.jpg</t>
  </si>
  <si>
    <t>2019-02-27</t>
  </si>
  <si>
    <t>Client D</t>
  </si>
  <si>
    <t>SHOWROOM VIETNAM</t>
  </si>
  <si>
    <t>1 SAMPLE APPROVED- Code: 20190214/BIG/001200/00000485/001</t>
  </si>
  <si>
    <t>20190214/BIG/001200/00000485/001</t>
  </si>
  <si>
    <t>8/17072018/0988231af92443edbdd022ea3a3ea8a0.jpg</t>
  </si>
  <si>
    <t>FELLINI LOUNGE CHAIR</t>
  </si>
  <si>
    <t xml:space="preserve">2. (21-02-2019 12:15:05)
USE TD/FRAME FROM PAL1
1. Nicole Poldervaart(21-02-2019 09:41:18)
WANT THE FELINI CHAIR WITH BURLY WEAVE LIKE THE PICTURE.
</t>
  </si>
  <si>
    <t>7/28022019/cf368cc87b614fa1810712df96b529d9.jpg</t>
  </si>
  <si>
    <t>2 SAMPLE APPROVED- Code: 20190214/BIG/001200/00000485/002</t>
  </si>
  <si>
    <t>20190214/BIG/001200/00000485/002</t>
  </si>
  <si>
    <t>MILAAN LOUNGE CHAIR (1200)</t>
  </si>
  <si>
    <t>TWISTED CROSS WEAVE AS PICTURE</t>
  </si>
  <si>
    <t>NATURAL GREY</t>
  </si>
  <si>
    <t>STITCHING 4</t>
  </si>
  <si>
    <t xml:space="preserve">2. (21-02-2019 12:15:05)
USE WICKER DEVELOPED BY APO
1. Nicole Poldervaart(14-02-2019 17:05:37)
ADD A EXTRA CUSHIONS  IN COLOR KUBU SAND (1200)
THE ROPE OF THIS CHAIR MUST BE MORE LIKE DSC_0891.JPG.
</t>
  </si>
  <si>
    <t>1/01032019/cb3c0a7a59d740558529048e7d3b0487.jpg</t>
  </si>
  <si>
    <t>3 SAMPLE APPROVED- Code: 20190214/PAL/001200/00000485/003</t>
  </si>
  <si>
    <t>20190214/PAL/001200/00000485/003</t>
  </si>
  <si>
    <t>9/22032018/6222f9f8c6c84ac0a58aaa012e62a73a.jpg</t>
  </si>
  <si>
    <t>2019-04-20</t>
  </si>
  <si>
    <t>ATLANTIC FOLDING TABLE</t>
  </si>
  <si>
    <t>a/14052019/0bfb3d45e7b744539a66df3fa1e88ca0.jpg</t>
  </si>
  <si>
    <t>2019-05-02</t>
  </si>
  <si>
    <t>PACIFIC LIFESTYLE LTD</t>
  </si>
  <si>
    <t>UNITED KINGDOM (SOUTHAMPTON)</t>
  </si>
  <si>
    <t>41670VN</t>
  </si>
  <si>
    <t>12 SAMPLE APPROVED- Code: 20190215/ROS/001511/00000486/012</t>
  </si>
  <si>
    <t>20190215/ROS/001511/00000486/012</t>
  </si>
  <si>
    <t>d/04102018/dc045f4384724b98bfb5886a7c30363e.jpg</t>
  </si>
  <si>
    <t>AURORA SET (CHAIR, HOCKER)</t>
  </si>
  <si>
    <t>1/20052019/304824d67fa54498ad0938d6e3667672.jpg</t>
  </si>
  <si>
    <t>17 SAMPLE APPROVED- Code: 20190215/PAL/001511/00000486/017</t>
  </si>
  <si>
    <t>20190215/PAL/001511/00000486/017</t>
  </si>
  <si>
    <t>a/21022019/653070bca615437cab63f5b7c5c7e203.jpg</t>
  </si>
  <si>
    <t>VERTICAL STITCHING WITH TIE</t>
  </si>
  <si>
    <t xml:space="preserve">1. (21-02-2019 11:06:24)
adding new cushion as pic
</t>
  </si>
  <si>
    <t>c/20052019/509a3f78fe5c46b9a6a5eb5d7291f8ca.jpg</t>
  </si>
  <si>
    <t>19 SAMPLE APPROVED- Code: 20190215/TEC/001511/00000486/019</t>
  </si>
  <si>
    <t>20190215/TEC/001511/00000486/019</t>
  </si>
  <si>
    <t>a/04102018/fd57de9603e1443f8d8dce60aae6ceac.jpg</t>
  </si>
  <si>
    <t>BRISBANE LOUNGE SET (2X CHAIR + BENCH + TABLE)</t>
  </si>
  <si>
    <t>c/20052019/a03fdef576a14e2495194c6b9de27f2a.jpg</t>
  </si>
  <si>
    <t>16 SAMPLE APPROVED- Code: 20190215/APO/001511/00000486/016</t>
  </si>
  <si>
    <t>20190215/APO/001511/00000486/016</t>
  </si>
  <si>
    <t>0/29032018/6aa5beabe665420a8f9e57f189eb847e.jpg</t>
  </si>
  <si>
    <t>CLASSIC FOLDING TABLE 58X58X73CM</t>
  </si>
  <si>
    <t>c/09052019/40d7c0b0577440cb8f366c64dc9a8a8a.jpg</t>
  </si>
  <si>
    <t>13 SAMPLE APPROVED- Code: 20190215/DAN/001511/00000486/013</t>
  </si>
  <si>
    <t>20190215/DAN/001511/00000486/013</t>
  </si>
  <si>
    <t>0/22032018/53a5397615c142c9912ee33f0c38fcb2.jpg</t>
  </si>
  <si>
    <t>COPENHAGEN DINING TABLE 180X90X75 CM</t>
  </si>
  <si>
    <t>e/14052019/b24dedf7fe5f4ff9912831023d8acb8d.jpg</t>
  </si>
  <si>
    <t>24 SAMPLE APPROVED- Code: 20190215/ROS/001511/00000486/024</t>
  </si>
  <si>
    <t>20190215/ROS/001511/00000486/024</t>
  </si>
  <si>
    <t>4/08082018/f3e820a1761f41cf88d6aa51e7107481.jpg</t>
  </si>
  <si>
    <t>COPENHAGEN DINING TABLE WITH POLYSTONE TOP 180X90X75CM</t>
  </si>
  <si>
    <t>4/23052019/2d7b08d02276446c80545d60bb779c1b.jpg</t>
  </si>
  <si>
    <t>25 SAMPLE APPROVED- Code: 20190215/APH/001511/00000486/025</t>
  </si>
  <si>
    <t>20190215/APH/001511/00000486/025</t>
  </si>
  <si>
    <t>c/21032019/5c92fcb4d1a140ca80e730e6a3f05086.jpg</t>
  </si>
  <si>
    <t>DELHI LOUNGE CHAIR KD WITH ARMREST</t>
  </si>
  <si>
    <t>PATTERN WEAVING BLACK/WHITE</t>
  </si>
  <si>
    <t>7/18042019/a359a0c22c124a318dbc600e63b68e1f.jpg</t>
  </si>
  <si>
    <t>21 SAMPLE APPROVED- Code: 20190215/PAL/001511/00000486/021</t>
  </si>
  <si>
    <t>20190215/PAL/001511/00000486/021</t>
  </si>
  <si>
    <t>b/21022019/7f9445f9d1f2471e9bb0a7d67c0c086a.jpg</t>
  </si>
  <si>
    <t>FINSBURY LOVESEATER 68.5x152x88CM</t>
  </si>
  <si>
    <t>LIGHT BROWN</t>
  </si>
  <si>
    <t xml:space="preserve">1. (21-02-2019 11:06:25)
NEW DEVELOPMENT
</t>
  </si>
  <si>
    <t>7/20052019/1f86b94bb765410693bd82ee7f5516a6.jpg</t>
  </si>
  <si>
    <t>29 SAMPLE APPROVED- Code: 20190215/PAL/001511/00000486/029</t>
  </si>
  <si>
    <t>20190215/PAL/001511/00000486/029</t>
  </si>
  <si>
    <t>4/24042019/da34cf6fffb84cbc8f01a4819c17ad65.jpg</t>
  </si>
  <si>
    <t>3 SAMPLE APPROVED- Code: 20190215/PAL/001511/00000486/003</t>
  </si>
  <si>
    <t>20190215/PAL/001511/00000486/003</t>
  </si>
  <si>
    <t>a/17012019/c5302daa60864d49bee9b7481ea8f94a.jpg</t>
  </si>
  <si>
    <t>HONOLULU HOCKER</t>
  </si>
  <si>
    <t xml:space="preserve">1. (21-02-2019 11:06:25)
new development HONOLULU HOCKER
</t>
  </si>
  <si>
    <t>f/20052019/e6b94e5c23cc4f618c8f7ad358b7bfae.jpg</t>
  </si>
  <si>
    <t>28 SAMPLE APPROVED- Code: 20190215/PAL/001511/00000486/028</t>
  </si>
  <si>
    <t>20190215/PAL/001511/00000486/028</t>
  </si>
  <si>
    <t>HONOLULU LOUNGE CORNER SET 3PCS (LEFT ARM, RIGHT ARM, TABLE)</t>
  </si>
  <si>
    <t>PLOFF ROUND PIPING</t>
  </si>
  <si>
    <t>f/20052019/16620b8c4dde42bf849d071030c02d94.jpg</t>
  </si>
  <si>
    <t>2 SAMPLE APPROVED- Code: 20190215/PAL/001511/00000486/002</t>
  </si>
  <si>
    <t>20190215/PAL/001511/00000486/002</t>
  </si>
  <si>
    <t>HONOLULU LOUNGE SET 4PCS (2X CHAIR, BENCH, TABLE)</t>
  </si>
  <si>
    <t>b/20052019/e75bc1e375434fc1b5ee9b4899332ead.jpg</t>
  </si>
  <si>
    <t>1 SAMPLE APPROVED- Code: 20190215/PAL/001511/00000486/001</t>
  </si>
  <si>
    <t>20190215/PAL/001511/00000486/001</t>
  </si>
  <si>
    <t>KENDAL FOLDING DINING CHAIR</t>
  </si>
  <si>
    <t>2/14052019/1a72bfd86c42495eb1fab86c883faab3.jpg</t>
  </si>
  <si>
    <t>5.3</t>
  </si>
  <si>
    <t>9 SAMPLE APPROVED- Code: 20190215/ROS/001511/00000486/009</t>
  </si>
  <si>
    <t>20190215/ROS/001511/00000486/009</t>
  </si>
  <si>
    <t>1/04102018/3ab78dbcdaaf48f8ba6d9e30d9a13f66.jpg</t>
  </si>
  <si>
    <t>e/14052019/e2294b392a924acd99a1db38219f64c1.jpg</t>
  </si>
  <si>
    <t>34 SAMPLE APPROVED- Code: 20190328/ROS/001511/00000486/034</t>
  </si>
  <si>
    <t>20190328/ROS/001511/00000486/034</t>
  </si>
  <si>
    <t>0/20052019/1a6a5272a4f741ed93066ff963bb36db.jpg</t>
  </si>
  <si>
    <t>4 SAMPLE APPROVED- Code: 20190215/TEC/001511/00000486/004</t>
  </si>
  <si>
    <t>20190215/TEC/001511/00000486/004</t>
  </si>
  <si>
    <t>2/20052019/4cc1cfc64eb2406d876af5d182d7a494.jpg</t>
  </si>
  <si>
    <t>5 SAMPLE APPROVED- Code: 20190215/TEC/001511/00000486/005</t>
  </si>
  <si>
    <t>20190215/TEC/001511/00000486/005</t>
  </si>
  <si>
    <t>8/30032018/3c1f062f034747bd9113816000073948.jpg</t>
  </si>
  <si>
    <t>KINGSTON BENCH 135X58X83 CM</t>
  </si>
  <si>
    <t>b/14052019/86ce84d206fe44bba667a881938d86d0.jpg</t>
  </si>
  <si>
    <t>27 SAMPLE APPROVED- Code: 20190215/ROS/001511/00000486/027</t>
  </si>
  <si>
    <t>20190215/ROS/001511/00000486/027</t>
  </si>
  <si>
    <t>LEONORA DINING CHAIR</t>
  </si>
  <si>
    <t>0/17052019/5f75b8f349234b269272c09a6278829e.jpg</t>
  </si>
  <si>
    <t>26 SAMPLE APPROVED- Code: 20190215/APO/001511/00000486/026</t>
  </si>
  <si>
    <t>20190215/APO/001511/00000486/026</t>
  </si>
  <si>
    <t>7/30032018/4a72be3fa2c7474295c0ccf7259be18c.jpg</t>
  </si>
  <si>
    <t>LUTON CROSS BACK BENCH 2-SEAT</t>
  </si>
  <si>
    <t>6/14052019/effbd4c6393c4131a7fd32984ea4aee3.jpg</t>
  </si>
  <si>
    <t>22 SAMPLE APPROVED- Code: 20190215/ROS/001511/00000486/022</t>
  </si>
  <si>
    <t>20190215/ROS/001511/00000486/022</t>
  </si>
  <si>
    <t>7/30032018/8c4ae2da6bb041a7a9ef16ab1e7f1803.jpg</t>
  </si>
  <si>
    <t>LUTON CROSS BACK BENCH 3-SEAT</t>
  </si>
  <si>
    <t>2/14052019/611068a61bbf4f4c9407b790d3b0b387.jpg</t>
  </si>
  <si>
    <t>23 SAMPLE APPROVED- Code: 20190215/ROS/001511/00000486/023</t>
  </si>
  <si>
    <t>20190215/ROS/001511/00000486/023</t>
  </si>
  <si>
    <t>c/18082019/c1976eddd49a4ab3b5c1c44499c6e6cb.jpg</t>
  </si>
  <si>
    <t>MANCHESTER LOUNGE CORNER SET 4PCS (1X LEFT ARM, 1X RIGHT ARM, 1X CORNER, 1X LOUNGE TABLE 80X80X43CM)</t>
  </si>
  <si>
    <t>8/14052019/b003c17638a342f38c57ac81e36ecfca.jpg</t>
  </si>
  <si>
    <t>18 SAMPLE APPROVED- Code: 20190215/ROS/001511/00000486/018</t>
  </si>
  <si>
    <t>20190215/ROS/001511/00000486/018</t>
  </si>
  <si>
    <t>7/08052019/cf108eb195994047ae805d19cb8dc43b.jpg</t>
  </si>
  <si>
    <t>6.1</t>
  </si>
  <si>
    <t>9.7</t>
  </si>
  <si>
    <t>6 SAMPLE APPROVED- Code: 20190215/DAN/001511/00000486/006</t>
  </si>
  <si>
    <t>20190215/DAN/001511/00000486/006</t>
  </si>
  <si>
    <t>6/08052019/80376168386841a1ba20ca2bb408737f.jpg</t>
  </si>
  <si>
    <t>7.7</t>
  </si>
  <si>
    <t>7 SAMPLE APPROVED- Code: 20190215/DAN/001511/00000486/007</t>
  </si>
  <si>
    <t>20190215/DAN/001511/00000486/007</t>
  </si>
  <si>
    <t>d/29082018/ac681e2c5f9a42e0ab33ae9c39bb01ec.jpg</t>
  </si>
  <si>
    <t>MERAN DINING TABLE 135X135X76CM</t>
  </si>
  <si>
    <t>7/23052019/6a2ca333858447fbb71e3a821b22966d.jpg</t>
  </si>
  <si>
    <t>20 SAMPLE APPROVED- Code: 20190215/APH/001511/00000486/020</t>
  </si>
  <si>
    <t>20190215/APH/001511/00000486/020</t>
  </si>
  <si>
    <t>REIMS DINING TABLE L200 X W100 X H76CM</t>
  </si>
  <si>
    <t>f/24042019/81e67f2013a8425d985d0efe36bfdcc5.jpg</t>
  </si>
  <si>
    <t>33 SAMPLE APPROVED- Code: 20190215/PAL/001511/00000486/033</t>
  </si>
  <si>
    <t>20190215/PAL/001511/00000486/033</t>
  </si>
  <si>
    <t>REIMS STACKABLE DINING CHAIR</t>
  </si>
  <si>
    <t>d/24042019/ad1abb788130459db6477f048ffe0e68.jpg</t>
  </si>
  <si>
    <t>34 SAMPLE APPROVED- Code: 20190215/PAL/001511/00000486/034</t>
  </si>
  <si>
    <t>20190215/PAL/001511/00000486/034</t>
  </si>
  <si>
    <t>6/24042019/1fb2b20275f048bebeb168036ba9e539.jpg</t>
  </si>
  <si>
    <t>14 SAMPLE APPROVED- Code: 20190215/PAL/001511/00000486/014</t>
  </si>
  <si>
    <t>20190215/PAL/001511/00000486/014</t>
  </si>
  <si>
    <t>d/23052019/8f68a71e56044314a79922c330bb31b5.jpg</t>
  </si>
  <si>
    <t>152</t>
  </si>
  <si>
    <t>155.5</t>
  </si>
  <si>
    <t>31 SAMPLE APPROVED- Code: 20190215/ZWE/001511/00000486/031</t>
  </si>
  <si>
    <t>20190215/ZWE/001511/00000486/031</t>
  </si>
  <si>
    <t>c/23052019/5167e6265bb54bf4a3741ca0821dc540.jpg</t>
  </si>
  <si>
    <t>30 SAMPLE APPROVED- Code: 20190215/ZWE/001511/00000486/030</t>
  </si>
  <si>
    <t>20190215/ZWE/001511/00000486/030</t>
  </si>
  <si>
    <t>SARAH BENCH WITH COFFEE TABLE IN WICKER ROPE</t>
  </si>
  <si>
    <t xml:space="preserve">1. (21-02-2019 11:06:25)
NEW DEVELOPMENT IN WICKER ROPE
</t>
  </si>
  <si>
    <t>5/20052019/f8011e5aeb2042ceb4bd186c47be25a6.jpg</t>
  </si>
  <si>
    <t>32 SAMPLE APPROVED- Code: 20190215/PAL/001511/00000486/032</t>
  </si>
  <si>
    <t>20190215/PAL/001511/00000486/032</t>
  </si>
  <si>
    <t>SESTO LOUNGE CHAIR WITH ARMS KD</t>
  </si>
  <si>
    <t>a/14052019/7c9ba362637d488fb98b47b9aced858e.jpg</t>
  </si>
  <si>
    <t>10 SAMPLE APPROVED- Code: 20190215/ROS/001511/00000486/010</t>
  </si>
  <si>
    <t>20190215/ROS/001511/00000486/010</t>
  </si>
  <si>
    <t>SESTO LOUNGE HOCKER</t>
  </si>
  <si>
    <t>8/14052019/dde0fdd5955d4de4b7ae9ed7491db398.jpg</t>
  </si>
  <si>
    <t>11 SAMPLE APPROVED- Code: 20190215/ROS/001511/00000486/011</t>
  </si>
  <si>
    <t>20190215/ROS/001511/00000486/011</t>
  </si>
  <si>
    <t>d/10102018/3420b6fc5e01418297141718839ffc0f.jpg</t>
  </si>
  <si>
    <t>TAHITI LOUNGE SET 4 PCS (2X CHAIR, 1X BENCH, 1X LOUNGE TABLE 100X50X40CM)</t>
  </si>
  <si>
    <t>7/23052019/dce2adc5435246378e7ec04549f10747.jpg</t>
  </si>
  <si>
    <t>15 SAMPLE APPROVED- Code: 20190215/BIG/001511/00000486/015</t>
  </si>
  <si>
    <t>20190215/BIG/001511/00000486/015</t>
  </si>
  <si>
    <t>7/21022019/0a4ba7e184454f45bafb27850e64b88c.jpg</t>
  </si>
  <si>
    <t>BAHIA BENCH 12053</t>
  </si>
  <si>
    <t xml:space="preserve">1. (21-02-2019 12:24:02)
+ CUSHION NO NEED LEATHER STRAP.
+ TEST IN HOUSE US STANDARD BEFORE SENDING SHOWROOM
</t>
  </si>
  <si>
    <t>2019-03-01</t>
  </si>
  <si>
    <t>VANCOUVER, CANADA</t>
  </si>
  <si>
    <t>9 ISSUED- Code: 20190221/PAL/0012053/00000487/009</t>
  </si>
  <si>
    <t>20190221/PAL/0012053/00000487/009</t>
  </si>
  <si>
    <t>6/20022019/3c916f8045314339b37add23674e9112.jpg</t>
  </si>
  <si>
    <t>BARCELONA CORNER LEFT ARM 12053</t>
  </si>
  <si>
    <t>ACACIA WOOD</t>
  </si>
  <si>
    <t>NO PIPING</t>
  </si>
  <si>
    <t xml:space="preserve">1. (18-02-2019 12:39:56)
+ DESIGN AS RENDER ATTACHED &amp; TD. IF NECCESSARY TO ADJUST TD, PLEASE INFORM.
+ CUSHIONS (SEAT &amp; BACK) TO BE FULLY STRETCHED &amp; THICK AS MUCH AS POSSIBLE SAME AS RENDER OF LOUNGE CHAIR &amp; LOUNGE BENCH.
</t>
  </si>
  <si>
    <t>6/06032019/1b873eea406b4e73996862d2cf80b85a.jpg</t>
  </si>
  <si>
    <t>4 ISSUED- Code: 20190218/ROS/0012053/00000487/004</t>
  </si>
  <si>
    <t>20190218/ROS/0012053/00000487/004</t>
  </si>
  <si>
    <t>c/20022019/774c43b52a8d4290880ff11730c58f29.jpg</t>
  </si>
  <si>
    <t>BARCELONA CORNER RIGHT ARM 12053</t>
  </si>
  <si>
    <t xml:space="preserve">1. (18-02-2019 12:39:56)
+ DESIGN AS RENDER ATTACHED &amp; TD. IF NECCESSARY TO ADJUST TD, PLEASE INFORM. 
+ CUSHIONS (SEAT &amp; BACK) TO BE FULLY STRETCHED &amp; THICK AS MUCH AS POSSIBLE SAME AS RENDER OF LOUNGE CHAIR &amp; LOUNGE BENCH.
</t>
  </si>
  <si>
    <t>1/06032019/83e3bad3209842b996db6ca54ae184b1.jpg</t>
  </si>
  <si>
    <t>5 ISSUED- Code: 20190218/ROS/0012053/00000487/005</t>
  </si>
  <si>
    <t>20190218/ROS/0012053/00000487/005</t>
  </si>
  <si>
    <t>0/18022019/069aed5f08d34724b52cfeb4ce702e4f.jpg</t>
  </si>
  <si>
    <t>BARCELONA LOUNGE BENCH 12053</t>
  </si>
  <si>
    <t xml:space="preserve">1. (18-02-2019 12:34:55)
+ DESIGN LIKE RENDER ATTACHED &amp; TD. ANY REASON TO ADJUST TD, PLEASE INFORM.
+ CUSHIONS (SEAT &amp; BACK) TO BE FULLY STRETCHED &amp; THICK AS MUCH AS POSSIBLE LIKE RENDER.
</t>
  </si>
  <si>
    <t>9/06032019/35ab95fda27a4782b2837f2829d80237.jpg</t>
  </si>
  <si>
    <t>3 ISSUED- Code: 20190218/ROS/0012053/00000487/003</t>
  </si>
  <si>
    <t>20190218/ROS/0012053/00000487/003</t>
  </si>
  <si>
    <t>f/18022019/7f52300d6c294480b1b13afa8b029cd6.jpg</t>
  </si>
  <si>
    <t>BARCELONA LOUNGE CHAIR 12053</t>
  </si>
  <si>
    <t xml:space="preserve">1. (18-02-2019 12:34:54)
+ DESIGN AS ATTACHED RENDER &amp; TD. ANY REASONS TO ADJUST TD, PLEASE INFORM.
+ CUSHIONS (SEAT &amp; BACK) TO BE FULLY STRETCHER &amp; WELL SHAPED NICELY AS MUCH AS POSSIBLE LIKE RENDER.
</t>
  </si>
  <si>
    <t>d/06032019/3157fb5992d744cca7ccae60f74bc21e.jpg</t>
  </si>
  <si>
    <t>2 ISSUED- Code: 20190218/ROS/0012053/00000487/002</t>
  </si>
  <si>
    <t>20190218/ROS/0012053/00000487/002</t>
  </si>
  <si>
    <t>c/18022019/8759e737019340e39ea3ffc9ff69c4d0.jpg</t>
  </si>
  <si>
    <t>BERN DINING CHAIR 12053</t>
  </si>
  <si>
    <t>PR006</t>
  </si>
  <si>
    <t xml:space="preserve">1. (18-02-2019 12:56:40)
+ ATTENTION STRONG CONSTRUCTION FOR U.S MARKET TESTING LIKE 1071.
</t>
  </si>
  <si>
    <t>6 ISSUED- Code: 20190218/TEC/0012053/00000487/006</t>
  </si>
  <si>
    <t>20190218/TEC/0012053/00000487/006</t>
  </si>
  <si>
    <t>2/18022019/3bbc2795dfad4b4d853597aaddfe04e1.jpg</t>
  </si>
  <si>
    <t>DELPHI LOUNGE BENCH 12053</t>
  </si>
  <si>
    <t>OLD TEAK LOOK</t>
  </si>
  <si>
    <t xml:space="preserve">1. (18-02-2019 12:58:49)
+ DESIGN FOLLOWS RENDER ATTACHED &amp; TD. IF NECCESSARY TO ADJUST TD, PLEASE INFORM.
+ CUSHIONS (SEAT &amp; BACK) TO BE FULLY STRETCHED &amp; THICK AS MUCH AS POSSIBLE LIKE RENDER.
</t>
  </si>
  <si>
    <t>e/06032019/bb9cadf5c89c47ff9455697b2d2b7ee9.jpg</t>
  </si>
  <si>
    <t>8 ISSUED- Code: 20190218/ROS/0012053/00000487/008</t>
  </si>
  <si>
    <t>20190218/ROS/0012053/00000487/008</t>
  </si>
  <si>
    <t>6/18022019/a97ecc7d0ab7469a9cc5a0c175feacb4.jpg</t>
  </si>
  <si>
    <t>DELPHI LOUNGE CHAIR 12053</t>
  </si>
  <si>
    <t xml:space="preserve">1. (18-02-2019 12:56:40)
+ DESIGN FOLLOWS RENDER ATTACHED &amp; TD. IF NECCESSARY TO ADJUST TD, PLEASE INFORM.
+ CUSHIONS (SEAT &amp; BACK) TO BE FULLY STRETCHED &amp; THICK AS MUCH AS POSSIBLE LIKE RENDER.
</t>
  </si>
  <si>
    <t>8/06032019/5093abf4e1c84d2d858046622bda0044.jpg</t>
  </si>
  <si>
    <t>7 ISSUED- Code: 20190218/ROS/0012053/00000487/007</t>
  </si>
  <si>
    <t>20190218/ROS/0012053/00000487/007</t>
  </si>
  <si>
    <t>2/21022019/d73473b25a304dc0aba7d051bb71f980.jpg</t>
  </si>
  <si>
    <t>HONOLULU CORNER LEFT ARM 12053</t>
  </si>
  <si>
    <t>ROYAL RIBBON SAND 240</t>
  </si>
  <si>
    <t xml:space="preserve">1. (21-02-2019 13:02:55)
+ TEST IN HOUSE U.S STANDARD BEFORE SENDING TO SHOWROOM, NO CENTER LEG, 100% WELDING POINT.
</t>
  </si>
  <si>
    <t>21 ISSUED- Code: 20190221/PAL/0012053/00000487/021</t>
  </si>
  <si>
    <t>20190221/PAL/0012053/00000487/021</t>
  </si>
  <si>
    <t>1/21022019/d2b8ccf3a0344c6792d77381bdffac54.jpg</t>
  </si>
  <si>
    <t>HONOLULU CORNER PIECE 12053</t>
  </si>
  <si>
    <t xml:space="preserve">1. (21-02-2019 13:02:56)
+ TEST IN HOUSE U.S STANDARD BEFORE SENDING TO SHOWROOM, 100% WELDING POINT.
</t>
  </si>
  <si>
    <t>23 ISSUED- Code: 20190221/PAL/0012053/00000487/023</t>
  </si>
  <si>
    <t>20190221/PAL/0012053/00000487/023</t>
  </si>
  <si>
    <t>0/21022019/8223da6f19f6482593d8a41e683a0d96.jpg</t>
  </si>
  <si>
    <t>HONOLULU CORNER RIGHT ARM 12053</t>
  </si>
  <si>
    <t>22 ISSUED- Code: 20190221/PAL/0012053/00000487/022</t>
  </si>
  <si>
    <t>20190221/PAL/0012053/00000487/022</t>
  </si>
  <si>
    <t>e/21022019/0634217a772147488af056314b176532.jpg</t>
  </si>
  <si>
    <t>HONOLULU CORNER TABLE 12053</t>
  </si>
  <si>
    <t xml:space="preserve">1. (21-02-2019 13:05:04)
+ TEST IN HOUSE U.S STANDARD BEFORE SENDING TO SHOWROOM
</t>
  </si>
  <si>
    <t>24 ISSUED- Code: 20190221/PAL/0012053/00000487/024</t>
  </si>
  <si>
    <t>20190221/PAL/0012053/00000487/024</t>
  </si>
  <si>
    <t>3/21022019/dba3430957274ac58c3d154cd17dd306.jpg</t>
  </si>
  <si>
    <t>HONOLULU DINING CHAIR 12053</t>
  </si>
  <si>
    <t xml:space="preserve">1. (21-02-2019 13:12:26)
+ TEST IN HOUSE U.S STANDARD BEFORE SENDING TO SHOWROOM, 100% WELDING POINT.
</t>
  </si>
  <si>
    <t>25 ISSUED- Code: 20190221/PAL/0012053/00000487/025</t>
  </si>
  <si>
    <t>20190221/PAL/0012053/00000487/025</t>
  </si>
  <si>
    <t>e/21022019/ac456a5e40494e5c89a33cc7ca14ae30.jpg</t>
  </si>
  <si>
    <t>HONOLULU LOUNGE BENCH 12053</t>
  </si>
  <si>
    <t xml:space="preserve">1. (21-02-2019 12:53:44)
+ TEST IN HOUSE U.S STANDARD BEFORE SENDING TO SHOWROOM, NO CENTER LEG, 100% WELDING POINT.
</t>
  </si>
  <si>
    <t>19 ISSUED- Code: 20190221/PAL/0012053/00000487/019</t>
  </si>
  <si>
    <t>20190221/PAL/0012053/00000487/019</t>
  </si>
  <si>
    <t>d/21022019/c0fd0c903ecc437e98a1e10e506c154c.jpg</t>
  </si>
  <si>
    <t>HONOLULU LOUNGE CHAIR 12053</t>
  </si>
  <si>
    <t xml:space="preserve">1. (21-02-2019 12:53:44)
+ TEST IN HOUSE U.S STANDARD BEFORE SENDING TO SHOWROOM, 100% WELDING POINT.
</t>
  </si>
  <si>
    <t>18 ISSUED- Code: 20190221/PAL/0012053/00000487/018</t>
  </si>
  <si>
    <t>20190221/PAL/0012053/00000487/018</t>
  </si>
  <si>
    <t>2/21022019/556e2593b63c4ff69ca3f53a84c98c26.jpg</t>
  </si>
  <si>
    <t>HONOLULU LOUNGE TABLE 12053</t>
  </si>
  <si>
    <t xml:space="preserve">1. (21-02-2019 13:02:55)
+ TEST IN HOUSE U.S STANDARD BEFORE SENDING TO SHOWROOM
</t>
  </si>
  <si>
    <t>20 ISSUED- Code: 20190221/PAL/0012053/00000487/020</t>
  </si>
  <si>
    <t>20190221/PAL/0012053/00000487/020</t>
  </si>
  <si>
    <t>9/21022019/b5375fe6250b44ad8eced2adb77a0f09.jpg</t>
  </si>
  <si>
    <t>KENT LOUNGE TABLE (ROUND BIG) 80X80X25 CM</t>
  </si>
  <si>
    <t xml:space="preserve">1. (21-02-2019 12:42:45)
+ TEST IN HOUSE U.S STANDARD BEFORE SENDING TO SHOWROOM, TD ATTACHED.
</t>
  </si>
  <si>
    <t>o/07032019/bbf799e3cca04912b7c71e363d36a2ab.jpeg</t>
  </si>
  <si>
    <t>14 ISSUED- Code: 20190221/ROS/0012053/00000487/014</t>
  </si>
  <si>
    <t>20190221/ROS/0012053/00000487/014</t>
  </si>
  <si>
    <t>3/21022019/d63ad5b2f634464dac416c93f8498101.jpg</t>
  </si>
  <si>
    <t>KENT LOUNGE TABLE (ROUND SMALL) 60X60X33</t>
  </si>
  <si>
    <t>o/07032019/c8490e3f28214f51b5101e2f0bd62f3f.jpeg</t>
  </si>
  <si>
    <t>15 ISSUED- Code: 20190221/ROS/0012053/00000487/015</t>
  </si>
  <si>
    <t>20190221/ROS/0012053/00000487/015</t>
  </si>
  <si>
    <t>d/15022019/39f0b0b9d2a545f59f6b2f5c82541991.jpg</t>
  </si>
  <si>
    <t>LENCO LOUNGE SET 12053 (WITHOUT TABLE)</t>
  </si>
  <si>
    <t>SAME 1282</t>
  </si>
  <si>
    <t xml:space="preserve">1. (15-02-2019 07:12:36)
+ FRAME WORKS &amp; CUSHION SHAPE, CUSHION SIZE LIKE ID 1282. 
+ WEAVING PATTERN FOLLOWS RENDER ATTACHED. 
+ MAKE 2 CHAIRS &amp; 2 BENCHES (1PC OF EACH FOR FLYING, 1PC RETAIN).
</t>
  </si>
  <si>
    <t>d/11032019/4349732445234bf5bb4a3daa063b45e2.jpg</t>
  </si>
  <si>
    <t>82.5/82.5</t>
  </si>
  <si>
    <t>84/167</t>
  </si>
  <si>
    <t>1 ISSUED- Code: 20190215/APO/0012053/00000487/001</t>
  </si>
  <si>
    <t>20190215/APO/0012053/00000487/001</t>
  </si>
  <si>
    <t>b/21022019/a4bf626c334f493da29f6a710e144b54.jpg</t>
  </si>
  <si>
    <t>LORETTO DINING BENCH 12053</t>
  </si>
  <si>
    <t xml:space="preserve">1. (21-02-2019 12:35:56)
+ TEST IN HOUSE U.S STANDARD BEFORE SENDING TO SHOWROOM, 100% WELDING POINT.
</t>
  </si>
  <si>
    <t>12 ISSUED- Code: 20190221/PAL/0012053/00000487/012</t>
  </si>
  <si>
    <t>20190221/PAL/0012053/00000487/012</t>
  </si>
  <si>
    <t>5/21022019/9b2b47642e4343bd82c4ab02fe241aa9.jpg</t>
  </si>
  <si>
    <t>LORETTO DINING CHAIR 12053</t>
  </si>
  <si>
    <t xml:space="preserve">1. (21-02-2019 12:42:45)
+ TEST IN HOUSE U.S STANDARD BEFORE SENDING TO SHOWROOM, 100% WELDING POINT.
</t>
  </si>
  <si>
    <t>13 ISSUED- Code: 20190221/PAL/0012053/00000487/013</t>
  </si>
  <si>
    <t>20190221/PAL/0012053/00000487/013</t>
  </si>
  <si>
    <t>6/21022019/3f3a25aba176476a8b3e03b81cba12e4.jpg</t>
  </si>
  <si>
    <t>LORETTO LOUNGE CHAIR 12053</t>
  </si>
  <si>
    <t>POWDER COATED TAUPE</t>
  </si>
  <si>
    <t>11 ISSUED- Code: 20190221/PAL/0012053/00000487/011</t>
  </si>
  <si>
    <t>20190221/PAL/0012053/00000487/011</t>
  </si>
  <si>
    <t>e/21022019/150e7a165944428eb58c834f0ff18513.jpg</t>
  </si>
  <si>
    <t>MELBOURNE DINING BENCH 12053</t>
  </si>
  <si>
    <t xml:space="preserve">1. (21-02-2019 12:47:23)
+ TEST IN HOUSE U.S STANDARD BEFORE SENDING TO SHOWROOM (CONSTRUCTION SAME ID 1282 OK), 100% WELDING POINT.
</t>
  </si>
  <si>
    <t>17 ISSUED- Code: 20190221/PAL/0012053/00000487/017</t>
  </si>
  <si>
    <t>20190221/PAL/0012053/00000487/017</t>
  </si>
  <si>
    <t>5/21022019/a9413a85a1d64e0b80ebd5e8264a7732.jpg</t>
  </si>
  <si>
    <t>MELBOURNE DINING TABLE 12053</t>
  </si>
  <si>
    <t>16 ISSUED- Code: 20190221/PAL/0012053/00000487/016</t>
  </si>
  <si>
    <t>20190221/PAL/0012053/00000487/016</t>
  </si>
  <si>
    <t>8/21022019/192dcbe4fa6b4381b2bb70cc77203606.jpg</t>
  </si>
  <si>
    <t>MELFORT SIDE TABLE 60 x 60 x 40 CM</t>
  </si>
  <si>
    <t xml:space="preserve">1. (21-02-2019 12:28:24)
+ TEST IN HOUSE U.S STANDARD BEFORE SENDING TO SHOWROOM
</t>
  </si>
  <si>
    <t>o/07032019/b10392bc53164f13b0b6edfd8b021c07.jpeg</t>
  </si>
  <si>
    <t>10 ISSUED- Code: 20190221/ROS/0012053/00000487/010</t>
  </si>
  <si>
    <t>20190221/ROS/0012053/00000487/010</t>
  </si>
  <si>
    <t>c/21022019/6e42427fd2df4a2b9668365a0b4ba0de.jpg</t>
  </si>
  <si>
    <t>NIG-03-VHM</t>
  </si>
  <si>
    <t>MILAAN SUNBED 12053</t>
  </si>
  <si>
    <t>HR 7MM WHITE 3136S</t>
  </si>
  <si>
    <t>WHITE 3136S</t>
  </si>
  <si>
    <t xml:space="preserve">1. (21-02-2019 13:12:26)
+ 100% WELDING POINT.
+ TEST IN HOUSE U.S STANDARD BEFORE SENDING TO SHOWROOM.
</t>
  </si>
  <si>
    <t>26 ISSUED- Code: 20190221/NIG/0012053/00000487/026</t>
  </si>
  <si>
    <t>20190221/NIG/0012053/00000487/026</t>
  </si>
  <si>
    <t>c/13032019/4efc4c2b9ccd44b0a878c81890c51c2d.jpg</t>
  </si>
  <si>
    <t>2019-03-19</t>
  </si>
  <si>
    <t>CORONADO ACCENT ROUND TABLE</t>
  </si>
  <si>
    <t>LIGHT BROWN (ID 909357)</t>
  </si>
  <si>
    <t>VINTAGE (ID 909357)</t>
  </si>
  <si>
    <t xml:space="preserve">1. (01-03-2019 12:05:23)
SEE ATTACHED TD
NEW  WICKER WILL BE SENT TO THE FACTORY
NEW COLOR OF WOOD IS MADE BY 4U
MAKE SWATCHES OF WOOD (7 PCS, 25 X 25 CM)
</t>
  </si>
  <si>
    <t>3/19032019/309f826b2a2b4a9ba7e6a7ff2617ecef.jpg</t>
  </si>
  <si>
    <t>AVT showroom</t>
  </si>
  <si>
    <t>1 ISSUED- Code: 20190301/PAL/909357/00000490/001</t>
  </si>
  <si>
    <t>20190301/PAL/909357/00000490/001</t>
  </si>
  <si>
    <t>0/13032019/8e44fa5af1f048b09736caf0454cdcf5.jpg</t>
  </si>
  <si>
    <t>CORONADO CHAISE</t>
  </si>
  <si>
    <t>LIGHT GREY (ID 909357)</t>
  </si>
  <si>
    <t xml:space="preserve">1. (08-03-2019 17:06:50)
SEE ATTACHED TD
NEW WICKER WILL BE SENT TO THE FACTORY
MAKE SWATCHES OF WICKER (7 PCS, 25 X 25 CM)
</t>
  </si>
  <si>
    <t>d/19032019/1402a61813aa403e8e9dbef6cfb12cdb.jpg</t>
  </si>
  <si>
    <t>4 ISSUED- Code: 20190308/PAL/909357/00000490/004</t>
  </si>
  <si>
    <t>20190308/PAL/909357/00000490/004</t>
  </si>
  <si>
    <t>f/13032019/7fd849296dce4feba018ac93d8b4c6b1.jpg</t>
  </si>
  <si>
    <t>CORONADO DINING ARM CHAIR</t>
  </si>
  <si>
    <t xml:space="preserve">1. (01-03-2019 12:05:23)
SEE ATTACHED TD
NEW WICKER WILL  BE SENT TO THE FACTORY
NEW COLOR OF WOOD IS MADE BY 4U
</t>
  </si>
  <si>
    <t>6/19032019/659159da577f4985b792ef8cc35a4997.jpg</t>
  </si>
  <si>
    <t>2 ISSUED- Code: 20190301/PAL/909357/00000490/002</t>
  </si>
  <si>
    <t>20190301/PAL/909357/00000490/002</t>
  </si>
  <si>
    <t>c/13032019/aa025613a0e4453aab09f8bc6b50702a.jpg</t>
  </si>
  <si>
    <t>CORONADO OCC CHAIR</t>
  </si>
  <si>
    <t xml:space="preserve">1. (08-03-2019 16:57:09)
SEE ATTACHED TD
NEW WICKER WILL BE SENT TO THE FACTORY
MAKE SWATCHES OF WICKER (7 PCS, 25 X 25 CM)
</t>
  </si>
  <si>
    <t>f/19032019/da90fee55f8841da8b2545e867c02b6d.jpg</t>
  </si>
  <si>
    <t>3 ISSUED- Code: 20190308/PAL/909357/00000490/003</t>
  </si>
  <si>
    <t>20190308/PAL/909357/00000490/003</t>
  </si>
  <si>
    <t>c/13032019/3e6158fc995e437987971bb6f075316e.jpg</t>
  </si>
  <si>
    <t>TULUM CHAIR</t>
  </si>
  <si>
    <t>ROUND 2.5MM</t>
  </si>
  <si>
    <t>MIXED GREY (ID 909357)</t>
  </si>
  <si>
    <t xml:space="preserve">1. (08-03-2019 17:31:14)
SEE ATTACHED TD
NEW WICKER WILL BE SENT TO THE FACTORY
MAKE SWATCHES OF WICKER (7 PCS, 25 X 25 CM)
</t>
  </si>
  <si>
    <t>e/19032019/d4e0c46f42e9433f85168797cf087473.jpg</t>
  </si>
  <si>
    <t>6 ISSUED- Code: 20190308/PAL/909357/00000490/006</t>
  </si>
  <si>
    <t>20190308/PAL/909357/00000490/006</t>
  </si>
  <si>
    <t>1/13032019/292ea0489ef54e02b9c506fb2296dd95.jpg</t>
  </si>
  <si>
    <t>TULUM DINING TABLE</t>
  </si>
  <si>
    <t xml:space="preserve">1. (08-03-2019 17:31:13)
SEE ATTACHED TD
</t>
  </si>
  <si>
    <t>1/19032019/727648b6ccc84db2af90243c908509d9.jpg</t>
  </si>
  <si>
    <t>5 ISSUED- Code: 20190308/PAL/909357/00000490/005</t>
  </si>
  <si>
    <t>20190308/PAL/909357/00000490/005</t>
  </si>
  <si>
    <t>4/07032019/0b80f75e22a149069b1b146259260704.jpg</t>
  </si>
  <si>
    <t>BEN-03-VQN</t>
  </si>
  <si>
    <t>2019-04-01</t>
  </si>
  <si>
    <t>BARI CHAISE LONGUE SET 3 PCS (1X BENCH, 1X HOCKER WITH CUSHION 65X65X33CM, 1X HOCKER WITH GLASSPLATE 65X65X33CM)</t>
  </si>
  <si>
    <t xml:space="preserve">1. An Huyen Cao(15-03-2019 12:47:11)
Note one hocker with cushions, the other hocker with glass plate
</t>
  </si>
  <si>
    <t>9/01042019/d54bb28c39884431b6d73bdadda95461.jpg</t>
  </si>
  <si>
    <t>SWITZERLAND</t>
  </si>
  <si>
    <t>1 ISSUED- Code: 20190307/BEN/000780/00000491/001</t>
  </si>
  <si>
    <t>20190307/BEN/000780/00000491/001</t>
  </si>
  <si>
    <t>d/01042019/276f4cd522e04dc7a4048835c12e571d.jpg</t>
  </si>
  <si>
    <t>2 ISSUED- Code: 20190307/PAL/000780/00000491/002</t>
  </si>
  <si>
    <t>20190307/PAL/000780/00000491/002</t>
  </si>
  <si>
    <t>7/08032019/a2e73e65ac5f45a9a22493fc0ec05de5.jpg</t>
  </si>
  <si>
    <t>Kobe lounge set 1075 (table dimensions 100x60x38</t>
  </si>
  <si>
    <t xml:space="preserve">1. (08-03-2019 06:48:35)
Construction to be KD
- Backrest : 
  + To become straight
  + Remove rope from backrest and replace by 2 wooden round bars (as per attachment!)
- Table:
  +  Sample both with glass plate and cushion so client can select best option
- Samples have to be tested quality inhouse before the meeting
</t>
  </si>
  <si>
    <t>b/15042019/d912142e5e354b74b99756371396825b.jpg</t>
  </si>
  <si>
    <t>PI: 42244VN</t>
  </si>
  <si>
    <t>3 ISSUED- Code: 20190308/PAL/001075/00000492/003</t>
  </si>
  <si>
    <t>20190308/PAL/001075/00000492/003</t>
  </si>
  <si>
    <t>3/08032019/3bdb8a5e42ec4e9fb824ae48384afdd7.jpg</t>
  </si>
  <si>
    <t>LENCO PROMO SET 1075</t>
  </si>
  <si>
    <t xml:space="preserve">1. (08-03-2019 07:07:09)
-Set including 2x chair, 1x bench
- No knots on bamboo surface
- Samples haveto be tested quality inhouse before the meeting.
</t>
  </si>
  <si>
    <t>6/16042019/126b5fe5a2cb4cc5856d59f746ffe832.jpg</t>
  </si>
  <si>
    <t>4 ISSUED- Code: 20190308/APO/001075/00000492/004</t>
  </si>
  <si>
    <t>20190308/APO/001075/00000492/004</t>
  </si>
  <si>
    <t>a/25032019/26f694764e454356b0850aa8cbd714d1.jpg</t>
  </si>
  <si>
    <t>LEONARDO CORNER SET (1262)</t>
  </si>
  <si>
    <t>8 CREATED- Code: 20190325/SHR/001075/00000492/008</t>
  </si>
  <si>
    <t>20190325/SHR/001075/00000492/008</t>
  </si>
  <si>
    <t>f/08032019/26b6e5bf33d44226a2de84ec3d12348b.jpg</t>
  </si>
  <si>
    <t>LEONARDO LOUNGE SET 1075</t>
  </si>
  <si>
    <t>POWDER COATING</t>
  </si>
  <si>
    <t xml:space="preserve">1. (08-03-2019 06:11:25)
- 1x chair, 1x table &amp; 1x sofa: wicker round 10mm rattan mixed natural/ Cushion: Royal blended black 
- 1x chair: wicker round 10mm rattan mixed brown/ Cushion: Royal sand
- ALL OVERALL DIMENSIONS TO STAY THE SAME AS FOR JANUARY MEETING, EXCEPT: Overall width of chair to become 89cm, ALL legs to be taller 1 inch compared to before
-Chair width to become 89cm so that 2 charis can be placed inside the bench and packed all together (bench + 2 chairs).
- Samples have to be tested quality inhouse before the meeting
</t>
  </si>
  <si>
    <t>3/15042019/5750078460174ba397e78f46eebfdb50.jpg</t>
  </si>
  <si>
    <t>1 ISSUED- Code: 20190308/PAL/001075/00000492/001</t>
  </si>
  <si>
    <t>20190308/PAL/001075/00000492/001</t>
  </si>
  <si>
    <t>a/08032019/1cf239685e5c41049868db37a26aaf12.jpg</t>
  </si>
  <si>
    <t>Melun set (2x chair, 1x table) 1075</t>
  </si>
  <si>
    <t xml:space="preserve">1. PEPIJN VAN DEN BRINK(08-03-2019 14:09:25)
-Please reinforce Melun set to pass standard US testing requirements
-Make sure set is tested inhouse on quality before deadline.
</t>
  </si>
  <si>
    <t>0/15042019/72a6cc0fc3ae4a089b5f2eb3147d472b.jpg</t>
  </si>
  <si>
    <t>5 ISSUED- Code: 20190308/TEC/001075/00000492/005</t>
  </si>
  <si>
    <t>20190308/TEC/001075/00000492/005</t>
  </si>
  <si>
    <t>5/08032019/8969ca91d0dc4a86966a6e594c120a6c.jpg</t>
  </si>
  <si>
    <t>PALAMOS 2 PC CONRNER SET 1075</t>
  </si>
  <si>
    <t>ROUND 5MM</t>
  </si>
  <si>
    <t xml:space="preserve">1. (08-03-2019 06:23:14)
- Palamos corner (3s right arm, 2s left arm, ottoman)
- No cushion on the side armrest
- Steel frame color to match with wicker rope
- Samples have to be tested quality inhouse before the meeting.
</t>
  </si>
  <si>
    <t>d/03042019/5b5748a2742249a18b24847c7982232b.jpg</t>
  </si>
  <si>
    <t>2 ISSUED- Code: 20190308/BIG/001075/00000492/002</t>
  </si>
  <si>
    <t>20190308/BIG/001075/00000492/002</t>
  </si>
  <si>
    <t>5/11032019/6faf12180eda4991baa4188a794897a7.jpg</t>
  </si>
  <si>
    <t>Palamos dining armchair 1075</t>
  </si>
  <si>
    <t xml:space="preserve">1. PEPIJN VAN DEN BRINK(11-03-2019 10:41:58)
Please sample chair in line with the cornerset (same weaving density as the cornerset).
First finish frame for approval before weaving
Make sure arms have comfortable height when sitting (incl seat cushion)
Make sure angle of back is comfortable, should be comfortable for dining (like venice chair from the past)
Overall dimensions: 
W 45,72 (=18 INCH)
D 61cm
H91cm
Chair to be seat impact tested before sending out.
</t>
  </si>
  <si>
    <t>5/04042019/19d3eebc74d746858a723c9fef8ec729.jpg</t>
  </si>
  <si>
    <t>7 ISSUED- Code: 20190311/BIG/001075/00000492/007</t>
  </si>
  <si>
    <t>20190311/BIG/001075/00000492/007</t>
  </si>
  <si>
    <t>7/11032019/55a3086dc25c465f99c2162a49232226.jpg</t>
  </si>
  <si>
    <t>PALAMOS DINING ARMLESS CHAIR 1075</t>
  </si>
  <si>
    <t>SIZE 18X18 INCH</t>
  </si>
  <si>
    <t xml:space="preserve">1. PEPIJN VAN DEN BRINK(11-03-2019 10:41:58)
Please sample chair in line with the cornerset (same weaving density as the cornerset).
First finish frame for approval before weaving
Braided seat like cornerset
Make sure angle of back is comfortable, should be comfortable for dining (like venice chair from the past)
Overall dimensions: 
W 45,72 (=18 INCH)
D 61cm
H91cm
Chair to be seat impact tested before sending out.
</t>
  </si>
  <si>
    <t>d/04042019/9453f3b987124965ab0d1154a05d9429.jpg</t>
  </si>
  <si>
    <t>6 ISSUED- Code: 20190311/BIG/001075/00000492/006</t>
  </si>
  <si>
    <t>20190311/BIG/001075/00000492/006</t>
  </si>
  <si>
    <t>a/12032019/5c1040d64d25425c88f423605fa46371.jpg</t>
  </si>
  <si>
    <t>2019-03-24</t>
  </si>
  <si>
    <t>BAHIA BENCH (12053)</t>
  </si>
  <si>
    <t xml:space="preserve">1. (12-03-2019 10:20:55)
+ Make overall width 35cm, seat cushion flush with wooden frame (no overhang) &amp; no need leather straps.  
+ Make flat Velcro as Barcelona sample meeting on March 10th, 2019 (sample request #487).
+ Make leg &amp; stretcher round profile, construction should allow hidden hardware.
</t>
  </si>
  <si>
    <t>8/14052019/b73d7452005c4e01bc7ed39426590e7c.jpg</t>
  </si>
  <si>
    <t>2019-03-27</t>
  </si>
  <si>
    <t>5 FINISHED- Code: 20190312/ROS/0012053/00000493/005</t>
  </si>
  <si>
    <t>20190312/ROS/0012053/00000493/005</t>
  </si>
  <si>
    <t>9/13032019/0051df70cf90462fb14a15ec0b45432f.jpg</t>
  </si>
  <si>
    <t>BARCELONA LEFT ARM 2S (12053)</t>
  </si>
  <si>
    <t>SEE REMARK</t>
  </si>
  <si>
    <t>SEE REMAKR</t>
  </si>
  <si>
    <t xml:space="preserve">1. (12-03-2019 09:35:13)
+ Make 2S bench with one armrest. Seat cushion should be softer &amp; stuffing neatly. Refer thickness &amp; soft level like revised Honolulu (will send ROS &amp; QP cushion sample).
+ Flat piping as sample meeting on March 10th, 2019 (sample request #487).
+ Ensure qty of back cushions are enough, exclude loosing pillow.
</t>
  </si>
  <si>
    <t>9/14052019/73b518f0ecac4c3e813c527a6e181fd7.jpg</t>
  </si>
  <si>
    <t>46.5</t>
  </si>
  <si>
    <t>2 FINISHED- Code: 20190312/ROS/0012053/00000493/002</t>
  </si>
  <si>
    <t>20190312/ROS/0012053/00000493/002</t>
  </si>
  <si>
    <t>7/25042019/2363fc0306b74d0a9ebc18fcd6c0c863.jpg</t>
  </si>
  <si>
    <t>2019-04-28</t>
  </si>
  <si>
    <t>STANDARD, FLAT PIPING</t>
  </si>
  <si>
    <t xml:space="preserve">1. (25-04-2019 07:20:06)
+ FOAM D20/50, SEAT CUSHION THICKNESS 10CM. 
+ CONSTRUCTION, DESIGN SAME AS LEFT ARM &amp; RIGHT ARM BENCH.
</t>
  </si>
  <si>
    <t>5/14052019/b4acf925fe1c483e8bb5c25e059bc98c.jpg</t>
  </si>
  <si>
    <t>29 FINISHED- Code: 20190425/ZWE/0012053/00000493/029</t>
  </si>
  <si>
    <t>20190425/ZWE/0012053/00000493/029</t>
  </si>
  <si>
    <t>7/13032019/f7ea485902ce40308151ff2ae8416690.jpg</t>
  </si>
  <si>
    <t xml:space="preserve">BARCELONA RIGHT ARM 3S  (12053)</t>
  </si>
  <si>
    <t xml:space="preserve">1. (12-03-2019 09:31:18)
+ Make 3S bench with 2 armrest. Seat cushion should be softer &amp; stuffing neatly. Refer thickness &amp; soft level like revised Honolulu (will send ROS &amp; QP cushion sample).
+ Flat piping as sample meeting on March 10, 2019 (sample request #487).
+ Ensure quantity of back cushion is enough with sample, exclude loosing pillow.
</t>
  </si>
  <si>
    <t>3/14052019/06f8246912e744209083bc982430e437.jpg</t>
  </si>
  <si>
    <t>207</t>
  </si>
  <si>
    <t>1 FINISHED- Code: 20190312/ROS/0012053/00000493/001</t>
  </si>
  <si>
    <t>20190312/ROS/0012053/00000493/001</t>
  </si>
  <si>
    <t>9/12032019/1b89afcf5a404ec3881eb1b80a2c4825.jpg</t>
  </si>
  <si>
    <t>BERN DINING CHAIR (12053)</t>
  </si>
  <si>
    <t>ROUND PP</t>
  </si>
  <si>
    <t>SEE REMARKS</t>
  </si>
  <si>
    <t xml:space="preserve">1. (12-03-2019 11:33:32)
+ Construction same as sample meeting on March 10th, 2019, rope color will be informed later. 
+ Ensure construcion will pass U.S testing.
+ COLORWAYS:
- WOOD LIGHT TEAK LOOK &amp; ROPE 18-0201TPG (CASTLEROCK): 2PCS
- WOOD LIGHT TEAK LOOK &amp; ROPE 18-0201TPG (CASTLEROCK): 2PCS
</t>
  </si>
  <si>
    <t>3/19042019/5e9b9ebd371a413484283899db4e4ad9.jpg</t>
  </si>
  <si>
    <t>12 ISSUED- Code: 20190312/PAL/0012053/00000493/012</t>
  </si>
  <si>
    <t>20190312/PAL/0012053/00000493/012</t>
  </si>
  <si>
    <t>1/12032019/1640443bb8314ed391dd653252880683.jpg</t>
  </si>
  <si>
    <t>CARPIANO COFFEE TABLE 12053 DIA 80 X H42CM (12053)</t>
  </si>
  <si>
    <t xml:space="preserve">1. (12-03-2019 12:10:27)
+ Tbl top concrete look same Copenhagen / Riozzo 12053.
+ Ensure construction qualifies U.S testing.
</t>
  </si>
  <si>
    <t>9/27032019/dabc2b582c1e4757b68fb3ec3320f2d7.jpg</t>
  </si>
  <si>
    <t>18 ISSUED- Code: 20190312/APH/0012053/00000493/018</t>
  </si>
  <si>
    <t>20190312/APH/0012053/00000493/018</t>
  </si>
  <si>
    <t>b/12032019/1d66e2f9b8764499816be1700f39f2b8.jpg</t>
  </si>
  <si>
    <t>CARPIANO SIDE TABLE DIA. 50 x H50CM (12053)</t>
  </si>
  <si>
    <t xml:space="preserve">1. (12-03-2019 12:06:47)
+ Tbl top concrete look same Copenhagen / Riozzo 12053.
+ Ensure construction qualifies U.S testing.
</t>
  </si>
  <si>
    <t>2/27032019/566475ce9d9e4ebc8eab5b8f3cc14aa7.jpg</t>
  </si>
  <si>
    <t>17 ISSUED- Code: 20190312/APH/0012053/00000493/017</t>
  </si>
  <si>
    <t>20190312/APH/0012053/00000493/017</t>
  </si>
  <si>
    <t>e/03042019/ee795466efb346d5b91cd77fc7e12ac0.jpg</t>
  </si>
  <si>
    <t>DANAO DN CHAIR 12053</t>
  </si>
  <si>
    <t>PP ROUND 4.5MM</t>
  </si>
  <si>
    <t>5CM THICK, NO PIPING</t>
  </si>
  <si>
    <t xml:space="preserve">1. (03-04-2019 10:45:25)
+ FOLLOW RENDER &amp; TD ATTACHED. IF NEED TO IMPROVE CONSTRUCTION FOR U.S TESTING STANDARD, PLEASE REVERT BACK.
+ WEAVING PATTERN LIKE ID 705.
+ CONSTRUCTION TO QUALIFY U.S TESTING STANDARD BEFORE SENDING (LEG STRENGTH 75LBS, SEAT IMPACT 225LBS).
</t>
  </si>
  <si>
    <t>9/21042019/f14527e187e04c2499e829a9bf5d5144.jpg</t>
  </si>
  <si>
    <t>24 ISSUED- Code: 20190403/BIG/0012053/00000493/024</t>
  </si>
  <si>
    <t>20190403/BIG/0012053/00000493/024</t>
  </si>
  <si>
    <t>e/03042019/11807262071c44c39e25ab5af368679a.jpg</t>
  </si>
  <si>
    <t>DANAO LOUNGE CHAIR 12053</t>
  </si>
  <si>
    <t>8CM THICK, NO PIPING</t>
  </si>
  <si>
    <t>NO PIPING, STANDARD</t>
  </si>
  <si>
    <t xml:space="preserve">1. (03-04-2019 10:45:25)
+ FOLLOW RENDER &amp; TD ATTACHED. CONSTRUCTION IF NEED TO IMPROVE FOR U.S TESTING STANDARD, PLEASE REVERT BACK.
+ WEAVING PATTERN LIKE ID 705.
+ CONSTRUCTION TO QUALIFY U.S TESTING STANDARD BEFORE SENDING (SEAT IMPACT 225LBS, LEG STRENGTH 75LBS).
</t>
  </si>
  <si>
    <t>c/21042019/0038e060a5f341ffa449f1daf8117811.jpg</t>
  </si>
  <si>
    <t>23 ISSUED- Code: 20190403/BIG/0012053/00000493/023</t>
  </si>
  <si>
    <t>20190403/BIG/0012053/00000493/023</t>
  </si>
  <si>
    <t>7/12032019/ec431a75009d4a9b811c44cbbcf2b386.jpg</t>
  </si>
  <si>
    <t>SEE THE INTERNAL REMARK</t>
  </si>
  <si>
    <t xml:space="preserve">1. (12-03-2019 11:00:45)
+ Seat high without cushion 21cm, construction should allow hidden hardware.
+ Seat cushion thick 18cm, refer foam softness like revised Honolulu (will send ROS &amp; QP cushion sample).
</t>
  </si>
  <si>
    <t>2/14052019/c48732bfb30b4b07bfb9398a215f20e8.jpg</t>
  </si>
  <si>
    <t>166.5</t>
  </si>
  <si>
    <t>7 FINISHED- Code: 20190312/ROS/0012053/00000493/007</t>
  </si>
  <si>
    <t>20190312/ROS/0012053/00000493/007</t>
  </si>
  <si>
    <t>0/12032019/0d7c0406a47447e2bb0eb2ca61f9e07e.jpg</t>
  </si>
  <si>
    <t xml:space="preserve">1. (12-03-2019 10:54:45)
+ Seat high without cushion 21cm, construction should allow hidden hardware.
+ Seat cushion thick 18cm, refer foam softness like revised Honolulu (will send ROS &amp; QP cushion sample).
</t>
  </si>
  <si>
    <t>b/14052019/551fc94da7f648f8a2af97f09a8b0aa9.jpg</t>
  </si>
  <si>
    <t>6 FINISHED- Code: 20190312/ROS/0012053/00000493/006</t>
  </si>
  <si>
    <t>20190312/ROS/0012053/00000493/006</t>
  </si>
  <si>
    <t>3/12032019/aed41252c3ea49bf81d8c928010d6820.jpg</t>
  </si>
  <si>
    <t>KENT COFFEE TABLE DIA. 90XH30 CM (12053)</t>
  </si>
  <si>
    <t xml:space="preserve">1. (12-03-2019 11:06:55)
+ Apron thickness of table top to be 5cm (same showroom sample).
</t>
  </si>
  <si>
    <t>f/14052019/e4ecd6c13a1d42aa9a8dd1f056293250.jpg</t>
  </si>
  <si>
    <t>8 FINISHED- Code: 20190312/ROS/0012053/00000493/008</t>
  </si>
  <si>
    <t>20190312/ROS/0012053/00000493/008</t>
  </si>
  <si>
    <t>1/03042019/eb37b6eadb524b7f9453fbd22321a4ab.jpg</t>
  </si>
  <si>
    <t>LAGOS DN CHAIR 12053</t>
  </si>
  <si>
    <t>MATCH WICKER COLOR</t>
  </si>
  <si>
    <t xml:space="preserve">1. (03-04-2019 10:21:25)
+ FOLLOW RENDER ATTACHED. 
+ NO BACK CUSHION, SEAT CUSHION THICKNESS 8CM. 
+ CONSTRUCTION TO QUALIFY U.S TESTING (SEAT IMPACT 225LBS, LEG STRENGTH 75LBS) BEFORE SENDING.
</t>
  </si>
  <si>
    <t>d/29052019/b5435c04c0be4652a79c2ca639f7f321.jpg</t>
  </si>
  <si>
    <t>22 ISSUED- Code: 20190403/APO/0012053/00000493/022</t>
  </si>
  <si>
    <t>20190403/APO/0012053/00000493/022</t>
  </si>
  <si>
    <t>2/16042019/ea7b6687e5724fe38ac6b039d1e894d2.jpg</t>
  </si>
  <si>
    <t>2019-04-23</t>
  </si>
  <si>
    <t>LANGON LOUNGE BENCH 3S 12053</t>
  </si>
  <si>
    <t>NO PIPING, SAME THICKNESS LIKE MIAMI</t>
  </si>
  <si>
    <t xml:space="preserve">1. (16-04-2019 13:34:50)
+ OVERALL DIM. SAME AS SAMPLE MADE FOR 705, APPLY CONSTRUCTION FOR U.S MARKET. 
+ BACK CUSHION THICKNESS FOLLOW MIAMI, NO PIPING.
</t>
  </si>
  <si>
    <t>4/13052019/70ac4293555c478bb72e1037c06c63ae.jpg</t>
  </si>
  <si>
    <t>28 ISSUED- Code: 20190416/PAL/0012053/00000493/028</t>
  </si>
  <si>
    <t>20190416/PAL/0012053/00000493/028</t>
  </si>
  <si>
    <t>7/13032019/cc209b4d65b94a3297d63a12c461cc03.jpg</t>
  </si>
  <si>
    <t>LENCO LOUNGE SET (BENCH &amp; CHAIR) (12053)</t>
  </si>
  <si>
    <t xml:space="preserve">1. (12-03-2019 12:25:01)
+ Make 2 benches, 3 chairs (sending 1 bench &amp; 2 chairs, retain 1 bench &amp; 1 chair).
+ Back cushion high same as Miami, stuffing 100% poly fiber (no foam pad). 
+ Refer seat cushion soft level like revised Honolulu (will provide sample), seat cushion no overhang. 
+ All cushions should be stretched &amp; neatly looking, fully closed non woven fabric layer.
+ Using zipper color matching royal stone grey fabric (same ID 1075).
</t>
  </si>
  <si>
    <t>f/25032019/99e3f968560b4a32857a9c808e97e7a5.jpg</t>
  </si>
  <si>
    <t>84/84</t>
  </si>
  <si>
    <t>8/15.5</t>
  </si>
  <si>
    <t>19 ISSUED- Code: 20190312/APO/0012053/00000493/019</t>
  </si>
  <si>
    <t>20190312/APO/0012053/00000493/019</t>
  </si>
  <si>
    <t>9/12032019/a20c37d43f874be48387748bcc3227b3.jpg</t>
  </si>
  <si>
    <t>LOS ANGELES LOUNGE CORNER SET (12053)</t>
  </si>
  <si>
    <t xml:space="preserve">1. (12-03-2019 11:51:13)
+ Make full corner set. 
+ Design &amp; dimension same as ID 1263, but ensure construction qualifies U.S testing.
</t>
  </si>
  <si>
    <t>8/19042019/cd6d1a08898e4deab34a5738f15fc688.jpg</t>
  </si>
  <si>
    <t>14 ISSUED- Code: 20190312/PAL/0012053/00000493/014</t>
  </si>
  <si>
    <t>20190312/PAL/0012053/00000493/014</t>
  </si>
  <si>
    <t>0/12032019/adea019bf5b6401c8ccef9514777ebbc.jpg</t>
  </si>
  <si>
    <t>LOS ANGELES LOUNGE CORNER TABLE (12053)</t>
  </si>
  <si>
    <t xml:space="preserve">1. (12-03-2019 11:59:53)
Dimension &amp; design same ID 1263, but ensure construction qualifies U.S testing.
</t>
  </si>
  <si>
    <t>16 ISSUED- Code: 20190312/PAL/0012053/00000493/016</t>
  </si>
  <si>
    <t>20190312/PAL/0012053/00000493/016</t>
  </si>
  <si>
    <t>3/12032019/721ec64f4a1c42fc84292adb3ca3c2cd.jpg</t>
  </si>
  <si>
    <t>MELBOURNE DINING BENCH L40 X W180 X H45.5 CM (12053)</t>
  </si>
  <si>
    <t>18-0201TPG (CASTLEROCK)</t>
  </si>
  <si>
    <t xml:space="preserve">1. (12-03-2019 11:23:56)
Make size &amp; construction same as ID 1282, color will be informed later.
</t>
  </si>
  <si>
    <t>0/13052019/f2575e3e00dc4751bc38d48ea107a41b.jpg</t>
  </si>
  <si>
    <t>10 ISSUED- Code: 20190312/PAL/0012053/00000493/010</t>
  </si>
  <si>
    <t>20190312/PAL/0012053/00000493/010</t>
  </si>
  <si>
    <t>e/12032019/eb45aea04e0b48b8a449f590f5ef9a40.jpg</t>
  </si>
  <si>
    <t>MELBOURNE DINING TABLE L100 X W210 X H78CM (12053)</t>
  </si>
  <si>
    <t xml:space="preserve">1. (12-03-2019 11:17:27)
+ Make size &amp; construction same ID 1282, color will be informed later.
</t>
  </si>
  <si>
    <t>e/13052019/0650b9287a0b4eb685478248a4a98627.jpg</t>
  </si>
  <si>
    <t>9 ISSUED- Code: 20190312/PAL/0012053/00000493/009</t>
  </si>
  <si>
    <t>20190312/PAL/0012053/00000493/009</t>
  </si>
  <si>
    <t>f/12032019/405c7852c95b44918d032311124045d6.jpg</t>
  </si>
  <si>
    <t>MELFORT COFFEE TABLE DIA. 80XH40 CM (12053)</t>
  </si>
  <si>
    <t xml:space="preserve">1. (12-03-2019 10:12:08)
+ Having small hole in the center of tbl top.
+ Ensure the rear edge of table top is properly smooth, rough is NOT acceptable.
</t>
  </si>
  <si>
    <t>6/14052019/6963ae0c6eb743678660c580b6133ed7.jpg</t>
  </si>
  <si>
    <t>4 FINISHED- Code: 20190312/ROS/0012053/00000493/004</t>
  </si>
  <si>
    <t>20190312/ROS/0012053/00000493/004</t>
  </si>
  <si>
    <t>0/12032019/45c3a7d46af94b6bbd62dc7df384f464.jpg</t>
  </si>
  <si>
    <t>MELFORT SIDE TABLE DIA. 50XH50 CM (12053)</t>
  </si>
  <si>
    <t xml:space="preserve">1. (12-03-2019 10:07:18)
+ Having small hole in the center of tbl top.
+ Ensure the rear edge of table top is properly smooth, rough is NOT acceptable.
</t>
  </si>
  <si>
    <t>1/14052019/d10ba94baf4245c1bb79c0e1b5a4a1ea.jpg</t>
  </si>
  <si>
    <t>3.3</t>
  </si>
  <si>
    <t>3 FINISHED- Code: 20190312/ROS/0012053/00000493/003</t>
  </si>
  <si>
    <t>20190312/ROS/0012053/00000493/003</t>
  </si>
  <si>
    <t>o/09042019/232bb08dbea14593ab6e15b5c3237cb0.JPEG</t>
  </si>
  <si>
    <t>2019-04-17</t>
  </si>
  <si>
    <t>NEW RATTAN LOUNGE CHAIR (AS 1036)</t>
  </si>
  <si>
    <t>ROYAL SAND 240</t>
  </si>
  <si>
    <t xml:space="preserve">1. (09-04-2019 05:46:16)
+ DESIGN LIKELY ID 1036
+ BACK CUSHION SHOULD NOT VERY THICK LIKE ID 1036
+ SAMPLE TO BE PASSED US TESTING STANDARD BEFORE SENDING
</t>
  </si>
  <si>
    <t>2/21042019/d63348cd16b34b87ac95f21d411a6bd9.jpg</t>
  </si>
  <si>
    <t>26 ISSUED- Code: 20190409/PAL/0012053/00000493/026</t>
  </si>
  <si>
    <t>20190409/PAL/0012053/00000493/026</t>
  </si>
  <si>
    <t>o/09042019/04b6ece4eb194ff188db244a90de3900.JPEG</t>
  </si>
  <si>
    <t>NEW SALVADOR LOUNGE CHAIR 1071</t>
  </si>
  <si>
    <t>WHITE LIKE SAMPLE 1071</t>
  </si>
  <si>
    <t xml:space="preserve">1. (09-04-2019 05:46:16)
+ HAVE BACK CUSHION
+ MAKE LIGHTER ALU FRAME ON BACKREST &amp; REDUCE NUMBER OF VERTICAL PIPES FOR COST SAVINGS (AS DISCUSSED WITH CONNOR).
+ SAMPLE TO BE PASSED US TESTING STANDARD BEFORE SENDING
</t>
  </si>
  <si>
    <t>o/22042019/f12f7513df46431ea8652d93db70fe11.JPEG</t>
  </si>
  <si>
    <t>25 ISSUED- Code: 20190409/PAL/0012053/00000493/025</t>
  </si>
  <si>
    <t>20190409/PAL/0012053/00000493/025</t>
  </si>
  <si>
    <t>1/12032019/1df90adb271141a2812be7179ba7e21e.jpg</t>
  </si>
  <si>
    <t>PARA BENCH (12053)</t>
  </si>
  <si>
    <t xml:space="preserve">1. (12-03-2019 11:28:32)
Dimension &amp; construction same as ID 1071, but changing legs &amp; stretchers round profile.
</t>
  </si>
  <si>
    <t>c/17042019/71c643aab32643d7bf6678bd59477eda.jpg</t>
  </si>
  <si>
    <t>11 ISSUED- Code: 20190312/PAL/0012053/00000493/011</t>
  </si>
  <si>
    <t>20190312/PAL/0012053/00000493/011</t>
  </si>
  <si>
    <t>d/12032019/9e010192450f4eb6b665e45c341e2df7.jpg</t>
  </si>
  <si>
    <t>ROTAN ROUND DINING TABLE DIA. 138 X H76CM (12053)</t>
  </si>
  <si>
    <t>ROUND, FLAT</t>
  </si>
  <si>
    <t>e/17042019/cb283a01a01544828cb4a834cdc57d51.jpg</t>
  </si>
  <si>
    <t>13 ISSUED- Code: 20190312/PAL/0012053/00000493/013</t>
  </si>
  <si>
    <t>20190312/PAL/0012053/00000493/013</t>
  </si>
  <si>
    <t>c/03042019/0f0d4ba0dfd44511b7f2841fa725c1d4.jpg</t>
  </si>
  <si>
    <t>SAFARAI LOUNGE CORNER SET 12053 (1X LEFT, 1X RIGHT, 1X CORNER, 1x OTTOMAN)</t>
  </si>
  <si>
    <t>TWIST BANANA LEAF</t>
  </si>
  <si>
    <t xml:space="preserve">1. (03-04-2019 10:21:25)
+ FOLLOW MEETING RECAP ATTACHED, INCLUDE CUSHIONS FOR THE ARMREST.
+ SAMPLE MUST PASS U.S STANDARD (SEAT IMPACT 225LBS, LEG STRENGTH 75LBS) BEFORE SENDING.
+ DEVELOP ALSO LOUNGE BENCH 3S (WITH 2 ARMS) &amp; LOUNGE CHAIR - 2PCS SAMPLE FOR EACH DESIGN.
</t>
  </si>
  <si>
    <t>c/25042019/29963c030efd4f089fd724e871b9c852.jpg</t>
  </si>
  <si>
    <t>21 ISSUED- Code: 20190403/BIG/0012053/00000493/021</t>
  </si>
  <si>
    <t>20190403/BIG/0012053/00000493/021</t>
  </si>
  <si>
    <t>5/10042019/ed3ddc0544c446eb88525b88848bbca2.jpg</t>
  </si>
  <si>
    <t>SANT MIGUEL DN CHAIR 12053</t>
  </si>
  <si>
    <t xml:space="preserve">1. (10-04-2019 11:05:12)
REFER RENDER &amp; TD ATTACHED, CONSTRUCTION TEST MUST BE DONE BEFORE SENDING SAMPLE OUT.
</t>
  </si>
  <si>
    <t>8/13052019/24c8d336e51d4fef958810d30b955baa.jpg</t>
  </si>
  <si>
    <t>27 ISSUED- Code: 20190410/PAL/0012053/00000493/027</t>
  </si>
  <si>
    <t>20190410/PAL/0012053/00000493/027</t>
  </si>
  <si>
    <t>d/12032019/c30fb96288dd4611967fd85663c08a3a.jpg</t>
  </si>
  <si>
    <t>TAHITI LOUNGE BENCH (12053)</t>
  </si>
  <si>
    <t xml:space="preserve">1. (12-03-2019 12:33:18)
+ Sample in showroom the seat is very much bent, make it same Tahiti lounge chair (attached pic.).
+ Ensure sample pass U.S testing.
</t>
  </si>
  <si>
    <t>f/29052019/49ec7c73d5f8489b8eb7c17f3a4e3dd5.jpg</t>
  </si>
  <si>
    <t>20 ISSUED- Code: 20190312/APO/0012053/00000493/020</t>
  </si>
  <si>
    <t>20190312/APO/0012053/00000493/020</t>
  </si>
  <si>
    <t>4/12032019/53095dc25b61402191e350b9b6719922.jpg</t>
  </si>
  <si>
    <t>TAHITI LOUNGE CHAIR (12053)</t>
  </si>
  <si>
    <t xml:space="preserve">1. (12-03-2019 12:38:17)
+ Ensure sample pass U.S testing.
</t>
  </si>
  <si>
    <t>e/29052019/e3205fb5399c48cf8ee6904d7ade02f9.jpg</t>
  </si>
  <si>
    <t>21 ISSUED- Code: 20190312/APO/0012053/00000493/021</t>
  </si>
  <si>
    <t>20190312/APO/0012053/00000493/021</t>
  </si>
  <si>
    <t>9/12032019/a3cf4b9f32ce4e2faa0e0bbd4d728cb5.jpg</t>
  </si>
  <si>
    <t>2019-03-21</t>
  </si>
  <si>
    <t>BASKET LOUNGE SET 2PCS, 1X LOUNGE CHAIR + 1X LOUNGE BENCH</t>
  </si>
  <si>
    <t>POWDER COATED CHARCOAL</t>
  </si>
  <si>
    <t xml:space="preserve">3. (24-04-2019 17:26:16)
@mr Tu,
Can we make frame in the back more round? for both chair and bench?
Like in attached filess
2. (17-04-2019 12:30:44)
PLEASE MAKE IN ALU
1. Nicole Poldervaart(12-03-2019 14:53:21)
BASKET LOUNGE  BENCH 
-ADD 20CM IN LENGTH OF BENCH, KEEP SHAPE AS IT IS.
-DO NOT ADD A CENTER LEG, MAKE CONSTRUCTION STRONG ENOUGH.
BASKET LOUNGE CHAIR
-TAKE OUT 20CM IN TOTAL LENGTH
-DO NOT CHANGE SHAPE OF CHAIR
-TAKE 20CM OUT OF TOTAL CHAIR  -  PIC BASKET LOUNGE 4
</t>
  </si>
  <si>
    <t>d/02052019/556260eb5768449abd78be002a823652.jpg</t>
  </si>
  <si>
    <t>2019-04-30</t>
  </si>
  <si>
    <t>SHOWROOM VISIT KEES SMIT</t>
  </si>
  <si>
    <t>1 DATA FINISHED- Code: 20190312/PAL/001200/00000494/001</t>
  </si>
  <si>
    <t>20190312/PAL/001200/00000494/001</t>
  </si>
  <si>
    <t>0/04102018/43ddaf0cfb384a53bbfe8684cf317129.jpg</t>
  </si>
  <si>
    <t>FELLINI DINING CHAIR</t>
  </si>
  <si>
    <t>GREEN</t>
  </si>
  <si>
    <t xml:space="preserve">2. (24-04-2019 17:28:32)
@mr Ha,
I noticed we miss the color black in BURLY wicker for this chair.
We need to make new chair with correct BURLY combination; green/grey/black
1. Nicole Poldervaart(12-03-2019 14:53:22)
PAY ATTENTION TO DETAIL, 1 GREY LINE MISSING IN ARMREST TOP.
MAKE SAMPLE OF CHAIR USING GREEN WICKER LINE  - AS PICTURE GREEN WICKER
</t>
  </si>
  <si>
    <t>d/10052019/f566503be2e54a19b3e5e5aaf7ccaba2.jpg</t>
  </si>
  <si>
    <t>2 DATA FINISHED- Code: 20190312/BIG/001200/00000494/002</t>
  </si>
  <si>
    <t>20190312/BIG/001200/00000494/002</t>
  </si>
  <si>
    <t>a/12032019/a9cb7c8179cb4eb69808c48227c1bb87.jpg</t>
  </si>
  <si>
    <t>MILAAN DINING CHAIR (1200)</t>
  </si>
  <si>
    <t>STANDARD STONE GREY 1338 (1200)</t>
  </si>
  <si>
    <t xml:space="preserve">1. (19-04-2019 11:01:57)
This looks great guys, please sample send to SHR!
</t>
  </si>
  <si>
    <t>a/17052019/168785fa07d7472baa06f596a0304d88.jpg</t>
  </si>
  <si>
    <t>3 FINISHED- Code: 20190312/APO/001200/00000494/003</t>
  </si>
  <si>
    <t>20190312/APO/001200/00000494/003</t>
  </si>
  <si>
    <t>3/14032019/d3fbf34de1654994b7f9c9b9895bb607.jpg</t>
  </si>
  <si>
    <t>Danao chair 1071</t>
  </si>
  <si>
    <t>Rope pp</t>
  </si>
  <si>
    <t>Round 4,5mm</t>
  </si>
  <si>
    <t>anthracite</t>
  </si>
  <si>
    <t>Royal anthracite</t>
  </si>
  <si>
    <t xml:space="preserve">1. PEPIJN VAN DEN BRINK(14-03-2019 11:22:25)
Attached sample is being sent from Rooftop to BIG (1st attachment)
Remove the weave and apply same weave pattern as for 705 (2nd attachment)
Wooden underframe to be reworked. Last time it failed the tests since the used tenons were too big + not enough glue being used. Underframe needs to be reviewed carefully and impact tested before sending out sample to showroom.
Review failed test on underframe through last attachment
</t>
  </si>
  <si>
    <t>o/02042019/82e685c0690049e583df4074bf98e2e5.JPEG</t>
  </si>
  <si>
    <t>2019-04-05</t>
  </si>
  <si>
    <t>6 FINISHED- Code: 20190314/BIG/001071/00000495/006</t>
  </si>
  <si>
    <t>20190314/BIG/001071/00000495/006</t>
  </si>
  <si>
    <t>d/13032019/6364144a3e5c4c0bb5c0d2915b7a8c6f.jpg</t>
  </si>
  <si>
    <t>2019-04-02</t>
  </si>
  <si>
    <t>ACACIA TEAK LOOK</t>
  </si>
  <si>
    <t>loom</t>
  </si>
  <si>
    <t xml:space="preserve">1. PEPIJN VAN DEN BRINK(13-03-2019 14:43:12)
Have reworked samples available for next meeting.
</t>
  </si>
  <si>
    <t>9/01042019/c3c89b8e7fe0438b868ce62cdbddf0bb.jpg</t>
  </si>
  <si>
    <t>5 FINISHED- Code: 20190313/PAL/001071/00000495/005</t>
  </si>
  <si>
    <t>20190313/PAL/001071/00000495/005</t>
  </si>
  <si>
    <t>6/24092016/1f71b62af74549379d71dd7494c3f5bd.jpg</t>
  </si>
  <si>
    <t>DELHI LOUNGE CHAIR (1071)</t>
  </si>
  <si>
    <t xml:space="preserve">1. PEPIJN VAN DEN BRINK(25-03-2019 12:13:35)
CREATE 1X SAMPLE WITH FLAT 25MM WICKER LIKE CLIENT ORDERED BEFORE.
</t>
  </si>
  <si>
    <t>1/27032019/f355883c50e9448c927762bca164f484.jpg</t>
  </si>
  <si>
    <t>13 ISSUED- Code: 20190325/PAL/001071/00000495/013</t>
  </si>
  <si>
    <t>20190325/PAL/001071/00000495/013</t>
  </si>
  <si>
    <t>0/18032019/ca5ee87fc1f64f3ea11fd45bc2fd8994.jpg</t>
  </si>
  <si>
    <t>DIGOS DN CHAIR (1071)</t>
  </si>
  <si>
    <t>WICKER ROP</t>
  </si>
  <si>
    <t>ROUND 5MM TWIST</t>
  </si>
  <si>
    <t xml:space="preserve">1. (18-03-2019 05:13:54)
+ DESIGN / SHAPE / MATERIAL SAME SAMPLE REQUEST #477, WICKER MADE IN-HOSUE BY APO. 
+ IMPROVE CONSTRUCTION TO QUALITY TESTING AS REVIEWED WITH CONNOR.
</t>
  </si>
  <si>
    <t>7/01042019/93f2687ce89f466b938276d75ed336b9.jpg</t>
  </si>
  <si>
    <t>8 ISSUED- Code: 20190318/APO/001071/00000495/008</t>
  </si>
  <si>
    <t>20190318/APO/001071/00000495/008</t>
  </si>
  <si>
    <t>2019-04-03</t>
  </si>
  <si>
    <t>Lenco lounge chair 1071</t>
  </si>
  <si>
    <t xml:space="preserve">1. PEPIJN VAN DEN BRINK(28-03-2019 11:50:31)
-Please prepare 1x chair with required updates after review in US. Note to include cushion for the meeting. 
-Also send out the initial retained chair as shipped to the US so that we can compare both versions in the meeting.
-After increasing back legs with 1,75 inch, overall H of the chair will only become +1 inch compared to previous sample. This means that height of the seatpart solely becomes -0,75 inch.
</t>
  </si>
  <si>
    <t>4/09042019/0faf5c99f6d4433c8a5305882db95053.jpg</t>
  </si>
  <si>
    <t>14 ISSUED- Code: 20190328/APO/001071/00000495/014</t>
  </si>
  <si>
    <t>20190328/APO/001071/00000495/014</t>
  </si>
  <si>
    <t>e/18032019/997a41be9bb646aa84d33a8e2d2dd899.jpg</t>
  </si>
  <si>
    <t>MALABON DN CHAIR (1071)</t>
  </si>
  <si>
    <t xml:space="preserve">1. (18-03-2019 05:13:54)
+ DESIGN / SHAPE / MATERIALS SAME ORDER REQUEST #477, WICKER MADE IN-HOUSE BY APO. 
+ IMPROVE CONSTRUCTION BETTER TO QUALIFY TESTING AS REVIEWED WITH CONNOR.
</t>
  </si>
  <si>
    <t>5/02042019/6b3fb7b813b5456d8cb0a3dfe8a01883.jpg</t>
  </si>
  <si>
    <t>9 ISSUED- Code: 20190318/APO/001071/00000495/009</t>
  </si>
  <si>
    <t>20190318/APO/001071/00000495/009</t>
  </si>
  <si>
    <t>1/13032019/56617f35398a4b5c8961cbc50407a795.jpg</t>
  </si>
  <si>
    <t>MELTON 1071</t>
  </si>
  <si>
    <t xml:space="preserve">1. PEPIJN VAN DEN BRINK(13-03-2019 14:39:09)
SAMPLES FINISHED, TO BE DISPLAYED DURING THE MEETING.
</t>
  </si>
  <si>
    <t>4 CREATED- Code: 20190313/XXX/001071/00000495/004</t>
  </si>
  <si>
    <t>20190313/XXX/001071/00000495/004</t>
  </si>
  <si>
    <t>8/13032019/64e1d10bd2db40be9de86debec31efe4.jpg</t>
  </si>
  <si>
    <t>NEW HONOLULU SET 705</t>
  </si>
  <si>
    <t xml:space="preserve">1. PEPIJN VAN DEN BRINK(13-03-2019 14:39:09)
Use available 705 samples for 1071 meeting
Follow up the remarks for Honolulu the same as for 705 2nd meeting (see attachment)
Samples to stay in showroom until afternoon 07-04!. After that, they can be loaded onto sample container for 705.
</t>
  </si>
  <si>
    <t>1 ISSUED- Code: 20190313/PAL/001071/00000495/001</t>
  </si>
  <si>
    <t>20190313/PAL/001071/00000495/001</t>
  </si>
  <si>
    <t>d/29032019/6b0bd1a97aed427ab338e6b621f753c2.jpg</t>
  </si>
  <si>
    <t>NEW SALVADOR LOUNGE CHAIR (1071)</t>
  </si>
  <si>
    <t>ROUND DIA. 25MM</t>
  </si>
  <si>
    <t>OYSTER (LIKE APO)</t>
  </si>
  <si>
    <t>8CM THICK</t>
  </si>
  <si>
    <t xml:space="preserve">1. (21-03-2019 05:59:14)
+ REFER TD ATTACHED, CHANGE SQUARE ALU 25X25MM TO ROUND ALU DIA. 25MM, WHITE TEXTILENE SEAT FRAME.
+ ALU FRAME TO BE OYSTER (LIKE BADOCA DN CHAIR / APO), ALU SWATCH PROVIDED TO PAL.
+ MEANTIME MAKE 8PCS ALU SWATCH GREEN / BLUE COLOR PANTONE 566C, GLOSS 20%, SIZE 30.5CM LONG.
+ ONLY NEED SEAT CUSHION (NO NEED BACK CUSHION).
</t>
  </si>
  <si>
    <t>4/04042019/7596e082df6c4cd4b832026144487afc.jpg</t>
  </si>
  <si>
    <t>10 ISSUED- Code: 20190321/PAL/001071/00000495/010</t>
  </si>
  <si>
    <t>20190321/PAL/001071/00000495/010</t>
  </si>
  <si>
    <t>e/13032019/03ff8c50b30f4f2999a96efa3aa4775e.jpg</t>
  </si>
  <si>
    <t>Nogara dining chair 1071</t>
  </si>
  <si>
    <t>PP ROPE 4,5MM</t>
  </si>
  <si>
    <t>18X18 INCH SEAT CUSHION U SHAPED (CLIENT STANDARD)</t>
  </si>
  <si>
    <t xml:space="preserve">1. PEPIJN VAN DEN BRINK(13-03-2019 14:39:09)
Keep everything the same as 705 version but change overall dimensions of the seat to accomodate 18x18 inch u-shaped cushion from client (please ask APO to send the u-shaped cushion of 1071 for your  reference).
</t>
  </si>
  <si>
    <t>a/02042019/6ab85c536bc74daeb10f798b827ae3e5.jpg</t>
  </si>
  <si>
    <t>2 FINISHED- Code: 20190313/PAL/001071/00000495/002</t>
  </si>
  <si>
    <t>20190313/PAL/001071/00000495/002</t>
  </si>
  <si>
    <t>7/13032019/13b2953f69b74dfea54e5b13cae9d7ce.jpg</t>
  </si>
  <si>
    <t>Tananarive dining chair 1263</t>
  </si>
  <si>
    <t>as 1263</t>
  </si>
  <si>
    <t>Seat size to be 18x18 inch, u shaped cushion from client</t>
  </si>
  <si>
    <t xml:space="preserve">1. PEPIJN VAN DEN BRINK(13-03-2019 14:39:09)
MAKE SAME SAMPLE AS FOR 1263 BUT CHANGE OVERALL SEAT DIMENSIONS TO FIT THE STANDARD 18X18 U-SHAPED CUSHION FROM CLIENT. PLEASE CONSULT Thuy/Nicole to send to PAL.
</t>
  </si>
  <si>
    <t>3/01042019/d1dac21e5cc8461c8d7d011cbb931314.jpg</t>
  </si>
  <si>
    <t>3 FINISHED- Code: 20190313/PAL/001071/00000495/003</t>
  </si>
  <si>
    <t>20190313/PAL/001071/00000495/003</t>
  </si>
  <si>
    <t>a/15032019/d609e75556f64c33997168425ef3e4af.jpg</t>
  </si>
  <si>
    <t>Valongo lounge set 1071 (1x bench, 1x chair, 1x table</t>
  </si>
  <si>
    <t>matte white</t>
  </si>
  <si>
    <t>serval sand</t>
  </si>
  <si>
    <t xml:space="preserve">1. PEPIJN VAN DEN BRINK(15-03-2019 15:37:04)
Keep panels on arms &amp; back! but reduce items to following dimensions:
-Bench: 84,5x184x69
-chair: 84,5x99x69
-table: 100x80x29
Use textilene in seats to cut costs. Make sure to reach following targest: Chair: $165, bench $265, table: $63
</t>
  </si>
  <si>
    <t>7/04042019/a866a55a342d4dad99386c07511e3c77.jpg</t>
  </si>
  <si>
    <t>7 ISSUED- Code: 20190315/PAL/001071/00000495/007</t>
  </si>
  <si>
    <t>20190315/PAL/001071/00000495/007</t>
  </si>
  <si>
    <t>8/19032019/00b69189b36247e2b9c409d30f5e596b.jpg</t>
  </si>
  <si>
    <t>GOLDAU DINING CHAIR</t>
  </si>
  <si>
    <t>LIGHT GREY 428C</t>
  </si>
  <si>
    <t>CHARCOAL (1200)</t>
  </si>
  <si>
    <t xml:space="preserve">1. (25-04-2019 11:53:26)
FRAME CONFIRMED!
please wicker the rope as REIMS 902.
</t>
  </si>
  <si>
    <t>f/29042019/b21c305abef94807881bf89224164c67.jpg</t>
  </si>
  <si>
    <t>2 DATA FINISHED- Code: 20190319/BIG/001200/00000496/002</t>
  </si>
  <si>
    <t>20190319/BIG/001200/00000496/002</t>
  </si>
  <si>
    <t>6/19032019/a3416eb209fd47fd8cf39f356faff8e6.jpg</t>
  </si>
  <si>
    <t>GOLDAU LOUNGE SET ( 2X LOUNGE CHAIR + 2-SEATERBENCH + TABLE)</t>
  </si>
  <si>
    <t xml:space="preserve">2. (24-04-2019 16:36:32)
ATTACHED TD
1. (23-04-2019 16:28:10)
PLEASE ONLY MAKE CHAIR
</t>
  </si>
  <si>
    <t>f/29042019/67556a88f70940a1a1d710c82cbbd813.jpg</t>
  </si>
  <si>
    <t>3 DATA FINISHED- Code: 20190319/BIG/001200/00000496/003</t>
  </si>
  <si>
    <t>20190319/BIG/001200/00000496/003</t>
  </si>
  <si>
    <t>2/20032019/6b5b1b80b462449b8052e18041cffd5a.jpg</t>
  </si>
  <si>
    <t>BETIS 2-SEATER</t>
  </si>
  <si>
    <t>PIPING</t>
  </si>
  <si>
    <t>ROYAL ANTHRACITE 240GR</t>
  </si>
  <si>
    <t xml:space="preserve">1. Vo Thi My Dieu(20-03-2019 09:29:06)
PLS MAKE SAMPLE WITHOUT BAR  BETWEEN THE LEGS.
</t>
  </si>
  <si>
    <t>6/08042019/239f822d0d95485bad9ff12517ae6bda.jpg</t>
  </si>
  <si>
    <t>MIGROS-GENOSSENSCHAFTS-BUND</t>
  </si>
  <si>
    <t>ETA AT Switzerland: NOT Later than 26 April, 2019. PI 42061VN</t>
  </si>
  <si>
    <t>1 ISSUED- Code: 20190320/PAL/000621/00000497/001</t>
  </si>
  <si>
    <t>20190320/PAL/000621/00000497/001</t>
  </si>
  <si>
    <t>a/20032019/4f5162796cd84257b9ed037043e7a55c.jpg</t>
  </si>
  <si>
    <t>BETIS CORNER</t>
  </si>
  <si>
    <t xml:space="preserve">1. Vo Thi My Dieu(20-03-2019 09:29:06)
PLS MAKE SAMPLE WITHOUT HORIZONTAL BAR  BETWEEN THE LEGS
</t>
  </si>
  <si>
    <t>6/08042019/3fd165863f404810ad623444f62c1f4c.jpg</t>
  </si>
  <si>
    <t>3 ISSUED- Code: 20190320/PAL/000621/00000497/003</t>
  </si>
  <si>
    <t>20190320/PAL/000621/00000497/003</t>
  </si>
  <si>
    <t>1/20032019/04186cc9651c4044b3dbba34826366e6.jpg</t>
  </si>
  <si>
    <t>BETIS HOCKER</t>
  </si>
  <si>
    <t>ROYAL ANTHACITE 240GR</t>
  </si>
  <si>
    <t>f/08042019/06022f04122e4582a31e8fe8f0de503d.jpg</t>
  </si>
  <si>
    <t>5 ISSUED- Code: 20190320/PAL/000621/00000497/005</t>
  </si>
  <si>
    <t>20190320/PAL/000621/00000497/005</t>
  </si>
  <si>
    <t>f/20032019/3062ce78f3a241c4a7ccf26c25ac7174.jpg</t>
  </si>
  <si>
    <t>BETIS LOUNGE CHAIR</t>
  </si>
  <si>
    <t>c/08042019/22ee3b7a54c94822867dd667de1858ba.jpg</t>
  </si>
  <si>
    <t>2 ISSUED- Code: 20190320/PAL/000621/00000497/002</t>
  </si>
  <si>
    <t>20190320/PAL/000621/00000497/002</t>
  </si>
  <si>
    <t>3/20032019/488cc9c333ab449c91bb202286de3a76.jpg</t>
  </si>
  <si>
    <t>BETIS LOUNGE TABLE</t>
  </si>
  <si>
    <t>9/08042019/030ec2a2d3d74bcb88d4d2a3a4ad718c.jpg</t>
  </si>
  <si>
    <t>4 ISSUED- Code: 20190320/PAL/000621/00000497/004</t>
  </si>
  <si>
    <t>20190320/PAL/000621/00000497/004</t>
  </si>
  <si>
    <t>9/25032019/2ef36185cf5242a8932fdaea6e9ed33a.jpg</t>
  </si>
  <si>
    <t>2019-04-14</t>
  </si>
  <si>
    <t>CORONADO ARMLESS CHAIR 909357</t>
  </si>
  <si>
    <t>FADED LIGHT GREY 357</t>
  </si>
  <si>
    <t xml:space="preserve">1. (25-03-2019 10:37:03)
- KEEP SIZE AS TD PROVIDED, FOAM D20/50 AS IS. ATTENTION WEAVING WORKMANSHIP.
- ALU FRAME TO BE MATCH WICKER COLOR.
- ATTENTION SEAT IMPACT TEST 300LBS (136KG). SAMPLE WILL BE APPROVED FOR SENDING IF PASSED TEST.
</t>
  </si>
  <si>
    <t>7/23052019/6563c5e16f684062a44a51c2bc7b72ae.jpg</t>
  </si>
  <si>
    <t>42142VN</t>
  </si>
  <si>
    <t>10 FINISHED- Code: 20190325/PAL/909357/00000498/010</t>
  </si>
  <si>
    <t>20190325/PAL/909357/00000498/010</t>
  </si>
  <si>
    <t>8/27032019/64c282fe4a474ccb8ec53f08dfa8bb7d.jpg</t>
  </si>
  <si>
    <t>CORONADO AWW CHAISE 909357</t>
  </si>
  <si>
    <t xml:space="preserve">1. (27-03-2019 07:05:19)
- SAMPLE DIM AS TD PROVIDED.
- CUSHION FOAM D20/50, ALU FRAME MATCH WICKER COLOR. 
- ATTENTION WEAVING WORKMANSHIP. 
- ATTENTION SEAT IMPACT TEST 300LBS. SAMPLE WILL BE APPROVED TO SEND IF PASSED TEST ONLY.
</t>
  </si>
  <si>
    <t>7/23052019/97d6499be81040438ca03594c919dd1a.jpg</t>
  </si>
  <si>
    <t>21 FINISHED- Code: 20190327/PAL/909357/00000498/021</t>
  </si>
  <si>
    <t>20190327/PAL/909357/00000498/021</t>
  </si>
  <si>
    <t>7/27032019/8a27d287b9484765956cdc77a1ae9fdb.jpg</t>
  </si>
  <si>
    <t>CORONADO AWW COFFEE TABLE 909357</t>
  </si>
  <si>
    <t xml:space="preserve">1. (27-03-2019 06:51:27)
- SAMPLE DIM AS TD PROVIDED
</t>
  </si>
  <si>
    <t>6/23052019/16089f00bf214b11807a755148480d5b.jpg</t>
  </si>
  <si>
    <t>20 FINISHED- Code: 20190327/PAL/909357/00000498/020</t>
  </si>
  <si>
    <t>20190327/PAL/909357/00000498/020</t>
  </si>
  <si>
    <t>2/25032019/c1aedcfef64b4ae4805f36f46c6706a1.jpg</t>
  </si>
  <si>
    <t>CORONADO CORNER CHAIR 909357</t>
  </si>
  <si>
    <t xml:space="preserve">1. (25-03-2019 10:41:45)
- KEEP SIZE AS TD PROVIDED, FOAM D20/50 AS IS. ATTENTION WEAVING WORKMANSHIP.
- ALU FRAME TO BE MATCH WICKER COLOR.
- ATTENTION SEAT IMPACT TEST 300LBS (136KG). SAMPLE WILL BE APPROVED FOR SENDING IF PASSED TEST.
</t>
  </si>
  <si>
    <t>a/23052019/123b9c32ae8c42dab7ac42e3393fdaca.jpg</t>
  </si>
  <si>
    <t>11 FINISHED- Code: 20190325/PAL/909357/00000498/011</t>
  </si>
  <si>
    <t>20190325/PAL/909357/00000498/011</t>
  </si>
  <si>
    <t>a/22032019/71baa1132bdf458e87dba9cd8ab1fc7a.jpg</t>
  </si>
  <si>
    <t>CORONADO DINING ARM CHAIR OPT 1 909357</t>
  </si>
  <si>
    <t xml:space="preserve">1. (22-03-2019 06:22:42)
- IMPROVEMENTS AS RECAP ATTACHED. ATTENTION WEAVING WORKMANSHIP. 
- SAMPLE WILL BE APPROVED TO SEND IF PASSED TEST ONLY, ATTENTION SEAT IMPACT TEST 300LBS (136KG) &amp; LEG STRENGTH TEST 2 TIMES (1ST TIME 75LBS &amp; 2ND TIME 100LBS).
</t>
  </si>
  <si>
    <t>1/23052019/fe541e58ed9d4864bcf9440552818fd7.jpg</t>
  </si>
  <si>
    <t>3 FINISHED- Code: 20190322/PAL/909357/00000498/003</t>
  </si>
  <si>
    <t>20190322/PAL/909357/00000498/003</t>
  </si>
  <si>
    <t>2/22032019/230de2011f92479f8b7449156c4bef18.jpg</t>
  </si>
  <si>
    <t>CORONADO DINING ARM CHAIR OPT 2 909357</t>
  </si>
  <si>
    <t xml:space="preserve">1. (22-03-2019 06:42:41)
- SEAT OPEN WEAVING, SEAT CUSHION THICK 2", FOAM D20/50. FOLLOW DIMENSION AS OPT. 1, WOODEN LEG.
- WEAVING SAME CORONADO LOUNGE CHAIR (ATTACHED PHOTO)
- ATTENTION WEAVING WORKMANSHIP.
- ATTENTION SEAT IMPACT TEST 300LBS &amp; LEG STRENGTH TEST 2 TIMES (1ST TIME 75LBS &amp; 2ND TIME 100LBS).
- SAMPLE WILL BE APPROVED TO SEND IF PASSED TEST ONLY.
</t>
  </si>
  <si>
    <t>8/24052019/1d52cd1c90a04cbf95816b831abc5035.jpg</t>
  </si>
  <si>
    <t>4 FINISHED- Code: 20190322/PAL/909357/00000498/004</t>
  </si>
  <si>
    <t>20190322/PAL/909357/00000498/004</t>
  </si>
  <si>
    <t>5/25032019/9ae640fe94ec4025a02095ede337ef14.jpg</t>
  </si>
  <si>
    <t>CORONADO DINING SIDE CHAIR 909357</t>
  </si>
  <si>
    <t xml:space="preserve">1. (25-03-2019 10:32:21)
- KEEP SIZE AS TD PROVIDED, FOAM D20/50 AS IS. ATTENTION WEAVING WORKMANSHIP.
- ALU FRAME TO BE MATCH WICKER COLOR.
- ATTENTION SEAT IMPACT TEST 300LBS. LEG STRENGTH TEST 2 TIMES (1ST TIME 75LBS &amp; 2ND TIME 100LBS). SAMPLE WILL BE APPROVED FOR SENDING IF PASSED TEST ONLY.
</t>
  </si>
  <si>
    <t>c/23052019/821186c4ed134209aa6d60443fe332e0.jpg</t>
  </si>
  <si>
    <t>8 FINISHED- Code: 20190325/PAL/909357/00000498/008</t>
  </si>
  <si>
    <t>20190325/PAL/909357/00000498/008</t>
  </si>
  <si>
    <t>7/25032019/2bec2ad30f5243fd9bfade31af4281bf.jpg</t>
  </si>
  <si>
    <t>CORONADO LAF CHAIR 909357</t>
  </si>
  <si>
    <t xml:space="preserve">1. (25-03-2019 11:12:59)
- KEEP SAMPLE AS TD PROVIDED.
- CUSHION FOAM D20/50
- ATTENTION WEAVING WORKMANSHIP, SEAT IMPACT 300LBS.
- SAMPLE WILL BE APPROVED TO SHIP IF PASSED TEST ONLY.
</t>
  </si>
  <si>
    <t>5/23052019/6c3ab415478e4425abce58c0b3b210f3.jpg</t>
  </si>
  <si>
    <t>13 FINISHED- Code: 20190325/PAL/909357/00000498/013</t>
  </si>
  <si>
    <t>20190325/PAL/909357/00000498/013</t>
  </si>
  <si>
    <t>f/22032019/dddeb7b064b541629298b37bbdbd2688.jpg</t>
  </si>
  <si>
    <t>CORONADO LAF SECTIONAL CHAISE 909357</t>
  </si>
  <si>
    <t xml:space="preserve">1. (22-03-2019 09:00:26)
- CUSHION FOAM D20/50, ALU FRAME MATCH WICKER COLOR. 
- ATTENTION WEAVING WORKMANSHIP. 
- ATTENTION SEAT IMPACT TEST 300LBS. SAMPLE WILL BE APPROVED TO SEND IF PASSED TEST ONLY.
</t>
  </si>
  <si>
    <t>1/23052019/0abde0c4b41b455db65ea44a0acbbf31.jpg</t>
  </si>
  <si>
    <t>5 FINISHED- Code: 20190322/PAL/909357/00000498/005</t>
  </si>
  <si>
    <t>20190322/PAL/909357/00000498/005</t>
  </si>
  <si>
    <t>4/22032019/dc62db61d74b4ab486a1b84726eeabdd.jpg</t>
  </si>
  <si>
    <t>CORONADO OCC CHAIR 909357</t>
  </si>
  <si>
    <t xml:space="preserve">1. (22-03-2019 05:53:34)
- KEEP SIZE AS TD PROVIDED, FOAM D20/50 AS IS. ATTENTION WEAVING WORKMANSHIP.
- ALU FRAME TO BE MATCH WICKER COLOR.
- ATTENTION SEAT IMPACT TEST 300LBS (136KG). SAMPLE WILL BE APPROVED FOR SENDING IF PASSED TEST.
</t>
  </si>
  <si>
    <t>6/23052019/bf030b2704a248ce9900cc3db8e939a5.jpg</t>
  </si>
  <si>
    <t>1 FINISHED- Code: 20190322/PAL/909357/00000498/001</t>
  </si>
  <si>
    <t>20190322/PAL/909357/00000498/001</t>
  </si>
  <si>
    <t>6/25032019/41143f21ff6f4d2e877adf9b3d4bd885.jpg</t>
  </si>
  <si>
    <t>CORONADO RAF CHAIR 909357</t>
  </si>
  <si>
    <t xml:space="preserve">1. (25-03-2019 11:24:45)
- KEEP SIZE AS TD PROVIDED, FOAM D20/50 AS IS. ATTENTION WEAVING WORKMANSHIP.
- ALU FRAME TO BE MATCH WICKER COLOR.
- ATTENTION SEAT IMPACT TEST 300LBS (136KG). SAMPLE WILL BE APPROVED FOR SENDING IF PASSED TEST.
</t>
  </si>
  <si>
    <t>6/23052019/0e8a5493691b445bbc0e7b1fb6317041.jpg</t>
  </si>
  <si>
    <t>14 FINISHED- Code: 20190325/PAL/909357/00000498/014</t>
  </si>
  <si>
    <t>20190325/PAL/909357/00000498/014</t>
  </si>
  <si>
    <t>2/25032019/1e3abe796abf46d1a7116b549555f4e3.jpg</t>
  </si>
  <si>
    <t>CORONADO RAF SECTIONAL CHAISE 909357</t>
  </si>
  <si>
    <t xml:space="preserve">1. (25-03-2019 11:07:23)
- KEEP SIZE AS TD PROVIDED, FOAM D20/50 AS IS. ATTENTION WEAVING WORKMANSHIP.
- ALU FRAME TO BE MATCH WICKER COLOR.
- ATTENTION SEAT IMPACT TEST 300LBS (136KG). SAMPLE WILL BE APPROVED FOR SENDING IF PASSED TEST.
</t>
  </si>
  <si>
    <t>5/23052019/1dd20b376cda419f92255a64f674fe6b.jpg</t>
  </si>
  <si>
    <t>12 FINISHED- Code: 20190325/PAL/909357/00000498/012</t>
  </si>
  <si>
    <t>20190325/PAL/909357/00000498/012</t>
  </si>
  <si>
    <t>8/25032019/8c0764a3a5e34620b66b46b8fcbf2265.jpg</t>
  </si>
  <si>
    <t>CORONADO SECTIONAL OTTOMAN 909357</t>
  </si>
  <si>
    <t xml:space="preserve">1. (25-03-2019 11:29:21)
- KEEP SIZE AS TD PROVIDED, FOAM D20/50 AS IS. ATTENTION WEAVING WORKMANSHIP.
- ALU FRAME TO BE MATCH WICKER COLOR.
- ATTENTION SEAT IMPACT TEST 300LBS (136KG). SAMPLE WILL BE APPROVED FOR SENDING IF PASSED TEST.
</t>
  </si>
  <si>
    <t>9/23052019/e1f7293342e04feca412527e1631d188.jpg</t>
  </si>
  <si>
    <t>15 FINISHED- Code: 20190325/PAL/909357/00000498/015</t>
  </si>
  <si>
    <t>20190325/PAL/909357/00000498/015</t>
  </si>
  <si>
    <t>a/25032019/bba3f0279e4c4e24a753dac7d48440eb.jpg</t>
  </si>
  <si>
    <t>CORONADO SOFA 909357</t>
  </si>
  <si>
    <t xml:space="preserve">1. (25-03-2019 11:33:16)
- KEEP SIZE AS TD PROVIDED, FOAM D20/50 AS IS. ATTENTION WEAVING WORKMANSHIP.
- ALU FRAME TO BE MATCH WICKER COLOR.
- ATTENTION SEAT IMPACT TEST 300LBS (136KG). SAMPLE WILL BE APPROVED FOR SENDING IF PASSED TEST.
</t>
  </si>
  <si>
    <t>6/23052019/c328dab87ef546568d8e1243d51a1fe7.jpg</t>
  </si>
  <si>
    <t>16 FINISHED- Code: 20190325/PAL/909357/00000498/016</t>
  </si>
  <si>
    <t>20190325/PAL/909357/00000498/016</t>
  </si>
  <si>
    <t>b/22032019/6d1f929e19ee41c28a0d652607f66367.jpg</t>
  </si>
  <si>
    <t>CORONADO STORAGE ACCENT ROUND TABLE 909357</t>
  </si>
  <si>
    <t xml:space="preserve">1. (22-03-2019 06:01:08)
- MAKE WOODEN TOP LIFT FOR STORAGE. ADD OPEN WEAVE ON BOTTOM FRAME. REMOVE WOODEN FEET. LEVELER ATTACH TO METAL FRAME. ALU FRAME MATCH WICKER COLOR.
- ATTENTION WEAVING WORKMANSHIP. SAMPLE WILL BE SENT APPROVED TO SEND IF PASSED TEST ONLY.
</t>
  </si>
  <si>
    <t>7/23052019/da42c6f511ef46508e40740e299aec92.jpg</t>
  </si>
  <si>
    <t>2 FINISHED- Code: 20190322/PAL/909357/00000498/002</t>
  </si>
  <si>
    <t>20190322/PAL/909357/00000498/002</t>
  </si>
  <si>
    <t>f/27032019/ff63f91e1eb445d086169248b1869bd3.jpg</t>
  </si>
  <si>
    <t>CORONADO STORAGE ACCENT SQUARE TABLE 909357</t>
  </si>
  <si>
    <t xml:space="preserve">1. (27-03-2019 06:46:03)
- MAKE WOODEN TOP LIFT FOR STORAGE. ADD OPEN WEAVE ON BOTTOM FRAME. NO WOODEN FEET, LEVELER ATTACH TO METAL FRAME. 
- SAMPLE DIM AS TD PROVIDED.
- ATTENTION WEAVING WORKMANSHIP. SAMPLE WILL BE SENT APPROVED TO SEND IF PASSED TEST ONLY
</t>
  </si>
  <si>
    <t>f/23052019/7a75f8c00cd34c8cb2d9b6444205b58a.jpg</t>
  </si>
  <si>
    <t>19 FINISHED- Code: 20190327/PAL/909357/00000498/019</t>
  </si>
  <si>
    <t>20190327/PAL/909357/00000498/019</t>
  </si>
  <si>
    <t>0/25032019/008752bbddd74a3aa69f1a40c0fcce14.jpg</t>
  </si>
  <si>
    <t>TULUM BUNCHING TABLE 909357</t>
  </si>
  <si>
    <t>DARK BROWN 357</t>
  </si>
  <si>
    <t xml:space="preserve">1. (25-03-2019 11:57:12)
- KEEP SAMPLE AS TD PROVIDED.
- ATTENTION LEG STRENGTH TEST 2 TIMES (1ST TIME 75LBS &amp; 2ND TIME 100LBS). SAMPLE WILL BE APPROVED TO SHIP IF PASSED TEST ONLY.
</t>
  </si>
  <si>
    <t>5/23052019/4380db1014c34cf992b4b3aeed66f3b3.jpg</t>
  </si>
  <si>
    <t>17 FINISHED- Code: 20190325/PAL/909357/00000498/017</t>
  </si>
  <si>
    <t>20190325/PAL/909357/00000498/017</t>
  </si>
  <si>
    <t>f/22032019/d4ac2ea1348f40a78683092f2f00827b.jpg</t>
  </si>
  <si>
    <t>TULUM DINING TABLE 909357</t>
  </si>
  <si>
    <t xml:space="preserve">1. (22-03-2019 11:21:49)
- OVERALL DIMENSION: L32 x W32 x H30"
- REMOVE FOLDING BASE AND REPLACE BY X STRETCHERS LIKE TOLUM LOUNGE CHAIR (ATTACHED PHOTO).
- ATTENTION LEG STRENGTH TEST 2 TIMES (1ST TIME 75LBS &amp; 2ND TIME 100LBS). SAMPLE WILL BE APPROVED TO SHIP IF PASSED TEST ONLY.
</t>
  </si>
  <si>
    <t>8/23052019/021f857114f34110873cae61c0899354.jpg</t>
  </si>
  <si>
    <t>7 FINISHED- Code: 20190322/PAL/909357/00000498/007</t>
  </si>
  <si>
    <t>20190322/PAL/909357/00000498/007</t>
  </si>
  <si>
    <t>4/09052019/c2a2917935df4384bf1f5740e21f9735.jpg</t>
  </si>
  <si>
    <t>TULUM LOUNGE CHAIR 909357</t>
  </si>
  <si>
    <t>MEDIUM BROWN 357</t>
  </si>
  <si>
    <t xml:space="preserve">1. (22-03-2019 09:00:26)
- PLEASE FOLLOW NEW TD AS THE ATTACHMENT.
- THE UPPER CORNER OF BACK CUSHION TO BE ROUNDED, MATCHING WITH FRAME.
- CUSHION FOAM D22/50
- ATTENTION WEAVING WORKMANSHIP, SEAT IMPACT 300LBS, LEG STRENGTH TEST 2 TIMES (1ST TIME 75LBS &amp; 2ND TIME 100LBS).
- SAMPLE WILL BE APPROVED TO SHIP IF PASSED TEST ONLY.
</t>
  </si>
  <si>
    <t>e/23052019/26a1322923f14ac6be9534009f0bbb54.jpg</t>
  </si>
  <si>
    <t>6 FINISHED- Code: 20190322/PAL/909357/00000498/006</t>
  </si>
  <si>
    <t>20190322/PAL/909357/00000498/006</t>
  </si>
  <si>
    <t>3/09052019/b82f0b0d177a4337b23c426536376c97.jpg</t>
  </si>
  <si>
    <t>TULUM SOFA 909357</t>
  </si>
  <si>
    <t xml:space="preserve">1. (25-03-2019 12:02:24)
- PLEASE FOLLOW NEW TD AS THE ATTACHMENT.
- THE UPPER CORNER OF BACK CUSHION TO BE ROUNDED, MATCHING WITH FRAME.
- CUSHION FOAM D22/50
- ATTENTION WEAVING WORKMANSHIP, SEAT IMPACT 300LBS, LEG STRENGTH TEST 2 TIMES (1ST TIME 75LBS &amp; 2ND TIME 100LBS).
- SAMPLE WILL BE APPROVED TO SHIP IF PASSED TEST ONLY.
</t>
  </si>
  <si>
    <t>d/23052019/d8a93aa9395a4c55b318963bded2fceb.jpg</t>
  </si>
  <si>
    <t>18 FINISHED- Code: 20190325/PAL/909357/00000498/018</t>
  </si>
  <si>
    <t>20190325/PAL/909357/00000498/018</t>
  </si>
  <si>
    <t>4/25032019/65cd6a91291f4dc484cd2cae9b39d6e0.jpg</t>
  </si>
  <si>
    <t>TULUM STACK DINE CHAIR 909357</t>
  </si>
  <si>
    <t xml:space="preserve">1. (25-03-2019 12:07:58)
- SAMPLE KEEP AS TD PROVIDED
- CUSHION FOAM D20/50
- ATTENTION WEAVING WORKMANSHIP, SEAT IMPACT 300LBS, LEG STRENGTH TEST 2 TIMES (1ST TIME 75LBS &amp; 2ND TIME 100LBS).
- SAMPLE WILL BE APPROVED TO SHIP IF PASSED TEST ONLY.
</t>
  </si>
  <si>
    <t>8/23052019/05f96952e04a4edaa9712eebefe4c2f0.jpg</t>
  </si>
  <si>
    <t>19 FINISHED- Code: 20190325/PAL/909357/00000498/019</t>
  </si>
  <si>
    <t>20190325/PAL/909357/00000498/019</t>
  </si>
  <si>
    <t>TRADE POINT</t>
  </si>
  <si>
    <t>CLIENT OFFICE</t>
  </si>
  <si>
    <t>PI 41929OP</t>
  </si>
  <si>
    <t>1 ISSUED- Code: 20190326/ROS/001668/00000499/001</t>
  </si>
  <si>
    <t>20190326/ROS/001668/00000499/001</t>
  </si>
  <si>
    <t>0/27032019/781f893d38714d69a61a0115a0246577.jpg</t>
  </si>
  <si>
    <t>ADELAIDE SIDE TABLE SET</t>
  </si>
  <si>
    <t xml:space="preserve">1. (27-03-2019 14:32:44)
MAKE COLOR OF WOOD IN GREY WASH, SAME COLOR AS SUNBURY DINING TABLE (705)
BLACK FRAME I/O ANTHRACITE
</t>
  </si>
  <si>
    <t>c/08042019/3136d99066d84da49b04f4fcc1c54dd1.jpg</t>
  </si>
  <si>
    <t>ALL SAMPLES (ALSO REJECTED BY CLIENT) FROM SAMPLE ORDER 475 NEED TO BE SHIPPED TO THE NETHERLANDS AS WELL</t>
  </si>
  <si>
    <t>11 FINISHED- Code: 20190327/AKI/000705/00000500/011</t>
  </si>
  <si>
    <t>20190327/AKI/000705/00000500/011</t>
  </si>
  <si>
    <t>7/27032019/c616a0a8cf0741fc98393a3aaa91232a.jpg</t>
  </si>
  <si>
    <t xml:space="preserve">1. (27-03-2019 13:24:31)
TAKE SAMPLE FROM SHOWROOM, MAKE SURE IT'S WITH ROYAL STONE GREY CUSHION
</t>
  </si>
  <si>
    <t>5/08042019/9c94432a254e47e281a8540b9e658666.jpg</t>
  </si>
  <si>
    <t>1 ISSUED- Code: 20190327/SHR/000705/00000500/001</t>
  </si>
  <si>
    <t>20190327/SHR/000705/00000500/001</t>
  </si>
  <si>
    <t>8/27032019/ba67b9a6dad94c4590c186bba8e04f3c.jpg</t>
  </si>
  <si>
    <t xml:space="preserve">1. (27-03-2019 17:47:16)
USE SAMPLE FROM SHOWROOM
</t>
  </si>
  <si>
    <t>24 ISSUED- Code: 20190327/SHR/000705/00000500/024</t>
  </si>
  <si>
    <t>20190327/SHR/000705/00000500/024</t>
  </si>
  <si>
    <t>f/27032019/b961af8f25f54092a408c366ac27e0db.jpg</t>
  </si>
  <si>
    <t xml:space="preserve">1. (27-03-2019 15:00:34)
USE SAMPLE FROM SHOWROOM
</t>
  </si>
  <si>
    <t>18 ISSUED- Code: 20190327/SHR/000705/00000500/018</t>
  </si>
  <si>
    <t>20190327/SHR/000705/00000500/018</t>
  </si>
  <si>
    <t>b/27032019/45a7ba9557504909a1c75105b2d30e9e.jpg</t>
  </si>
  <si>
    <t xml:space="preserve">1. (27-03-2019 17:49:49)
TAKE SAMPLE FROM SHOWROOM
</t>
  </si>
  <si>
    <t>25 ISSUED- Code: 20190327/SHR/000705/00000500/025</t>
  </si>
  <si>
    <t>20190327/SHR/000705/00000500/025</t>
  </si>
  <si>
    <t>2/27032019/9fdca64d5b414f66ab1b96bbc9645431.jpg</t>
  </si>
  <si>
    <t>HONOLULU LOUNGE SET (2X CHAIR + 1X BENCH + 1X TABLE) (705)</t>
  </si>
  <si>
    <t xml:space="preserve">1. (27-03-2019 17:40:48)
LEGS SHOULD BE MOVED MORE OUTSIDE, JUST LIKE LEGS ON ORIGINAL HONOLULU. 
SEE BROWN SET ON PHOTO. 
PLEASE ADJUST SAMPLE FROM SHOWROOM
</t>
  </si>
  <si>
    <t>4/05042019/e52d7be4bd1f4c948914802be7f8cd20.jpg</t>
  </si>
  <si>
    <t>22 ISSUED- Code: 20190327/PAL/000705/00000500/022</t>
  </si>
  <si>
    <t>20190327/PAL/000705/00000500/022</t>
  </si>
  <si>
    <t>8/27032019/f7a4b8bef41b439fbce6aa70e3b42dd3.jpg</t>
  </si>
  <si>
    <t>LANGON LOUNGE BENCH</t>
  </si>
  <si>
    <t xml:space="preserve">1. (27-03-2019 14:14:23)
TAKE SAMPLE FROM SHOWROOM
NO SIDE CUSHIONS
</t>
  </si>
  <si>
    <t>6 ISSUED- Code: 20190327/ROS/000705/00000500/006</t>
  </si>
  <si>
    <t>20190327/ROS/000705/00000500/006</t>
  </si>
  <si>
    <t>9/27032019/9c9dae33b6f24ed6b99711293620bab6.jpg</t>
  </si>
  <si>
    <t>LEONARDO LOUNGE CHAIR (705)</t>
  </si>
  <si>
    <t xml:space="preserve">1. (27-03-2019 14:48:02)
WICKER SHOULD NOT BE ABLE TO MOVE
USE SAMPLE FROM SHOWROOM
</t>
  </si>
  <si>
    <t>e/08042019/8a9ca6bf64ac416ea0bba9b90b9fa1b9.jpg</t>
  </si>
  <si>
    <t>15 ISSUED- Code: 20190327/SHR/000705/00000500/015</t>
  </si>
  <si>
    <t>20190327/SHR/000705/00000500/015</t>
  </si>
  <si>
    <t>1/27032019/3d75877907074f5bb742cc7d661662fb.jpg</t>
  </si>
  <si>
    <t xml:space="preserve">1. (27-03-2019 14:45:22)
WICKER SHOULD NOT BE ABLE TO MOVE
USE SAMPLE FROM SHOWROOM
</t>
  </si>
  <si>
    <t>14 ISSUED- Code: 20190327/SHR/000705/00000500/014</t>
  </si>
  <si>
    <t>20190327/SHR/000705/00000500/014</t>
  </si>
  <si>
    <t>9/04042019/09de32ffab5246b2870344490d521f2d.jpg</t>
  </si>
  <si>
    <t>LOS ANGELES LOUNGE CORNER SET</t>
  </si>
  <si>
    <t xml:space="preserve">1. DAVE VAN DER LINDEN(04-04-2019 09:02:54)
PLEASE TAKE FROM 1263 PRODUCTION
</t>
  </si>
  <si>
    <t>6/08042019/ee08a59dfd424855a85278536a9ab34f.jpg</t>
  </si>
  <si>
    <t>31 ISSUED- Code: 20190404/PAL/000705/00000500/031</t>
  </si>
  <si>
    <t>20190404/PAL/000705/00000500/031</t>
  </si>
  <si>
    <t>f/27032019/5c46d1c62be541eca97def20a4925175.jpg</t>
  </si>
  <si>
    <t>LUZERN DINING CHAIR WITH OPEN WEAVE</t>
  </si>
  <si>
    <t xml:space="preserve">1. (27-03-2019 14:57:29)
USE BACK OF STANDARD BERN CHAIR (LEFT ON PHOTO)
OPEN WEAVING
</t>
  </si>
  <si>
    <t>4/05042019/6d693f4a27d94363b354cdf0842c973d.jpg</t>
  </si>
  <si>
    <t>17 ISSUED- Code: 20190327/TEC/000705/00000500/017</t>
  </si>
  <si>
    <t>20190327/TEC/000705/00000500/017</t>
  </si>
  <si>
    <t>0/27032019/26a6cc5001f049eeb84589f3476b9627.jpg</t>
  </si>
  <si>
    <t>LUZERN DINING TABLE 120CM</t>
  </si>
  <si>
    <t xml:space="preserve">1. (27-03-2019 17:43:38)
SAMPLE FROM SHOWROOM IS NOT STABLE, MAKE SURE TABLE TOP AND CONNECTION LEG IS STABLE
ADD PLASTIC FEET
</t>
  </si>
  <si>
    <t>9/08042019/053864e65e1347578dd8ea55c330ad96.jpg</t>
  </si>
  <si>
    <t>23 ISSUED- Code: 20190327/TEC/000705/00000500/023</t>
  </si>
  <si>
    <t>20190327/TEC/000705/00000500/023</t>
  </si>
  <si>
    <t>4/27032019/e9884ef40b284adcab362b694847f453.jpg</t>
  </si>
  <si>
    <t>MALIBU LOUNGE TABLE</t>
  </si>
  <si>
    <t xml:space="preserve">1. (27-03-2019 14:10:37)
TAKE SAMPLE FROM SHOWROOM
</t>
  </si>
  <si>
    <t>5 ISSUED- Code: 20190327/PAL/000705/00000500/005</t>
  </si>
  <si>
    <t>20190327/PAL/000705/00000500/005</t>
  </si>
  <si>
    <t>9/27032019/44a3cc44ecf44ce080d8b2000be854ad.jpg</t>
  </si>
  <si>
    <t>MALLORCA LOUNGE CORNER SET FIXED PROMO (705)</t>
  </si>
  <si>
    <t xml:space="preserve">1. (27-03-2019 17:53:30)
TAKE SAMPLE FROM SHOWROOM
</t>
  </si>
  <si>
    <t>26 ISSUED- Code: 20190327/BIG/000705/00000500/026</t>
  </si>
  <si>
    <t>20190327/BIG/000705/00000500/026</t>
  </si>
  <si>
    <t>0/27032019/6ac359c5c5184ffa85e6d082916b071b.jpg</t>
  </si>
  <si>
    <t xml:space="preserve">1. (27-03-2019 14:29:47)
MAKE TOP IN PURE COLOR AS TABLE IN PHOTO (TOP BENEATH), NO GRAINY
LEG STRUCTURE AS PHOTO
</t>
  </si>
  <si>
    <t>10 ISSUED- Code: 20190327/APH/000705/00000500/010</t>
  </si>
  <si>
    <t>20190327/APH/000705/00000500/010</t>
  </si>
  <si>
    <t>d/27032019/0b63c3b8c0254756a338768ff519eba6.jpg</t>
  </si>
  <si>
    <t xml:space="preserve">NARVIK LOUNGE SET (2X CHAIR  + 1XBENCH + 1X RECTANGULAR TABLE 110X60X40CM) (705)</t>
  </si>
  <si>
    <t xml:space="preserve">1. (27-03-2019 15:06:47)
USE SAMPLE FROM SHOWROOM. 
RECTANGULAR TABLE WITH ROUNDED CORNERS
</t>
  </si>
  <si>
    <t>19 ISSUED- Code: 20190327/SHR/000705/00000500/019</t>
  </si>
  <si>
    <t>20190327/SHR/000705/00000500/019</t>
  </si>
  <si>
    <t>NASSAU DINING CHAIR WITH ROPE</t>
  </si>
  <si>
    <t xml:space="preserve">1. (27-03-2019 14:41:53)
USE SAMPLE FROM SHOWROOM
</t>
  </si>
  <si>
    <t>6/08042019/19d72edd986a4d9aa71574a64143a076.jpg</t>
  </si>
  <si>
    <t>12 ISSUED- Code: 20190327/PAL/000705/00000500/012</t>
  </si>
  <si>
    <t>20190327/PAL/000705/00000500/012</t>
  </si>
  <si>
    <t>NASSAU DINING CHAIR WITH WICKER ROPE</t>
  </si>
  <si>
    <t xml:space="preserve">1. (27-03-2019 14:41:53)
MAKE SAME CHAIR AS NASSAU DINING CHAIR ROPE BUT WITH WICKER ROPE
</t>
  </si>
  <si>
    <t>f/08042019/a23f270d37e244389a25295e7e223501.jpg</t>
  </si>
  <si>
    <t>13 ISSUED- Code: 20190327/PAL/000705/00000500/013</t>
  </si>
  <si>
    <t>20190327/PAL/000705/00000500/013</t>
  </si>
  <si>
    <t>6/27032019/05489e2a5ee242f5985d1cb6d910ab10.jpg</t>
  </si>
  <si>
    <t>NESTING SIDE TABLE SET</t>
  </si>
  <si>
    <t xml:space="preserve">1. (27-03-2019 15:13:55)
TAKE SAMPLE FROM IN SHOWROOM  SHOULD BE BLACK I/O ANTHRACITE A060
</t>
  </si>
  <si>
    <t>7/08042019/6ac33cb0d75b47bb9bbd498b12d3a1f2.jpg</t>
  </si>
  <si>
    <t>21 FINISHED- Code: 20190327/AKI/000705/00000500/021</t>
  </si>
  <si>
    <t>20190327/AKI/000705/00000500/021</t>
  </si>
  <si>
    <t>1/27032019/62cfde9b3f384631aab15e65dd1a85ac.jpg</t>
  </si>
  <si>
    <t xml:space="preserve">1. (27-03-2019 14:51:41)
DEPTH SHOULD BE 103CM I/O 113CM
COLOUR OF FRAME SHOULD MATCH COLOUR OF WICKER
</t>
  </si>
  <si>
    <t>d/08042019/3574f1a8394446e8bc71093ef28242a9.jpg</t>
  </si>
  <si>
    <t>20.3</t>
  </si>
  <si>
    <t>16 FINISHED- Code: 20190327/APO/000705/00000500/016</t>
  </si>
  <si>
    <t>20190327/APO/000705/00000500/016</t>
  </si>
  <si>
    <t>0/28032019/3175a798cc6243dcba14f63f7fa2bc23.jpg</t>
  </si>
  <si>
    <t>PARANA BENCH 120CM (705)</t>
  </si>
  <si>
    <t>BURGUNDY RED</t>
  </si>
  <si>
    <t xml:space="preserve">1. (28-03-2019 10:02:43)
MODIFY BENCH TO MAKE DIFFERENT THAN INTERGAMMA (984 / 784)
WITH SQUARE, TAPPERED LEGS, TD WILL FOLLOW ASAP
USE FABRIC COLOUR SAME AS PORTOFINO CHAIR
</t>
  </si>
  <si>
    <t>6/05042019/93039eb3a5f745d6b1cd3437d6f77a5a.jpg</t>
  </si>
  <si>
    <t>36.5</t>
  </si>
  <si>
    <t>43/48</t>
  </si>
  <si>
    <t>27 FINISHED- Code: 20190328/DAN/000705/00000500/027</t>
  </si>
  <si>
    <t>20190328/DAN/000705/00000500/027</t>
  </si>
  <si>
    <t>d/28032019/27d3f641aedc4586abde296c63144874.jpg</t>
  </si>
  <si>
    <t xml:space="preserve">PARANA STOOL  (705)</t>
  </si>
  <si>
    <t xml:space="preserve">1. (28-03-2019 10:04:51)
MAKE STOOL IN STYLE OF BAHIA BENCH (705)
MODIFY TO MAKE DIFFERENT THAN INTERGAMMA (984 / 784)
WITH SQUARE, TAPPERED LEGS, TD WILL FOLLOW ASAP
USE FABRIC COLOUR SAME AS PORTOFINO CHAIR
</t>
  </si>
  <si>
    <t>5/05042019/9ebc0ba2c0b540e5b88e399f350d6717.jpg</t>
  </si>
  <si>
    <t>4.68</t>
  </si>
  <si>
    <t>5.7</t>
  </si>
  <si>
    <t>28 FINISHED- Code: 20190328/DAN/000705/00000500/028</t>
  </si>
  <si>
    <t>20190328/DAN/000705/00000500/028</t>
  </si>
  <si>
    <t>8/27032019/b47217e5b9d54a52b31d16047b464509.jpg</t>
  </si>
  <si>
    <t>PORTOFINO HOCKER</t>
  </si>
  <si>
    <t>BRUSCHETTA</t>
  </si>
  <si>
    <t xml:space="preserve">1. (27-03-2019 13:27:48)
SEATING FRAME POWDER COATED MATCHING COLOR OF WICKER
</t>
  </si>
  <si>
    <t>e/08042019/ff73eb38202b4f1bb28a6125818bfe08.jpg</t>
  </si>
  <si>
    <t>3 ISSUED- Code: 20190327/BIG/000705/00000500/003</t>
  </si>
  <si>
    <t>20190327/BIG/000705/00000500/003</t>
  </si>
  <si>
    <t>2/27032019/fa44385af9cf471cbb26d79e22031e61.jpg</t>
  </si>
  <si>
    <t xml:space="preserve">1. (27-03-2019 13:24:31)
REMOVE MIDDLE SUPPORT BAR AT ARMREST
WEAVING AT ARMREST MUST BE IN LINE
SEATING FRAME POWDER COATED MATCHING COLOR OF WICKER
SINCE BURGUNDY RED FABRIC IS OUT OF STOCK, PLEASE ARRANGE 1 CUSHION SET IN SERVAL ANTHRACITE
FRAME OF LEGS NEEDS TO BE ROUNDED ON TOP SO IT FOLLOWS THE CURVE OF SEATING.
</t>
  </si>
  <si>
    <t>3/08042019/48a998e84afa429a88e031322e51e6ed.jpg</t>
  </si>
  <si>
    <t>2 ISSUED- Code: 20190327/BIG/000705/00000500/002</t>
  </si>
  <si>
    <t>20190327/BIG/000705/00000500/002</t>
  </si>
  <si>
    <t>c/02042019/4a66f4d35f7c465e9dd980f974187ac8.jpg</t>
  </si>
  <si>
    <t>PORTOFINO LOUNGE CHAIR WITH ROPE</t>
  </si>
  <si>
    <t>MATCHING ROPE COLOUR</t>
  </si>
  <si>
    <t xml:space="preserve">1. (02-04-2019 14:32:02)
SAME AS PORTOOFINO LOUNGE CHAIR BUT IN ROPE I/O WICKER ROPE
</t>
  </si>
  <si>
    <t>30 CREATED- Code: 20190402/XXX/000705/00000500/030</t>
  </si>
  <si>
    <t>20190402/XXX/000705/00000500/030</t>
  </si>
  <si>
    <t>f/27032019/0a0f04637f0f41878e668317861b8d70.jpg</t>
  </si>
  <si>
    <t xml:space="preserve">SUNBURY DINING TABLE  190CM (705)</t>
  </si>
  <si>
    <t xml:space="preserve">1. (27-03-2019 14:20:18)
DISTANCE BETWEEN LEGS SHOULD BE 140CM, CHANGE ON SAMPLE IN SHOWROOM
</t>
  </si>
  <si>
    <t>b/08042019/1b5dd2a5254641a9992b1b601a508b20.jpg</t>
  </si>
  <si>
    <t>8 ISSUED- Code: 20190327/PAL/000705/00000500/008</t>
  </si>
  <si>
    <t>20190327/PAL/000705/00000500/008</t>
  </si>
  <si>
    <t>8/27032019/dc2ee96c2c014489bcb88ddc28844ee4.jpg</t>
  </si>
  <si>
    <t>SUNBURY DINING TABLE 230CM (705)</t>
  </si>
  <si>
    <t xml:space="preserve">1. (27-03-2019 14:22:44)
MAKE JUST LIKE 190CM BUT IN 230CM
MAKE SURE 3 CHAIRS FIT BETWEEN LEGS ON EACH SIDE
</t>
  </si>
  <si>
    <t>8/08042019/0e6cdee94cda43e5ab93a0aad8669cb2.jpg</t>
  </si>
  <si>
    <t>9 ISSUED- Code: 20190327/PAL/000705/00000500/009</t>
  </si>
  <si>
    <t>20190327/PAL/000705/00000500/009</t>
  </si>
  <si>
    <t>e/27032019/c8d9a4db54144a039275b8597de3fc1c.jpg</t>
  </si>
  <si>
    <t>TROYES STACKABLE LOUNGE SET (2X CHAIR + 1X BENCH)</t>
  </si>
  <si>
    <t>ALUMNINIUM</t>
  </si>
  <si>
    <t xml:space="preserve">1. (27-03-2019 15:10:24)
USE SAMPLE FROM SHOWROOM
</t>
  </si>
  <si>
    <t>20 ISSUED- Code: 20190327/SHR/000705/00000500/020</t>
  </si>
  <si>
    <t>20190327/SHR/000705/00000500/020</t>
  </si>
  <si>
    <t>4/27032019/beff99e9c7c84f1c86dab27d7659f7aa.jpg</t>
  </si>
  <si>
    <t>VASTO LOUNGE CHAIR WITH PATTERN WEAVE</t>
  </si>
  <si>
    <t xml:space="preserve">1. (27-03-2019 14:17:29)
AS SAMPLE IN SHOWROOM BUT  TEAK LOOK I/O LIGHT TEAK LOOK
</t>
  </si>
  <si>
    <t>4/05042019/bd35eec4299d481281d4a4fc600f80a7.jpg</t>
  </si>
  <si>
    <t>7 ISSUED- Code: 20190327/PAL/000705/00000500/007</t>
  </si>
  <si>
    <t>20190327/PAL/000705/00000500/007</t>
  </si>
  <si>
    <t>6/28032019/8d487f6def3640a681f9d23afc9d8800.jpg</t>
  </si>
  <si>
    <t>VERNON FOLDING BENCH 110CM (705)</t>
  </si>
  <si>
    <t xml:space="preserve">1. (28-03-2019 10:08:36)
MAKE STANDARD VERNON FOLDING BENCH IN 110CM
</t>
  </si>
  <si>
    <t>5/08042019/4b71746c685849bc94c31f292cfc6ac7.jpg</t>
  </si>
  <si>
    <t>29 FINISHED- Code: 20190328/AKI/000705/00000500/029</t>
  </si>
  <si>
    <t>20190328/AKI/000705/00000500/029</t>
  </si>
  <si>
    <t>8/27032019/af8264873ef0490baefd8967a0df8639.jpg</t>
  </si>
  <si>
    <t xml:space="preserve">1. (27-03-2019 13:32:26)
MAKE LEGS STRAIGHT, NOT AWRY AS FIRST SAMPLE
</t>
  </si>
  <si>
    <t>e/05042019/ed9f17c163ea4acd9f9de606e3709a9f.jpg</t>
  </si>
  <si>
    <t>4 ISSUED- Code: 20190327/PAL/000705/00000500/004</t>
  </si>
  <si>
    <t>20190327/PAL/000705/00000500/004</t>
  </si>
  <si>
    <t>c/29032019/ec30c3956fb54cfe9afd099ce3895d6e.jpg</t>
  </si>
  <si>
    <t xml:space="preserve">1. Vo Thi My Dieu(29-03-2019 09:38:09)
Change table height: 68 cm
</t>
  </si>
  <si>
    <t>3/14052019/40428a5ba12c49328da43a8395d2d5c0.jpg</t>
  </si>
  <si>
    <t>1 is golden sample - 1 send to client. PI 42019VN</t>
  </si>
  <si>
    <t>68.5/68.5/68.5/68.5</t>
  </si>
  <si>
    <t>82/82/82/94</t>
  </si>
  <si>
    <t>82/172/172/92.5</t>
  </si>
  <si>
    <t>40.5/38.5/38.5/8.5</t>
  </si>
  <si>
    <t>1 FINISHED- Code: 20190329/ROS/000984/00000501/001</t>
  </si>
  <si>
    <t>20190329/ROS/000984/00000501/001</t>
  </si>
  <si>
    <t>5/29032019/60f00ee9cfb04c93b20c7358bfb9567a.jpg</t>
  </si>
  <si>
    <t xml:space="preserve">DINING TABLE POLYSTONE  TOP 215x95x75cm</t>
  </si>
  <si>
    <t xml:space="preserve">1. Vo Thi My Dieu(29-03-2019 10:14:31)
Size : 210 x 95 x H 75 cm (leg distance 180 cm inside),table top thickness: 6cm
</t>
  </si>
  <si>
    <t>c/26042019/938f5d1cfc9048bc86d92966570d2626.jpg</t>
  </si>
  <si>
    <t>7 FINISHED- Code: 20190329/APH/000984/00000501/007</t>
  </si>
  <si>
    <t>20190329/APH/000984/00000501/007</t>
  </si>
  <si>
    <t>9/29032019/824332fc27c34fdcb392a3dc6d3183d6.jpg</t>
  </si>
  <si>
    <t>DINING TABLE POLYSTONE TOP 210x95x75cm</t>
  </si>
  <si>
    <t xml:space="preserve">1. Vo Thi My Dieu(29-03-2019 10:14:31)
Size : 215x 95 x H 75 cm (leg distance 185 cm inside), table top thickness: 6cm
</t>
  </si>
  <si>
    <t>13 ISSUED- Code: 20190329/APH/000984/00000501/013</t>
  </si>
  <si>
    <t>20190329/APH/000984/00000501/013</t>
  </si>
  <si>
    <t>c/03042019/c8a76f8458ab47d88c8c7f7f2185a28f.jpg</t>
  </si>
  <si>
    <t xml:space="preserve">1. Vo Thi My Dieu(03-04-2019 07:40:48)
1, Leg need to move out and align with table top.
2.need to sand the top leg a little to create the curved shape
</t>
  </si>
  <si>
    <t>9/14052019/a4a15f29228c48ff995a8131c2db2663.jpg</t>
  </si>
  <si>
    <t>8 FINISHED- Code: 20190403/ROS/000984/00000501/008</t>
  </si>
  <si>
    <t>20190403/ROS/000984/00000501/008</t>
  </si>
  <si>
    <t>4/29032019/d3e5e4d2fa1d45379a43891deafa85df.jpg</t>
  </si>
  <si>
    <t xml:space="preserve">1. Vo Thi My Dieu(29-03-2019 09:38:09)
Bench:
1, Joint arm rest 45 degress.
2, 2 support bar at arm rest increase thickness to 4 cm ( same as arm rest main frame).
3, Cushion: seat have no piping and no joint in front, back cushion change shape as photo and with 2 piping at sides. (same qty of cushion as current sample).
4, Wood color deviation: not too much for the front frame, need to work out the tolerance accepted.
Table: Increase wood slats to 1.5 cm
</t>
  </si>
  <si>
    <t>a/27052019/47470c4f4da8460fb07163935e46b26e.jpg</t>
  </si>
  <si>
    <t>11 FINISHED- Code: 20190329/TEC/000984/00000501/011</t>
  </si>
  <si>
    <t>20190329/TEC/000984/00000501/011</t>
  </si>
  <si>
    <t>4/03042019/20a9f74548b94fce8f0353780049517e.jpg</t>
  </si>
  <si>
    <t>NEW BERN CHAIR 984</t>
  </si>
  <si>
    <t>4/27052019/264b8975c41c49d0ac061ebcffd6492a.jpg</t>
  </si>
  <si>
    <t>10 FINISHED- Code: 20190403/TEC/000984/00000501/010</t>
  </si>
  <si>
    <t>20190403/TEC/000984/00000501/010</t>
  </si>
  <si>
    <t>2/03042019/910f833b047947f7a9a1d6d9f1d6f18c.jpg</t>
  </si>
  <si>
    <t>BAMBOO LOOK</t>
  </si>
  <si>
    <t>STANDARD WITHOUT PIPING</t>
  </si>
  <si>
    <t xml:space="preserve">1. Vo Thi My Dieu(03-04-2019 07:40:48)
1, Need seat cushion, thickness 5 cm
2, Add 2 back pillow H50 x thickness 12 cm, Length follow back rest size.
3, Seat length inside: 116 cm
4, Reduce 1 support bar at back and seat, need only 1 in the middle.
5, Color: same bamboo color as the chair in photo. (Photo will be sent to factory for ref)
</t>
  </si>
  <si>
    <t>8/17052019/4ec85a6b0c744b3cb8d43934179fe086.jpg</t>
  </si>
  <si>
    <t>12 FINISHED- Code: 20190403/APO/000984/00000501/012</t>
  </si>
  <si>
    <t>20190403/APO/000984/00000501/012</t>
  </si>
  <si>
    <t>3/03042019/58af40c836824d69b9c902af34a00885.jpg</t>
  </si>
  <si>
    <t xml:space="preserve">1. Vo Thi My Dieu(03-04-2019 07:40:48)
1, change the leg frame at front as drawing.
2, Reduce seat length 23 cm, final 106 cm inside.
3, Hardware color need to match the frame color.
4, Change color to bamboo color same as photo of the chair. (we will send picture to factory for ref)
5, Cushion color as last sample
</t>
  </si>
  <si>
    <t>5/17052019/f92c0108bf494e63933b33eaa75d6146.jpg</t>
  </si>
  <si>
    <t>22.7</t>
  </si>
  <si>
    <t>9 FINISHED- Code: 20190403/APO/000984/00000501/009</t>
  </si>
  <si>
    <t>20190403/APO/000984/00000501/009</t>
  </si>
  <si>
    <t>e/29032019/ea96c24700f84408a1d21a8b155c25c5.jpg</t>
  </si>
  <si>
    <t>NEW STACKING CHAIR</t>
  </si>
  <si>
    <t>NATURAL TAUPE 240GR</t>
  </si>
  <si>
    <t xml:space="preserve">1. Vo Thi My Dieu(29-03-2019 10:14:31)
Joint arm rest 45 degree
</t>
  </si>
  <si>
    <t>9/08052019/44296b95a1e9497ba138b606799706da.jpg</t>
  </si>
  <si>
    <t>7.4</t>
  </si>
  <si>
    <t>7 FINISHED- Code: 20190329/DAN/000984/00000501/007</t>
  </si>
  <si>
    <t>20190329/DAN/000984/00000501/007</t>
  </si>
  <si>
    <t>5/29032019/4f8c99f15eaa4db7a6a3d2b6916548cd.jpg</t>
  </si>
  <si>
    <t xml:space="preserve">1. Vo Thi My Dieu(29-03-2019 09:38:09)
1, Color of the flat wicker weave on frame need to match the color of the round wicker of previous sample
</t>
  </si>
  <si>
    <t>5/27052019/f5e1e92312464b169dbed4b09b232bb2.jpg</t>
  </si>
  <si>
    <t>4 FINISHED- Code: 20190329/PAL/000984/00000501/004</t>
  </si>
  <si>
    <t>20190329/PAL/000984/00000501/004</t>
  </si>
  <si>
    <t>b/29032019/1cb28e8f965940e69b62ab84c22ff34d.jpg</t>
  </si>
  <si>
    <t xml:space="preserve">1. Vo Thi My Dieu(29-03-2019 09:38:09)
1, Bench deeth reduce 10 cm, final 75 cm
2, Cushion at back change shape as drawing.
Top 15, bottom 22 cm, H: 35 cm
3, Backrest add 1 wooden bar from cushion armrest to cushion armrest 5 cm height, total back rest height 56 cm
</t>
  </si>
  <si>
    <t>0/14052019/ddbaa121a96b414394c81cb82a0626ab.jpg</t>
  </si>
  <si>
    <t>133/218/72</t>
  </si>
  <si>
    <t>2 FINISHED- Code: 20190329/ROS/000984/00000501/002</t>
  </si>
  <si>
    <t>20190329/ROS/000984/00000501/002</t>
  </si>
  <si>
    <t>c/03042019/d58f46c3b42b4ece8de005d40b710f5b.jpg</t>
  </si>
  <si>
    <t>YATE LOUNGE CORNER SET (1 LEFT BENCH + 1 RIGHT BENCH + 1 CORNER + 1 TABLE 130X70X30CM)</t>
  </si>
  <si>
    <t>WCIKER</t>
  </si>
  <si>
    <t>SERVEL SAND 240</t>
  </si>
  <si>
    <t>11 CREATED- Code: 20190403/XXX/000984/00000501/011</t>
  </si>
  <si>
    <t>20190403/XXX/000984/00000501/011</t>
  </si>
  <si>
    <t>9/29032019/4977180f19064af78ba9d3b03e05cd00.jpg</t>
  </si>
  <si>
    <t>DELHI PROMO CHAIR</t>
  </si>
  <si>
    <t xml:space="preserve">1. Vo Thi My Dieu(29-03-2019 11:17:17)
PLS MAKE AS SAME AS LAST SAMPLE
</t>
  </si>
  <si>
    <t>d/24042019/8a7fb8530f5d4184a3faebc3b581ab37.jpg</t>
  </si>
  <si>
    <t>1 is golden sample and 1 send to client. PI 42018VN</t>
  </si>
  <si>
    <t>71.3</t>
  </si>
  <si>
    <t>6.2</t>
  </si>
  <si>
    <t>8.1</t>
  </si>
  <si>
    <t>7 FINISHED- Code: 20190329/ROS/000784/00000502/007</t>
  </si>
  <si>
    <t>20190329/ROS/000784/00000502/007</t>
  </si>
  <si>
    <t>e/29032019/6b68964b47cc4494b389308197c5f765.jpg</t>
  </si>
  <si>
    <t xml:space="preserve">1. Vo Thi My Dieu(29-03-2019 11:23:48)
1, Height change 73 cm ( + 1 cm)
2, Leg need to move in ( still ok with EN 581)
</t>
  </si>
  <si>
    <t>o/29042019/e129a407feb14ab08f045c9d39716a15.JPEG</t>
  </si>
  <si>
    <t>14 FINISHED- Code: 20190329/ROS/000784/00000502/014</t>
  </si>
  <si>
    <t>20190329/ROS/000784/00000502/014</t>
  </si>
  <si>
    <t>b/29032019/3c75c53aec034d0abb9148a9492084fc.jpg</t>
  </si>
  <si>
    <t xml:space="preserve">1. Vo Thi My Dieu(29-03-2019 11:17:17)
1, Leg move out to the edge.
2, Width side edge need to sand to create the wood grain
</t>
  </si>
  <si>
    <t>f/08052019/b093ba69318d4e68a2442fc9688393e5.jpg</t>
  </si>
  <si>
    <t>28.5</t>
  </si>
  <si>
    <t>32.7</t>
  </si>
  <si>
    <t>9 FINISHED- Code: 20190329/DAN/000784/00000502/009</t>
  </si>
  <si>
    <t>20190329/DAN/000784/00000502/009</t>
  </si>
  <si>
    <t>8/29032019/39f8b2c257bd45e8805de398a4f63dc0.jpg</t>
  </si>
  <si>
    <t>0/27042019/8d7d8139f1e24c12b242dd30367764b1.jpg</t>
  </si>
  <si>
    <t>5 ISSUED- Code: 20190329/TEC/000784/00000502/005</t>
  </si>
  <si>
    <t>20190329/TEC/000784/00000502/005</t>
  </si>
  <si>
    <t>3/29032019/58fa1a3a237d4e9a9580817069885c3b.jpg</t>
  </si>
  <si>
    <t xml:space="preserve">1. Vo Thi My Dieu(29-03-2019 11:17:17)
Reduce 1 bar at seat.
</t>
  </si>
  <si>
    <t>c/27042019/94229e1dc29549ff910fcb15965f8a83.jpg</t>
  </si>
  <si>
    <t>6 ISSUED- Code: 20190329/TEC/000784/00000502/006</t>
  </si>
  <si>
    <t>20190329/TEC/000784/00000502/006</t>
  </si>
  <si>
    <t>9/29032019/a3c5e09b395c4204add646effeefef63.jpg</t>
  </si>
  <si>
    <t xml:space="preserve">1. Vo Thi My Dieu(29-03-2019 11:17:17)
Bench:
 1, change the arm rest to same as the new 4 (photo showed).
2, cushion also follow New 4 cut out at corner.
3, Hide screw at arm rest
4, Add 1 alu middle leg on bench 3 seater at same position if the 2 seater as photo.
Table:
1, Beems at side need to sand to create wood grain.
2, The support bar show no gap, minimize color deviation with top.
cushion D25
</t>
  </si>
  <si>
    <t>a/07052019/75832fa821eb4205adbc1cfaba8b990b.jpg</t>
  </si>
  <si>
    <t>1 ISSUED- Code: 20190329/TEC/000784/00000502/001</t>
  </si>
  <si>
    <t>20190329/TEC/000784/00000502/001</t>
  </si>
  <si>
    <t>0/29032019/92c5b2549d6f472db37ad4748452a6d0.jpg</t>
  </si>
  <si>
    <t xml:space="preserve">1. Vo Thi My Dieu(29-03-2019 11:23:48)
1, Seat height: 45 cm (+ 2cm)
2, Arm rest: 27 cm ( + 3 cm)
3, Back rest: 42 cm (+ 3 cm)
4, Bench Height total 87 cm
5, Back rest need to more slanting  2 cm more.
6, need to hide the screw at 2 sides.
</t>
  </si>
  <si>
    <t>6/08052019/8d3fa019128e4c63b43b914b41c0f17c.jpg</t>
  </si>
  <si>
    <t>11 FINISHED- Code: 20190329/DAN/000784/00000502/011</t>
  </si>
  <si>
    <t>20190329/DAN/000784/00000502/011</t>
  </si>
  <si>
    <t>4/29032019/6bf5a20031ef47dc96dbaba9985bd2b6.jpg</t>
  </si>
  <si>
    <t xml:space="preserve">1. Vo Thi My Dieu(29-03-2019 11:17:17)
1, Leg base need to be bigger on top.
2, Color and shape as it is
3, Need to have hardware (pin and screw) to attach the leg and seat.
</t>
  </si>
  <si>
    <t>b/17052019/de82037350e145bc93011c0ed1555de0.jpg</t>
  </si>
  <si>
    <t>4 FINISHED- Code: 20190329/APO/000784/00000502/004</t>
  </si>
  <si>
    <t>20190329/APO/000784/00000502/004</t>
  </si>
  <si>
    <t>f/29032019/e76ac0d6c01d49a9b42b99edf4967df3.jpg</t>
  </si>
  <si>
    <t>NEW STACKING CHAIR 784</t>
  </si>
  <si>
    <t xml:space="preserve">1. Vo Thi My Dieu(29-03-2019 11:17:17)
Joint of the arm rest need to be 45 degree.
</t>
  </si>
  <si>
    <t>o/29042019/5e552739a9574d06a57a73e8e4a830a1.JPEG</t>
  </si>
  <si>
    <t>8 FINISHED- Code: 20190329/DAN/000784/00000502/008</t>
  </si>
  <si>
    <t>20190329/DAN/000784/00000502/008</t>
  </si>
  <si>
    <t>d/29032019/fd6876179f9e437d8ef187865d7fc66e.jpg</t>
  </si>
  <si>
    <t>SIDE TABLE 45x45x45cm</t>
  </si>
  <si>
    <t xml:space="preserve">1. Vo Thi My Dieu(29-03-2019 11:23:48)
1, Need 4 legs
2, leg thickness change: 2.5 x 4 cm
</t>
  </si>
  <si>
    <t>6/08052019/fe7ada3d18514a08bf305df452645543.jpg</t>
  </si>
  <si>
    <t>2.8</t>
  </si>
  <si>
    <t>13 FINISHED- Code: 20190329/DAN/000784/00000502/013</t>
  </si>
  <si>
    <t>20190329/DAN/000784/00000502/013</t>
  </si>
  <si>
    <t>0/29032019/09cd8dfeed1c44b6a5f7bd80b4212ce2.jpg</t>
  </si>
  <si>
    <t>SIDE TABLE 60x60x40</t>
  </si>
  <si>
    <t xml:space="preserve">1. Vo Thi My Dieu(29-03-2019 11:23:48)
1, Need 4 legs
2, leg thickness change: 2.5 x 4 cm
Sample as it is, adding 1 color swatch of grey washed color.
</t>
  </si>
  <si>
    <t>9/08052019/48e2d712291a49e48dcc0d761b64dbd4.jpg</t>
  </si>
  <si>
    <t>3.6</t>
  </si>
  <si>
    <t>12 FINISHED- Code: 20190329/DAN/000784/00000502/012</t>
  </si>
  <si>
    <t>20190329/DAN/000784/00000502/012</t>
  </si>
  <si>
    <t>0/29032019/9604567eaaa9423e8117004609334a2e.jpg</t>
  </si>
  <si>
    <t xml:space="preserve">1. Vo Thi My Dieu(29-03-2019 11:17:17)
1, Size change : 210 x 95 x H 76 cm
2, Add wooden frame to hide alu frame 4 sides under neath.
3, top thickness 6 cm
</t>
  </si>
  <si>
    <t>f/26042019/f7b96e4788284e95adcf3f2b722c93f3.jpg</t>
  </si>
  <si>
    <t>10 FINISHED- Code: 20190329/APH/000784/00000502/010</t>
  </si>
  <si>
    <t>20190329/APH/000784/00000502/010</t>
  </si>
  <si>
    <t>d/29032019/836ffbd9603f47798c3f6477a99303cd.jpg</t>
  </si>
  <si>
    <t>a/07052019/816d26aeb2bf4945b1eafa73bc54e952.jpg</t>
  </si>
  <si>
    <t>2 ISSUED- Code: 20190329/TEC/000784/00000502/002</t>
  </si>
  <si>
    <t>20190329/TEC/000784/00000502/002</t>
  </si>
  <si>
    <t>9/29032019/fef355a146ce4412978166f9c63a9d6d.jpg</t>
  </si>
  <si>
    <t>e/07052019/636d48dfcd3741ef843b7edafcb5280d.jpg</t>
  </si>
  <si>
    <t>3 ISSUED- Code: 20190329/TEC/000784/00000502/003</t>
  </si>
  <si>
    <t>20190329/TEC/000784/00000502/003</t>
  </si>
  <si>
    <t>2019-04-07</t>
  </si>
  <si>
    <t xml:space="preserve">1. Ngo Duy Hung(01-04-2019 05:55:01)
MAKE AS SEAL SAMPLE 1260 LAST YEAR
</t>
  </si>
  <si>
    <t>o/12042019/893d10bfe7184b7c9e3a213ba1884b94.JPEG</t>
  </si>
  <si>
    <t>2019-04-08</t>
  </si>
  <si>
    <t>8 FINISHED- Code: 20190329/PAL/001260/00000503/008</t>
  </si>
  <si>
    <t>20190329/PAL/001260/00000503/008</t>
  </si>
  <si>
    <t xml:space="preserve">1. Ngo Duy Hung(02-04-2019 12:04:54)
PLEASE MAKE AS SEAL SAMPLE 1260
SAMPLE SHOULD BE PACKED SAME AS MASS PRODUCTION, NORMAL STANDARD BOX, WE WILL SEND SHIPPING MARK LATER
THESE SAMPLES WILL BE COMBINED INTO CONTAINER OF PI 40139VN
</t>
  </si>
  <si>
    <t>13 ISSUED- Code: 20190402/PAL/001260/00000503/013</t>
  </si>
  <si>
    <t>20190402/PAL/001260/00000503/013</t>
  </si>
  <si>
    <t>DELHI LOUNGE CHAIR K.D WITHOUT ARMREST</t>
  </si>
  <si>
    <t>PATTERN WEAVE BLACK &amp; WHITE</t>
  </si>
  <si>
    <t xml:space="preserve">1. Ngo Duy Hung(01-04-2019 05:55:01)
COLOR SWATCH:
5 X A4 PANELS WICKER FLAT 7MM PATTERN WEAVE BLACK &amp; WHITE
5 X WOOD ACACIA LIGHT TEAK LOOK
</t>
  </si>
  <si>
    <t>11 ISSUED- Code: 20190401/PAL/001260/00000503/011</t>
  </si>
  <si>
    <t>20190401/PAL/001260/00000503/011</t>
  </si>
  <si>
    <t>0/29032019/6eb0a2a335e84ec6bf5b7127cc64a630.jpg</t>
  </si>
  <si>
    <t>NORTON REVISED LOUNGESET (2X CHAIR + 3-SEATER 165CM + TABLE NORTON 105X65X29 (NO GLASS)</t>
  </si>
  <si>
    <t>7MM BIRDEY WEAVE</t>
  </si>
  <si>
    <t>AS FIRST SAMPLE</t>
  </si>
  <si>
    <t>7/14052019/14559be98c294cf0a37450720b5a07ad.jpg</t>
  </si>
  <si>
    <t>1 FINISHED- Code: 20190329/ROS/001260/00000503/001</t>
  </si>
  <si>
    <t>20190329/ROS/001260/00000503/001</t>
  </si>
  <si>
    <t>1/12042019/7e242e8b86c1467c95cd2e42cf815ca1.jpg</t>
  </si>
  <si>
    <t>2019-04-22</t>
  </si>
  <si>
    <t>PAPASAN WICKER CHAIR (784)</t>
  </si>
  <si>
    <t>AS MADE FOR 784</t>
  </si>
  <si>
    <t>7/17052019/405ff293f5644349aa2aedc460d4a90e.jpg</t>
  </si>
  <si>
    <t>11.8</t>
  </si>
  <si>
    <t>16 FINISHED- Code: 20190417/APO/001260/00000503/016</t>
  </si>
  <si>
    <t>20190417/APO/001260/00000503/016</t>
  </si>
  <si>
    <t>2/02052019/eb2cb83f15ba496fac0461fa29feaa6b.jpg</t>
  </si>
  <si>
    <t>2019-05-19</t>
  </si>
  <si>
    <t>ROTAN LOUNGE SET 1260</t>
  </si>
  <si>
    <t>GLASSTOP</t>
  </si>
  <si>
    <t xml:space="preserve">1. Ngo Duy Hung(02-05-2019 06:48:42)
DEVELOP A LOUNGE SET FROM THE SAMPLE ROTAN-FAUTEIL SAMPLE 984. FACTORY PRICES AS BIG ADVISED BELOW:
chair : 44 USD / PCS 
Bench : 82.25 USD / PCS
Table :  43 USD / PCS
</t>
  </si>
  <si>
    <t>3/24052019/6dc13deb6af34a59ad55046d4dae9d5a.jpg</t>
  </si>
  <si>
    <t>81/81/99.5</t>
  </si>
  <si>
    <t>63/120/49.5</t>
  </si>
  <si>
    <t>85/85/40</t>
  </si>
  <si>
    <t>5/7.3/8.2</t>
  </si>
  <si>
    <t>14/21</t>
  </si>
  <si>
    <t>2/2</t>
  </si>
  <si>
    <t>88.5/84.5</t>
  </si>
  <si>
    <t>65.5/123</t>
  </si>
  <si>
    <t>116/88</t>
  </si>
  <si>
    <t>17 FINISHED- Code: 20190502/BIG/001260/00000503/017</t>
  </si>
  <si>
    <t>20190502/BIG/001260/00000503/017</t>
  </si>
  <si>
    <t>d/07102015/edb9307ada594a4aafb01ccabaffedcc.jpg</t>
  </si>
  <si>
    <t>SAHARA CHAIR</t>
  </si>
  <si>
    <t xml:space="preserve">1. Gerard Mennen(29-03-2019 13:05:38)
PLASTIC FEET. ALL SAME AS PRODUCTION 2018 !!
</t>
  </si>
  <si>
    <t>7 CREATED- Code: 20190329/XXX/001260/00000503/007</t>
  </si>
  <si>
    <t>20190329/XXX/001260/00000503/007</t>
  </si>
  <si>
    <t>b/26032018/14f665a8dc124aa0889453fbf1e1dd35.jpg</t>
  </si>
  <si>
    <t>SAHARA LOUNGE CORNER</t>
  </si>
  <si>
    <t>4/08042019/60ae9497705744c99bf3ccbb43731bc3.jpg</t>
  </si>
  <si>
    <t>3 ISSUED- Code: 20190329/BIG/001260/00000503/003</t>
  </si>
  <si>
    <t>20190329/BIG/001260/00000503/003</t>
  </si>
  <si>
    <t>8/20122018/a8641a010c0d45d18eb77688d2ec76d9.jpg</t>
  </si>
  <si>
    <t>SAHARA LOUNGE MIDDLE</t>
  </si>
  <si>
    <t>0/08042019/bf93e88250ae49a796e8879f833de949.jpg</t>
  </si>
  <si>
    <t>6 ISSUED- Code: 20190329/BIG/001260/00000503/006</t>
  </si>
  <si>
    <t>20190329/BIG/001260/00000503/006</t>
  </si>
  <si>
    <t>1/26032018/376cb4b942174e50b670ddf82418a16b.jpg</t>
  </si>
  <si>
    <t>SAHARA LOUNGE TABLE 75X75X40CM</t>
  </si>
  <si>
    <t xml:space="preserve">1. Gerard Mennen(29-03-2019 13:05:38)
GLASSTOP, PLASTIC FEET. ALL SAME AS PRODUCTION 2018 !!
</t>
  </si>
  <si>
    <t>4/08042019/57165fe845934cd3aad2369d87c8251c.jpg</t>
  </si>
  <si>
    <t>5 ISSUED- Code: 20190329/BIG/001260/00000503/005</t>
  </si>
  <si>
    <t>20190329/BIG/001260/00000503/005</t>
  </si>
  <si>
    <t xml:space="preserve">1. Gerard Mennen(29-03-2019 13:05:38)
WITH CUSHION, PLASTIC FEET. ALL SAME AS PRODUCTION 2018 !!
</t>
  </si>
  <si>
    <t>4/08042019/4a9279fd147642c096d9aef80e94de6c.jpg</t>
  </si>
  <si>
    <t>4 ISSUED- Code: 20190329/BIG/001260/00000503/004</t>
  </si>
  <si>
    <t>20190329/BIG/001260/00000503/004</t>
  </si>
  <si>
    <t>6/08102015/cf0dadd7ea7e4be595ebf4e2090758db.jpg</t>
  </si>
  <si>
    <t>SHEFFIELD FOLDING SET 3 PCS (2X CHAIR, 1X ROUND TABLE 60X60X73 CM)</t>
  </si>
  <si>
    <t>POWDER COATED WHITE</t>
  </si>
  <si>
    <t>10 ISSUED- Code: 20190329/AKI/001260/00000503/010</t>
  </si>
  <si>
    <t>20190329/AKI/001260/00000503/010</t>
  </si>
  <si>
    <t>14 ISSUED- Code: 20190402/AKI/001260/00000503/014</t>
  </si>
  <si>
    <t>20190402/AKI/001260/00000503/014</t>
  </si>
  <si>
    <t>9/22122017/9aab99ac7c5b4cf79c1435fbb0d3bdd4.jpg</t>
  </si>
  <si>
    <t>SUNSET BENCH 66X135X86CM</t>
  </si>
  <si>
    <t>4/06042019/5ec526cab8ef4c75be1ac9ed690f6fc4.jpg</t>
  </si>
  <si>
    <t>9 ISSUED- Code: 20190329/ROS/001260/00000503/009</t>
  </si>
  <si>
    <t>20190329/ROS/001260/00000503/009</t>
  </si>
  <si>
    <t xml:space="preserve">1. Gerard Mennen(29-03-2019 13:05:38)
PAY ATTENTION GLASSTOP INSIDE SIZES OF TABLE !!!!!!!!!!!!!!!!!!
</t>
  </si>
  <si>
    <t>1/04062019/b630887943fd48299fd5452b901751f2.jpg</t>
  </si>
  <si>
    <t>2 FINISHED- Code: 20190329/BIG/001260/00000503/002</t>
  </si>
  <si>
    <t>20190329/BIG/001260/00000503/002</t>
  </si>
  <si>
    <t>0/01042019/8194b1bb0c0542bbaccef9d1a11bf051.jpg</t>
  </si>
  <si>
    <t>2019-04-18</t>
  </si>
  <si>
    <t>BILBAO LOUNGE CHAIR - 2 RECLINERS</t>
  </si>
  <si>
    <t>BACK, SEAT, HOCKER CUSHION SEWN TOGETHER</t>
  </si>
  <si>
    <t xml:space="preserve">1. PEPIJN VAN DEN BRINK(01-04-2019 10:51:21)
-Take overall dimensions of Bilbao adjustable chair and include adjustable hocker (like done for Eurofar Lucca chair D686, please check TS)
-Keep cross lines like standard bilbao adjustable
-Item to be sold in US
-Complete cushion to be made out of 1 piece
-Adjustable mechanisms to work smoothly
</t>
  </si>
  <si>
    <t>1/03062019/89a8039743ae48da972f91ee8b3af307.jpg</t>
  </si>
  <si>
    <t>2019-04-19</t>
  </si>
  <si>
    <t>TUESDAY MORNING</t>
  </si>
  <si>
    <t>1 FINISHED- Code: 20190401/APO/901101/00000504/001</t>
  </si>
  <si>
    <t>20190401/APO/901101/00000504/001</t>
  </si>
  <si>
    <t>a/01042019/92978416b4af4cf786698032fe5fd515.jpg</t>
  </si>
  <si>
    <t>Delhi lounge chair KD with armrests</t>
  </si>
  <si>
    <t xml:space="preserve">1. PEPIJN VAN DEN BRINK(01-04-2019 10:51:21)
-Keep overall dimensions as  F9P7 but prevent frame to be the same as for 1071
-Chair to pass US testing, construction to be KD
-Sample 2 versions:
-1x teak look frame, flat 7mm blended anthracite wicker
-1x teak look frame, black white weaving pattern as per attachment.
</t>
  </si>
  <si>
    <t>6/19042019/85c011df777342ae90c08b705d375405.jpg</t>
  </si>
  <si>
    <t>3 ISSUED- Code: 20190401/PAL/901101/00000504/003</t>
  </si>
  <si>
    <t>20190401/PAL/901101/00000504/003</t>
  </si>
  <si>
    <t>3/17082019/e0a9cf552e9345f28ac372c5824db702.jpg</t>
  </si>
  <si>
    <t>LARISSA LOUNGE CORNER SET 3 PCS (1X LEFT ARM, 1X RIGHT ARM, 1X TABLE 80X80X34CM)</t>
  </si>
  <si>
    <t>HR 7MM BLENDED ANTHRACITE</t>
  </si>
  <si>
    <t>STITCHING</t>
  </si>
  <si>
    <t xml:space="preserve">1. PEPIJN VAN DEN BRINK(02-04-2019 10:09:30)
Produce F9NS with steel frame to cut costs
Items to pass US standard testing.
</t>
  </si>
  <si>
    <t>4/03062019/f08df14709714d49a42bfadf33093436.jpg</t>
  </si>
  <si>
    <t>80/80/80</t>
  </si>
  <si>
    <t>217/138/80</t>
  </si>
  <si>
    <t>77.5/77.5/34</t>
  </si>
  <si>
    <t>39.5/25.5/9</t>
  </si>
  <si>
    <t>73/11</t>
  </si>
  <si>
    <t>221/81</t>
  </si>
  <si>
    <t>85/81</t>
  </si>
  <si>
    <t>66/8</t>
  </si>
  <si>
    <t>4 FINISHED- Code: 20190402/APO/901101/00000504/004</t>
  </si>
  <si>
    <t>20190402/APO/901101/00000504/004</t>
  </si>
  <si>
    <t>6/01042019/13ef5690844542d09ddb801db9769413.jpg</t>
  </si>
  <si>
    <t>2019-04-16</t>
  </si>
  <si>
    <t>Tahiti rocking chair</t>
  </si>
  <si>
    <t>round 10mm</t>
  </si>
  <si>
    <t>Dark rattan grey 705</t>
  </si>
  <si>
    <t>Bamboo look</t>
  </si>
  <si>
    <t xml:space="preserve">1. PEPIJN VAN DEN BRINK(01-04-2019 10:51:21)
-Sample the rocking chair as quoted for 1101
-Price of round 10mm weave should be the same as DR 10MM. If not, please notify Pepijn.
</t>
  </si>
  <si>
    <t>4/11042019/8330285518ad4496832dce1507ef15e8.jpg</t>
  </si>
  <si>
    <t>2 ISSUED- Code: 20190401/BIG/901101/00000504/002</t>
  </si>
  <si>
    <t>20190401/BIG/901101/00000504/002</t>
  </si>
  <si>
    <t>d/21062017/2056e860f9db4e7fb334e05cef3b9fce.jpg</t>
  </si>
  <si>
    <t>VASTO (1071) PATTERN WEAVE</t>
  </si>
  <si>
    <t>5/24042019/ae0e8aaf409d42b3b2674a9b9eccedc3.jpg</t>
  </si>
  <si>
    <t>LIVIQUE DIVISION DER COOP GENOSSENSCHAFT</t>
  </si>
  <si>
    <t>PI 42001VN</t>
  </si>
  <si>
    <t>3 ISSUED- Code: 20190401/PAL/001019/00000505/003</t>
  </si>
  <si>
    <t>20190401/PAL/001019/00000505/003</t>
  </si>
  <si>
    <t>6/01042019/bd2f6f5b8d3746e8a4d900b0ae9e7698.jpg</t>
  </si>
  <si>
    <t>YATE LOUNGE BENCH 107X225X62CM</t>
  </si>
  <si>
    <t>9/25042019/76d829f4ac574601b0f11548cb995c67.jpg</t>
  </si>
  <si>
    <t>2 ISSUED- Code: 20190401/PAL/001019/00000505/002</t>
  </si>
  <si>
    <t>20190401/PAL/001019/00000505/002</t>
  </si>
  <si>
    <t>4/04102018/cc0bc9362884426d8e3d50204156f3ea.jpg</t>
  </si>
  <si>
    <t>YATE LOUNGE CHAIR</t>
  </si>
  <si>
    <t>3/25042019/c541674bd1fc467eb4a20a8846959d98.jpg</t>
  </si>
  <si>
    <t>1 ISSUED- Code: 20190401/PAL/001019/00000505/001</t>
  </si>
  <si>
    <t>20190401/PAL/001019/00000505/001</t>
  </si>
  <si>
    <t>7/01042019/d53c173a4e684240b3071518415ad085.jpg</t>
  </si>
  <si>
    <t>BLACK/GREEN</t>
  </si>
  <si>
    <t xml:space="preserve">1. (01-04-2019 15:36:56)
USE GREEN COLOUR AS SAMPLE FELINI DINING CHAIR FOR 1200
</t>
  </si>
  <si>
    <t>1 CREATED- Code: 20190401/PAL/000002/00000506/001</t>
  </si>
  <si>
    <t>20190401/PAL/000002/00000506/001</t>
  </si>
  <si>
    <t>3/11042019/19ee80d68ea544a7b4b88e6bc7fb96bd.jpg</t>
  </si>
  <si>
    <t>BENCH WITH STARPS</t>
  </si>
  <si>
    <t>ANTRACITE</t>
  </si>
  <si>
    <t xml:space="preserve">1. Robbert de Leijser(11-04-2019 17:48:32)
BENCH ONLY - NO TABLE
</t>
  </si>
  <si>
    <t>e/02052019/cb60a24995ec44bdb26a047aa1dbc777.jpg</t>
  </si>
  <si>
    <t>11 DATA FINISHED- Code: 20190411/PAL/001200/00000507/011</t>
  </si>
  <si>
    <t>20190411/PAL/001200/00000507/011</t>
  </si>
  <si>
    <t>f/16042019/1e789c600ec440f5b869ef272eae7b81.jpg</t>
  </si>
  <si>
    <t xml:space="preserve">CARPIANO TABLE 50X50X36CM  (FGVO)</t>
  </si>
  <si>
    <t xml:space="preserve">2. (26-04-2019 10:43:02)
Hi guys,
Please make in ROPE BLACK and the holes 10mm.
1. (16-04-2019 16:11:07)
According TD
</t>
  </si>
  <si>
    <t>6/29042019/308748f6dcbe457fa152e579c02aedae.jpg</t>
  </si>
  <si>
    <t>6 DATA FINISHED- Code: 20190402/BIG/001200/00000507/006</t>
  </si>
  <si>
    <t>20190402/BIG/001200/00000507/006</t>
  </si>
  <si>
    <t>b/16042019/ad4c4139b46a4898a8c384fc513a8a1b.jpg</t>
  </si>
  <si>
    <t xml:space="preserve">CARPIANO TABLE 74X74X42CM  (FGUZ)</t>
  </si>
  <si>
    <t xml:space="preserve">2. (26-04-2019 10:41:31)
Hi guys,
Please make in BLACK and the holes 10mm.
1. (16-04-2019 16:11:07)
According TD
</t>
  </si>
  <si>
    <t>a/29042019/2fcc62477edd479e9640c6053bc68266.jpg</t>
  </si>
  <si>
    <t>5 DATA FINISHED- Code: 20190402/BIG/001200/00000507/005</t>
  </si>
  <si>
    <t>20190402/BIG/001200/00000507/005</t>
  </si>
  <si>
    <t>5/02042019/cfaeb0e73cdf4ddebcda6fa443313782.jpg</t>
  </si>
  <si>
    <t xml:space="preserve">D946 MIRA LOUNGE SET -DOUBLE WEAVE - 10MM  ( 1X CHAIR + 1X 3SEATER BENCH )</t>
  </si>
  <si>
    <t xml:space="preserve">1. Nicole Poldervaart(02-04-2019 15:29:24)
- FOR COMPLETE BENCH USE 2 BACK CUSHIONS AND 2 SEATCUSHIONS.
- USE SAME CONSTRUCTIONS  AS LEONARDO (FH6F)
</t>
  </si>
  <si>
    <t>a/27042019/01776b2237f3473abfe7bcf1939d8039.jpg</t>
  </si>
  <si>
    <t>1 DATA FINISHED- Code: 20190402/PAL/001200/00000507/001</t>
  </si>
  <si>
    <t>20190402/PAL/001200/00000507/001</t>
  </si>
  <si>
    <t>9/02042019/3ce32be3955d4be0a34bfebe09b5139a.jpg</t>
  </si>
  <si>
    <t>DIJON STACKBALE CHAIR (A141 - SEASON 2013)</t>
  </si>
  <si>
    <t xml:space="preserve">2. (04-04-2019 11:59:45)
USE SAME LEGS AS ASTI CHAIR 1200
1. Nicole Poldervaart(02-04-2019 17:04:54)
- DO NOT USE ROPE ON LEGS
- USE STANDARD LEGS OF CLIENT 1200
</t>
  </si>
  <si>
    <t>f/29042019/f5b14d99317d4ddc994aa98a8df264c5.jpg</t>
  </si>
  <si>
    <t>7 DATA FINISHED- Code: 20190402/BIG/001200/00000507/007</t>
  </si>
  <si>
    <t>20190402/BIG/001200/00000507/007</t>
  </si>
  <si>
    <t>0/04042019/ceb907ea16dd41b1aa0e864eeaedfd84.jpg</t>
  </si>
  <si>
    <t>LILLE LOUNGE CHAIR</t>
  </si>
  <si>
    <t>CURRY YELLOW 1200</t>
  </si>
  <si>
    <t xml:space="preserve">1. Robbert de Leijser(04-04-2019 15:44:26)
DO NOT USE WOOD FRAME- REPLACE FRAME WITH ALUMINIUM.
THE BLACK IN PICTURE IS ALU NOT WOOD.
</t>
  </si>
  <si>
    <t>2/02052019/c5b63a5d72d0484e9a4889e63e63ac08.jpg</t>
  </si>
  <si>
    <t>8 DATA FINISHED- Code: 20190404/PAL/001200/00000507/008</t>
  </si>
  <si>
    <t>20190404/PAL/001200/00000507/008</t>
  </si>
  <si>
    <t>1/04042019/0805065a5db5498493fa7574d1081293.jpg</t>
  </si>
  <si>
    <t>ICELAND HM88 (1200)</t>
  </si>
  <si>
    <t>TEAK LOOK NATURAL 1200</t>
  </si>
  <si>
    <t>STONE GREY 1338 (1200)</t>
  </si>
  <si>
    <t xml:space="preserve">1. Robbert de Leijser(04-04-2019 16:13:31)
MAKE WOODEN FEET FLOATING LIKE CARPINO SET 1200.
(so not like in the picture)
</t>
  </si>
  <si>
    <t>6/02052019/a907371cb89d45d4bae15751e62bf5ce.jpg</t>
  </si>
  <si>
    <t>9 DATA FINISHED- Code: 20190404/BIG/001200/00000507/009</t>
  </si>
  <si>
    <t>20190404/BIG/001200/00000507/009</t>
  </si>
  <si>
    <t>9/05042019/d1fa54a390ce4406ba1a32f28fe8f1d7.jpg</t>
  </si>
  <si>
    <t>MILAAN LOUNGE CHAIR 1200</t>
  </si>
  <si>
    <t>NEW DARK GREY</t>
  </si>
  <si>
    <t>0/17052019/c6938cc51d4f4d8881468ed222eea37c.jpg</t>
  </si>
  <si>
    <t>10 FINISHED- Code: 20190405/APO/001200/00000507/010</t>
  </si>
  <si>
    <t>20190405/APO/001200/00000507/010</t>
  </si>
  <si>
    <t>0/02042019/d32ee912866847c895d236d5a279a708.jpg</t>
  </si>
  <si>
    <t xml:space="preserve">MIRA DINING CHAIR - SINGLE WEAVE  -10 MM</t>
  </si>
  <si>
    <t>LIGHT TEAK</t>
  </si>
  <si>
    <t xml:space="preserve">2. (04-04-2019 11:59:02)
MAKE SURE THE HORIZONTAL BARS ARE IN BLACK
1. Nicole Poldervaart(02-04-2019 15:44:11)
ALUMINIUM FRAME BLACK - ALSO THE VERTICAL SUPPORT BARS.
</t>
  </si>
  <si>
    <t>0/02052019/f0092f927dff4ea8a2e45a117ab9529f.jpg</t>
  </si>
  <si>
    <t>3 DATA FINISHED- Code: 20190402/PAL/001200/00000507/003</t>
  </si>
  <si>
    <t>20190402/PAL/001200/00000507/003</t>
  </si>
  <si>
    <t>5/02042019/e67b7b74171c4a009172951fd99b73dc.jpg</t>
  </si>
  <si>
    <t>MIRA LOUNGE CHAIR SINGLE WEAVE</t>
  </si>
  <si>
    <t xml:space="preserve">1. Nicole Poldervaart(02-04-2019 15:44:10)
- ALUMINIUM FRAME BLACK - ALSO THE VERTICAL SUPPORT BARS.
- USE SAME CONSTRUCTION AS LEONARDO CHAIR (FH6F)
</t>
  </si>
  <si>
    <t>e/02052019/55731ac604e6460990231425477cba13.jpg</t>
  </si>
  <si>
    <t>2 DATA FINISHED- Code: 20190402/PAL/001200/00000507/002</t>
  </si>
  <si>
    <t>20190402/PAL/001200/00000507/002</t>
  </si>
  <si>
    <t>8/02042019/1b8af312e36e4745aa72d6d7b8b1fa48.jpg</t>
  </si>
  <si>
    <t xml:space="preserve">OSIRE LOUNGE CHAIR 1263  10MM</t>
  </si>
  <si>
    <t>YELLOW GREY</t>
  </si>
  <si>
    <t xml:space="preserve">2. (12-04-2019 12:57:00)
make seat same wicker structure as back
1. Nicole Poldervaart(02-04-2019 16:00:19)
MAKE CHAIR WITH SAME STRUCTURE AS PICTURE
</t>
  </si>
  <si>
    <t>5/02052019/7ffa75aaed504d81ac1eacdc273fe717.jpg</t>
  </si>
  <si>
    <t>4 DATA FINISHED- Code: 20190402/BIG/001200/00000507/004</t>
  </si>
  <si>
    <t>20190402/BIG/001200/00000507/004</t>
  </si>
  <si>
    <t>f/03042019/baa85b96ec914060a9a203194baae5f3.jpg</t>
  </si>
  <si>
    <t>ANTIGUA DINING TABLE 240X100X76CM</t>
  </si>
  <si>
    <t>Teak look</t>
  </si>
  <si>
    <t xml:space="preserve">2. (16-04-2019 13:13:33)
Adding umbrella hole
1. (03-04-2019 09:15:06)
-USE AVAILABLE STOCK TO PRODUCE 1 TABLE
-Make sure wood selection and lamination is performed in the right way to prevent complaints (expensive in US!)
</t>
  </si>
  <si>
    <t>1/14052019/98a45913f62c4dda8592505f8030d158.jpg</t>
  </si>
  <si>
    <t>TJX HOMEGOODS</t>
  </si>
  <si>
    <t>104.5</t>
  </si>
  <si>
    <t>13 FINISHED- Code: 20190403/ROS/001282/00000508/013</t>
  </si>
  <si>
    <t>20190403/ROS/001282/00000508/013</t>
  </si>
  <si>
    <t>b/03052019/a0233eb6330d44c79a4314958a502ec5.jpg</t>
  </si>
  <si>
    <t>2019-05-12</t>
  </si>
  <si>
    <t>Brisbane lounge chair 1036</t>
  </si>
  <si>
    <t>NO CUSHION</t>
  </si>
  <si>
    <t xml:space="preserve">1. PEPIJN VAN DEN BRINK(03-05-2019 11:15:24)
Produce as per 1036 but without cushion. Packing to be fully assembled 1/box ISTA 1A.
</t>
  </si>
  <si>
    <t>9/17052019/0dbb03eb594f432eaa53a4f063f35a5a.jpg</t>
  </si>
  <si>
    <t>33 FINISHED- Code: 20190503/APO/001282/00000508/033</t>
  </si>
  <si>
    <t>20190503/APO/001282/00000508/033</t>
  </si>
  <si>
    <t>3/03042019/4832464733b94a088dc3ac12e86acfcb.jpg</t>
  </si>
  <si>
    <t xml:space="preserve">Brookton dining chair  1282</t>
  </si>
  <si>
    <t>Double round 10mm</t>
  </si>
  <si>
    <t>Rattan grey</t>
  </si>
  <si>
    <t>Frame</t>
  </si>
  <si>
    <t>Black</t>
  </si>
  <si>
    <t>Seat cushion</t>
  </si>
  <si>
    <t>No</t>
  </si>
  <si>
    <t xml:space="preserve">1. (03-04-2019 07:13:55)
- Sample as for 1200
- Item has to pass US testing.
-Black underframe, upper frame to match color of the wicker.
</t>
  </si>
  <si>
    <t>2/26042019/46ff576c47ad4319aa049f1fc066b245.jpg</t>
  </si>
  <si>
    <t>5 FINISHED- Code: 20190403/SHR/001282/00000508/005</t>
  </si>
  <si>
    <t>20190403/SHR/001282/00000508/005</t>
  </si>
  <si>
    <t>5/03042019/996296c616504399a8aedf1202a81d31.jpg</t>
  </si>
  <si>
    <t>CANCUN DINING TABLE 240X100X78CM</t>
  </si>
  <si>
    <t xml:space="preserve">2. (16-04-2019 13:13:33)
Adding umbrella hole 45mm
1. (03-04-2019 09:11:57)
-Item has to pass US test
-Make sure wood selection and lamination is performed in the right way to prevent complaints (expensive in US!)
</t>
  </si>
  <si>
    <t>2/14052019/c24e93e979c84b8090258a1249c2747d.jpg</t>
  </si>
  <si>
    <t>12 FINISHED- Code: 20190403/ROS/001282/00000508/012</t>
  </si>
  <si>
    <t>20190403/ROS/001282/00000508/012</t>
  </si>
  <si>
    <t>8/03042019/19249bbd953e48aeb024218b25595562.jpg</t>
  </si>
  <si>
    <t>Carpiano side table 1282</t>
  </si>
  <si>
    <t>Steel powder coated</t>
  </si>
  <si>
    <t xml:space="preserve">1. (03-04-2019 10:30:48)
- Sample Carpiano side table 50x50x36 cm but replace cementplate top by wooden top, TD attached.
- Slat width for top approx 10cm. Distance between slats 5mm.
- Item has to pass US test.
</t>
  </si>
  <si>
    <t>1/12052019/831cc5aae0294ffb85d16bd754054959.jpg</t>
  </si>
  <si>
    <t>22 ISSUED- Code: 20190403/PAL/001282/00000508/022</t>
  </si>
  <si>
    <t>20190403/PAL/001282/00000508/022</t>
  </si>
  <si>
    <t>d/03042019/52e21e965da34cb2aa14fa358d27c4f8.jpg</t>
  </si>
  <si>
    <t>Florida lounge chair</t>
  </si>
  <si>
    <t>rounded flat 12mm</t>
  </si>
  <si>
    <t>kobo grey</t>
  </si>
  <si>
    <t>Stitching back cushion</t>
  </si>
  <si>
    <t>Royal sand</t>
  </si>
  <si>
    <t xml:space="preserve">1. (03-04-2019 09:55:38)
- Sample chair as CATALOGUE 14. 
- APO to develop flat 12mm wicker (swatch on the way to AVT office, Nicole to send it to APO). 
- Attached photo for weaving reference.
- Item has to pass US test
</t>
  </si>
  <si>
    <t>0/17052019/afb61d52d2cd464380070976f9c1dc0e.jpg</t>
  </si>
  <si>
    <t>17 FINISHED- Code: 20190403/APO/001282/00000508/017</t>
  </si>
  <si>
    <t>20190403/APO/001282/00000508/017</t>
  </si>
  <si>
    <t>0/03042019/ba627f670c154e2ab7cdf4af6297a9a3.jpg</t>
  </si>
  <si>
    <t>Florida round side table</t>
  </si>
  <si>
    <t>12mm rounded flat</t>
  </si>
  <si>
    <t xml:space="preserve">1. (03-04-2019 10:02:48)
- Develop round side table dia 62, height 42cm.
- Do a cylinder shapes table with wood on top.
- APO to develop rounded flat 12mm wicker (swatch on the way to AVT office, Nicole to send it to APO). 
- In same style as table in reference image. 
- Top to be teak look slats 
- Item has to pass US test
</t>
  </si>
  <si>
    <t>4/17052019/e37896258d1c4b71beffbff4aeb3e80e.jpg</t>
  </si>
  <si>
    <t>18 FINISHED- Code: 20190403/APO/001282/00000508/018</t>
  </si>
  <si>
    <t>20190403/APO/001282/00000508/018</t>
  </si>
  <si>
    <t>d/03042019/94629c077f854b459237d8eda1bd2599.jpg</t>
  </si>
  <si>
    <t>Jenson dining table 1282 (193x90x76cm)</t>
  </si>
  <si>
    <t xml:space="preserve">2. (16-04-2019 13:13:33)
Add umbrella hole 45mm
1. (03-04-2019 08:04:22)
- The table was produced for 1084 during S16-17. 
- Item has to pass US test.
-Make sure wood selection and lamination is performed in the right way to prevent complaints (expensive in US!)
</t>
  </si>
  <si>
    <t>9/08052019/82ecf126e71c4e92986b3e57e1b29284.jpg</t>
  </si>
  <si>
    <t>10 FINISHED- Code: 20190403/DAN/001282/00000508/010</t>
  </si>
  <si>
    <t>20190403/DAN/001282/00000508/010</t>
  </si>
  <si>
    <t>3/03042019/22b9edb777f040e8bb536ab2c99b852f.jpg</t>
  </si>
  <si>
    <t>2019-05-05</t>
  </si>
  <si>
    <t>LENCO STACKING SET</t>
  </si>
  <si>
    <t xml:space="preserve">1. (03-04-2019 10:40:17)
Use showroom sample
</t>
  </si>
  <si>
    <t>24 CREATED- Code: 20190403/SHR/001282/00000508/024</t>
  </si>
  <si>
    <t>20190403/SHR/001282/00000508/024</t>
  </si>
  <si>
    <t>e/03042019/07cf906a9a0c4df6a403b78c346d6142.jpg</t>
  </si>
  <si>
    <t>Leonora dining chair 1282</t>
  </si>
  <si>
    <t>Rope</t>
  </si>
  <si>
    <t xml:space="preserve">1. (03-04-2019 07:19:44)
- Follow 1263 version. 
- Item has to pass US testing
- Use sample available in the showroom
</t>
  </si>
  <si>
    <t>6 CREATED- Code: 20190403/VDB/001282/00000508/006</t>
  </si>
  <si>
    <t>20190403/VDB/001282/00000508/006</t>
  </si>
  <si>
    <t>b/03042019/e51522c785b34e92a26ce4fbc74fd780.jpg</t>
  </si>
  <si>
    <t>Lissabon daybed</t>
  </si>
  <si>
    <t xml:space="preserve">1. (03-04-2019 10:41:25)
Use showroom sample
</t>
  </si>
  <si>
    <t>25 CREATED- Code: 20190403/SHR/001282/00000508/025</t>
  </si>
  <si>
    <t>20190403/SHR/001282/00000508/025</t>
  </si>
  <si>
    <t>9/03042019/2ad4220b2eb544418470206e2efe86da.jpg</t>
  </si>
  <si>
    <t>LONGFORD DINING TABLE</t>
  </si>
  <si>
    <t xml:space="preserve">1. (03-04-2019 10:45:53)
Use showroom sample
</t>
  </si>
  <si>
    <t>26 CREATED- Code: 20190403/SHR/001282/00000508/026</t>
  </si>
  <si>
    <t>20190403/SHR/001282/00000508/026</t>
  </si>
  <si>
    <t>0/03042019/bee07e87f95b4b72aeb48a377c413859.jpg</t>
  </si>
  <si>
    <t>Melun dining chair rope weave seat</t>
  </si>
  <si>
    <t>Round 4mm</t>
  </si>
  <si>
    <t xml:space="preserve">1. (03-04-2019 07:35:30)
- Overall dimension: make same stacking chair as sampled to 1084 in the past. 
- Item has to pass US test.
</t>
  </si>
  <si>
    <t>7/14052019/36e1d650809d4c94aa8cd418ee6aab8a.jpg</t>
  </si>
  <si>
    <t>8 FINISHED- Code: 20190403/TEC/001282/00000508/008</t>
  </si>
  <si>
    <t>20190403/TEC/001282/00000508/008</t>
  </si>
  <si>
    <t>0/03042019/65fb8ea9a266483e83daf2f8ebd89e44.jpg</t>
  </si>
  <si>
    <t>Mira dining chair 1282</t>
  </si>
  <si>
    <t>dhr</t>
  </si>
  <si>
    <t>blended anthracite</t>
  </si>
  <si>
    <t>dark grey</t>
  </si>
  <si>
    <t xml:space="preserve">1. (03-04-2019 07:08:42)
-Send out chair as sampled for 1084 before (should be avaiable at PAL). If not available, item to be sampled by PAL.
- Item has to pass US test
</t>
  </si>
  <si>
    <t>4/14052019/11246a4958654d9da064d9a2f802919f.jpg</t>
  </si>
  <si>
    <t>4 FINISHED- Code: 20190403/PAL/001282/00000508/004</t>
  </si>
  <si>
    <t>20190403/PAL/001282/00000508/004</t>
  </si>
  <si>
    <t>7/03042019/1fe91309668b48f3bef247738a2c5742.jpg</t>
  </si>
  <si>
    <t>MODENA DINING TABLE 200X105X76CM</t>
  </si>
  <si>
    <t xml:space="preserve">3. (16-04-2019 13:13:33)
Adding umbrella hole
2. PEPIJN VAN DEN BRINK(03-04-2019 12:55:58)
-PRODUCE SAME TABLE AS BEFORE FOR THIS CLIENT
1. (03-04-2019 09:25:27)
PRODUCE SAME TABLE AS CLIENT ORDERS THIS SEASON
</t>
  </si>
  <si>
    <t>3/14052019/a6cc994870164c29aac60e9c0993362f.jpg</t>
  </si>
  <si>
    <t>203</t>
  </si>
  <si>
    <t>14 FINISHED- Code: 20190403/ROS/001282/00000508/014</t>
  </si>
  <si>
    <t>20190403/ROS/001282/00000508/014</t>
  </si>
  <si>
    <t>c/03042019/e31aeb3b5e5c4740948209874fe9f654.jpg</t>
  </si>
  <si>
    <t>New Albenga dining chair</t>
  </si>
  <si>
    <t>Ash grey</t>
  </si>
  <si>
    <t>Seat Cushion</t>
  </si>
  <si>
    <t xml:space="preserve">1. (03-04-2019 07:00:41)
- Copy seatpart of the Albenga chair that APO sampled for 1075 before. 
- Change wooden base to Digos 1071. 
- Item has to pass US test.
</t>
  </si>
  <si>
    <t>1/17052019/d05c918ff0364d36a869c33aeae136c8.jpg</t>
  </si>
  <si>
    <t>3 FINISHED- Code: 20190403/APO/001282/00000508/003</t>
  </si>
  <si>
    <t>20190403/APO/001282/00000508/003</t>
  </si>
  <si>
    <t>0/03052019/bd0874d4fcf2438bad132d74f5dec0ff.jpg</t>
  </si>
  <si>
    <t>2019-05-10</t>
  </si>
  <si>
    <t>NEW CEMENT PLATE SIDE TABLE 55X40X40 CM</t>
  </si>
  <si>
    <t>CEMENT PLATE</t>
  </si>
  <si>
    <t>CEMENT</t>
  </si>
  <si>
    <t>CONCRET LOOK</t>
  </si>
  <si>
    <t xml:space="preserve">1. (03-05-2019 05:33:35)
2 cementplate tables SIZE 55X40X45 and SIZE 65x45x45, NOTE that construction should be KD, both tables packed together in a ISTA 1A box
</t>
  </si>
  <si>
    <t>8/16052019/a934b5b6061e47c8a3609f28fe56b8df.jpg</t>
  </si>
  <si>
    <t>28 ISSUED- Code: 20190503/APH/001282/00000508/028</t>
  </si>
  <si>
    <t>20190503/APH/001282/00000508/028</t>
  </si>
  <si>
    <t>2/03052019/7e5d859e7600456da3272f69da75f75b.jpg</t>
  </si>
  <si>
    <t>NEW CEMENT PLATE SIDE TABLE 65X45X45 CM</t>
  </si>
  <si>
    <t xml:space="preserve">1. (03-05-2019 05:46:15)
2 cementplate tables SIZE 55X40X45 and SIZE 65x45x45, NOTE that construction should be KD, both tables packed together in a ISTA 1A box
</t>
  </si>
  <si>
    <t>d/16052019/8576c6981afa4224974d8c5d253fbdd6.jpg</t>
  </si>
  <si>
    <t>29 ISSUED- Code: 20190503/APH/001282/00000508/029</t>
  </si>
  <si>
    <t>20190503/APH/001282/00000508/029</t>
  </si>
  <si>
    <t>9/03042019/8746decfceb3492d9ee7d529a5b8aaec.jpg</t>
  </si>
  <si>
    <t>New coventry open weave</t>
  </si>
  <si>
    <t>Round 9mm</t>
  </si>
  <si>
    <t>Color a used for Cayman 705</t>
  </si>
  <si>
    <t xml:space="preserve">2. PEPIJN VAN DEN BRINK(03-05-2019 10:50:07)
Rework chair as per Pepijn's email and produce 2 of them for the meeting.
1. (03-04-2019 06:24:07)
- Sample our new coventry frame but apply the new round 9mm wicker (as used for 041). 
- Comfort of the back should be improved to be ok without back cushion. 
- Frame to follow more straight lines as indicated in red in reference image. 
- Skirt underneath seat to be straight as per red line. 
- Item has to pass US testing.
</t>
  </si>
  <si>
    <t>d/17052019/d5e3fb2365434b37975a970d3146f156.jpg</t>
  </si>
  <si>
    <t>SAMPLE REJECTED</t>
  </si>
  <si>
    <t>1 SAMPLE REJECTED- Code: 20190403/BIG/001282/00000508/001</t>
  </si>
  <si>
    <t>20190403/BIG/001282/00000508/001</t>
  </si>
  <si>
    <t>5/03042019/73c09b05129848ff847d8f169cfb6cb1.jpg</t>
  </si>
  <si>
    <t>New Reims stacking set 1282</t>
  </si>
  <si>
    <t>Braided</t>
  </si>
  <si>
    <t>20 mm</t>
  </si>
  <si>
    <t>Taupe</t>
  </si>
  <si>
    <t>Powder coated</t>
  </si>
  <si>
    <t>Back cushion</t>
  </si>
  <si>
    <t>Royal stone grey</t>
  </si>
  <si>
    <t xml:space="preserve">1. (03-04-2019 09:38:07)
- Sample New reims stacking set as for ID 705 (code 319) but replace rope by braided 20mm in taupe. 
- Ask Myvan for the taupe.
-Weaving to be finished nicely. 
- Item has to pass US test
</t>
  </si>
  <si>
    <t>0/14052019/f90457d1f2f54f1986db99ba984a0ea0.jpg</t>
  </si>
  <si>
    <t>16 FINISHED- Code: 20190403/PAL/001282/00000508/016</t>
  </si>
  <si>
    <t>20190403/PAL/001282/00000508/016</t>
  </si>
  <si>
    <t>7/03042019/91274db4c8234fc7aac2d7248b93f2a0.jpg</t>
  </si>
  <si>
    <t>New tahiti 1282 side table</t>
  </si>
  <si>
    <t xml:space="preserve">1. (03-04-2019 10:16:12)
- Sample a side table dia 45, H 45 to go with the new tahiti chair.
- Overall shape like reference image. 
- Top to be teak look, space between slats 5mm. 
- steel frame to be fully wrapped with flat wicker so STEEL frame can be used.
-Focus is to minimize amount of steel in the structure.
- Item has to pass US test.
</t>
  </si>
  <si>
    <t>o/17052019/67cb952c033f45a2932a6ab6a8b73ec0.jpeg</t>
  </si>
  <si>
    <t>20 FINISHED- Code: 20190403/APO/001282/00000508/020</t>
  </si>
  <si>
    <t>20190403/APO/001282/00000508/020</t>
  </si>
  <si>
    <t>3/03042019/e95129fd4d91448c85c7de5b12158218.jpg</t>
  </si>
  <si>
    <t>New tahiti chair</t>
  </si>
  <si>
    <t xml:space="preserve">1. (03-04-2019 10:12:21)
- Sample the new tahiti chair as made for 1075 before but lengthen back legs with 1,5cm.
- Alu bamboo look (No Knot)
- Item has to pass US test
</t>
  </si>
  <si>
    <t>5/17052019/c149f89705494b439f372e4a9437a0c8.jpg</t>
  </si>
  <si>
    <t>19 FINISHED- Code: 20190403/APO/001282/00000508/019</t>
  </si>
  <si>
    <t>20190403/APO/001282/00000508/019</t>
  </si>
  <si>
    <t>d/03042019/5a41f287682449e484a1bcde79e233ec.jpg</t>
  </si>
  <si>
    <t>New Troyes dining chair</t>
  </si>
  <si>
    <t xml:space="preserve">1. (03-04-2019 06:41:17)
- Take seatpart frame of the Troyes dining armchair and apply braided 20mm weave as per reference image. 
- Apply fixed wooden legs as per tananarive dining chair (as made for 1071)
- No need to weave front arms of the seat. 
- Braided 20mm to arrange through Myvan 
- Item has to pass US testing.
</t>
  </si>
  <si>
    <t>9/14052019/49daabfa6fe94884a018e7765bb89918.jpg</t>
  </si>
  <si>
    <t>2 FINISHED- Code: 20190403/PAL/001282/00000508/002</t>
  </si>
  <si>
    <t>20190403/PAL/001282/00000508/002</t>
  </si>
  <si>
    <t>2/03042019/98dafd5697914a68bffba90ebb7462ae.jpg</t>
  </si>
  <si>
    <t>Norton lounge set 1282</t>
  </si>
  <si>
    <t xml:space="preserve">1. (03-04-2019 11:36:39)
Use showroom sample
</t>
  </si>
  <si>
    <t>27 CREATED- Code: 20190403/SHR/001282/00000508/027</t>
  </si>
  <si>
    <t>20190403/SHR/001282/00000508/027</t>
  </si>
  <si>
    <t>2/03042019/646ede45a47e4accaea356694371629e.jpg</t>
  </si>
  <si>
    <t>Norton side table 1282</t>
  </si>
  <si>
    <t xml:space="preserve">1. (03-04-2019 09:25:27)
Follow design of the Newton lounge table for 1071 but update dimensions to 55x55x35 cm.
This allows the Norton to be selected as lounge set but also as chatset (2 chairs &amp; side table)
</t>
  </si>
  <si>
    <t>5/17052019/f09dce44ad6c45b9a2a0d79979debd5a.jpg</t>
  </si>
  <si>
    <t>15 FINISHED- Code: 20190403/APO/001282/00000508/015</t>
  </si>
  <si>
    <t>20190403/APO/001282/00000508/015</t>
  </si>
  <si>
    <t>a/03052019/8fff2672c50647699d97b764de253ccd.jpg</t>
  </si>
  <si>
    <t>PARLA STACKABLE LOUNGE CHAIR 1075 (BLUE AND GREY COLOR)</t>
  </si>
  <si>
    <t>BLUE and GREY</t>
  </si>
  <si>
    <t xml:space="preserve">1. (03-05-2019 06:39:31)
Use old samples from customer 1075 - Available at Showroom
1pc x color BLUE
1pc x color GREY
These chairs OPP should be the stacking set include 2 chairs &amp; 1 table All in 1 box.
</t>
  </si>
  <si>
    <t>31 CREATED- Code: 20190503/SHR/001282/00000508/031</t>
  </si>
  <si>
    <t>20190503/SHR/001282/00000508/031</t>
  </si>
  <si>
    <t>4/03042019/68958f01fa1c4615ba226eb42493b8dc.jpg</t>
  </si>
  <si>
    <t>Rokewood dining table 1282</t>
  </si>
  <si>
    <t xml:space="preserve">1. (03-04-2019 07:40:12)
- As sample for ID 784 but with umbrella hole (diameter 40mm).
- Item has to pass US test.
-Make sure wood selection and lamination is performed in the right way to prevent complaints (expensive in US!)
</t>
  </si>
  <si>
    <t>o/29042019/0a5a94dbf7f6459f948a13197bf69b75.JPEG</t>
  </si>
  <si>
    <t>32.5</t>
  </si>
  <si>
    <t>9 FINISHED- Code: 20190403/DAN/001282/00000508/009</t>
  </si>
  <si>
    <t>20190403/DAN/001282/00000508/009</t>
  </si>
  <si>
    <t>7/03042019/3b8f809594d3461c94dbfe22ea630d06.jpg</t>
  </si>
  <si>
    <t>Salvador lounge set</t>
  </si>
  <si>
    <t xml:space="preserve">1. (03-04-2019 10:39:19)
Use showroom sample
</t>
  </si>
  <si>
    <t>23 CREATED- Code: 20190403/SHR/001282/00000508/023</t>
  </si>
  <si>
    <t>20190403/SHR/001282/00000508/023</t>
  </si>
  <si>
    <t>e/03052019/82565fba599e41f09a5af17a8ca58b44.jpg</t>
  </si>
  <si>
    <t>SIDE TABLE 1282 45X45X45 CM</t>
  </si>
  <si>
    <t xml:space="preserve">1. (03-05-2019 05:58:47)
Table should be constructed fully assembled and packed individually (ISTA 1A box)
</t>
  </si>
  <si>
    <t>9/13052019/53eb03e3b24849e396aaf97cd8279d78.jpg</t>
  </si>
  <si>
    <t>7.1</t>
  </si>
  <si>
    <t>30 FINISHED- Code: 20190503/DAN/001282/00000508/030</t>
  </si>
  <si>
    <t>20190503/DAN/001282/00000508/030</t>
  </si>
  <si>
    <t>6/03052019/2c706510f127455ba44947742c489cb4.jpg</t>
  </si>
  <si>
    <t>SIDE TABLE 1282 55X55X45 CM</t>
  </si>
  <si>
    <t xml:space="preserve">1. (03-05-2019 06:45:24)
Table should be constructed fully assembled and packed individually (ISTA 1A box)
</t>
  </si>
  <si>
    <t>9/13052019/6c3e96e24a0747a1a04858452c18ec50.jpg</t>
  </si>
  <si>
    <t>32 FINISHED- Code: 20190503/DAN/001282/00000508/032</t>
  </si>
  <si>
    <t>20190503/DAN/001282/00000508/032</t>
  </si>
  <si>
    <t>1/03042019/b9171c838849480a91dd400ed263b287.jpg</t>
  </si>
  <si>
    <t>Sole lounge set 1282</t>
  </si>
  <si>
    <t>Half round 7mm</t>
  </si>
  <si>
    <t>Light kobo grey</t>
  </si>
  <si>
    <t xml:space="preserve">1. (03-04-2019 09:09:08)
-Try to create stacking version by which the 2 chairs can be placed inside the bench (like Reims), legs will have to be FA for this client.
- Sample sole lounge set but replace wicker/glass plate table top by cementplate. 
-ONLY MAKE 1X CHAIR, 1X BENCH, 1X TABLE
- Table dimensions 90x60x35cm. 
- Item has to pass US test.
</t>
  </si>
  <si>
    <t>9/14052019/beb6a399c73444c583f95f364c9a1038.jpg</t>
  </si>
  <si>
    <t>11 FINISHED- Code: 20190403/PAL/001282/00000508/011</t>
  </si>
  <si>
    <t>20190403/PAL/001282/00000508/011</t>
  </si>
  <si>
    <t>2/03042019/dc09ed8bc37a4219a07aae2b9d47b72e.jpg</t>
  </si>
  <si>
    <t>Soria lounge chair 1282</t>
  </si>
  <si>
    <t>Round 6mm/ flat 7mm</t>
  </si>
  <si>
    <t>Oyster</t>
  </si>
  <si>
    <t>Steel underframe</t>
  </si>
  <si>
    <t>Alu seat</t>
  </si>
  <si>
    <t>standard, 5cm thickness</t>
  </si>
  <si>
    <t xml:space="preserve">1. (03-04-2019 10:24:07)
- Follow initial soria seat frame (alu) with steel legs as made for initial sample round 1071 last year. 
- Develop 6mm round oyster color wicker to apply weave as per reference image (arches).
- Seat should have a close weave flat 7mm oyster (matching with the round 6mm). Check attachment for weaving suggestion.
- Item has to pass US test.
-Make sure back is comfortable without cushion (weave accordingly).
</t>
  </si>
  <si>
    <t>3/14052019/cc5449e6c32948edac7f4107f6132e4a.jpg</t>
  </si>
  <si>
    <t>21 FINISHED- Code: 20190403/PAL/001282/00000508/021</t>
  </si>
  <si>
    <t>20190403/PAL/001282/00000508/021</t>
  </si>
  <si>
    <t>1/05042019/129c85f3901c4088845b757eafc11e32.jpg</t>
  </si>
  <si>
    <t>CAPRI STACKABLE CHAIRS WITH STOCKPORT TABLE</t>
  </si>
  <si>
    <t xml:space="preserve">1. (05-04-2019 11:46:30)
CAPRI STACKABLE CHAIR
STOCKPORT TABLE
USE SAMPLES FROM SHOWROOM
</t>
  </si>
  <si>
    <t>DYMAK NETHERLANDS</t>
  </si>
  <si>
    <t>FOR CLIENT SHOWROON VISIT ON 18/04/2019</t>
  </si>
  <si>
    <t>5 ISSUED- Code: 20190405/SHR/909901/00000510/005</t>
  </si>
  <si>
    <t>20190405/SHR/909901/00000510/005</t>
  </si>
  <si>
    <t>1/11042019/8abbf698fd834754a16776693d038399.jpg</t>
  </si>
  <si>
    <t>COSTA RICA BALCONY SET (2X CHAIR + 1X BENCH)</t>
  </si>
  <si>
    <t>10 CREATED- Code: 20190411/XXX/909901/00000510/010</t>
  </si>
  <si>
    <t>20190411/XXX/909901/00000510/010</t>
  </si>
  <si>
    <t>c/05042019/6791401e1ae14fa79cd5b8f78f881a1f.jpg</t>
  </si>
  <si>
    <t>COSTA RICA LOUNGE SET (2X CHAIR + 1X BENCH)</t>
  </si>
  <si>
    <t xml:space="preserve">1. (05-04-2019 11:55:42)
USE SAMPLES FROM SHOWROOM
</t>
  </si>
  <si>
    <t>6 ISSUED- Code: 20190405/SHR/909901/00000510/006</t>
  </si>
  <si>
    <t>20190405/SHR/909901/00000510/006</t>
  </si>
  <si>
    <t>0/05042019/b7cdaac6c8584b2db73f360d7763f75b.jpg</t>
  </si>
  <si>
    <t>DELHI LOUNGE SET</t>
  </si>
  <si>
    <t>RATTAN GREY (PATTERN WEAVE)</t>
  </si>
  <si>
    <t xml:space="preserve">1. (05-04-2019 11:43:57)
DELHI LOUNGE CHAIR
MELFORT SIDE TABEL 40X40X40CM
USE SAMPLES FROM SHOWROOM
</t>
  </si>
  <si>
    <t>4 ISSUED- Code: 20190405/SHR/909901/00000510/004</t>
  </si>
  <si>
    <t>20190405/SHR/909901/00000510/004</t>
  </si>
  <si>
    <t>c/05042019/1b73e2e3bf78472fa52e0692a65003c2.jpg</t>
  </si>
  <si>
    <t>GIBSON MODULAR LOUNGE SET (2X BENCH WITH CUSHION BOX + 2X TABLE)</t>
  </si>
  <si>
    <t>8/17042019/ff0cecd8a4f946de96857e376f03c64a.jpg</t>
  </si>
  <si>
    <t>79/79/70/70</t>
  </si>
  <si>
    <t>131/131/70/70</t>
  </si>
  <si>
    <t>73/73/32/32</t>
  </si>
  <si>
    <t>23.2/23.2/10.2/7.5</t>
  </si>
  <si>
    <t>199</t>
  </si>
  <si>
    <t>2 FINISHED- Code: 20190405/PAL/909901/00000510/002</t>
  </si>
  <si>
    <t>20190405/PAL/909901/00000510/002</t>
  </si>
  <si>
    <t>e/05042019/59acd04f3e494d859affcf5e803171fb.jpg</t>
  </si>
  <si>
    <t>KENDAL FLEXIBLE DINING CHAIR WITH HOCKER</t>
  </si>
  <si>
    <t xml:space="preserve">1. (05-04-2019 11:41:16)
KENDAL FLEXIBLE DINING CHAIR 
MAURO FOLDABLE SIDE TABLE AS HOCKER
USE SAMPLES FROM SHOWROOM
</t>
  </si>
  <si>
    <t>3 ISSUED- Code: 20190405/SHR/909901/00000510/003</t>
  </si>
  <si>
    <t>20190405/SHR/909901/00000510/003</t>
  </si>
  <si>
    <t>4/05042019/3cb59c576d9c4b6aa0312d5bfc24f749.jpg</t>
  </si>
  <si>
    <t>LAKELAND FLOWER STAIRS</t>
  </si>
  <si>
    <t>8 ISSUED- Code: 20190405/SHR/909901/00000510/008</t>
  </si>
  <si>
    <t>20190405/SHR/909901/00000510/008</t>
  </si>
  <si>
    <t>5/05042019/33a8ecaa5f0a4de38441b5112ced94b4.jpg</t>
  </si>
  <si>
    <t>METZ ETAGERE</t>
  </si>
  <si>
    <t>9 ISSUED- Code: 20190405/SHR/909901/00000510/009</t>
  </si>
  <si>
    <t>20190405/SHR/909901/00000510/009</t>
  </si>
  <si>
    <t>b/05042019/f2303efc02ac4a0a98909808cdab4f25.jpg</t>
  </si>
  <si>
    <t>SANT MIGUEL DINING SET (2X STACKABLE CHAIR + 1X TABLE)</t>
  </si>
  <si>
    <t>1 ISSUED- Code: 20190405/PAL/909901/00000510/001</t>
  </si>
  <si>
    <t>20190405/PAL/909901/00000510/001</t>
  </si>
  <si>
    <t>b/05042019/6ab464d695344fa49ca882ddd0c27ddc.jpg</t>
  </si>
  <si>
    <t>VITERBO PLANTERS</t>
  </si>
  <si>
    <t xml:space="preserve">1. (05-04-2019 11:50:54)
1X VITERBO 38X38X92CM
1X VITERBO 38X38X62CM
USE SAMPLES FROM SHOWROOM
</t>
  </si>
  <si>
    <t>7 ISSUED- Code: 20190405/SHR/909901/00000510/007</t>
  </si>
  <si>
    <t>20190405/SHR/909901/00000510/007</t>
  </si>
  <si>
    <t>c/08042019/daceb321b23f489abb4ec6229a923ec7.jpg</t>
  </si>
  <si>
    <t>2019-04-25</t>
  </si>
  <si>
    <t xml:space="preserve">1. (08-04-2019 13:38:52)
+ SAME AS RETAINED SAMPLE SENT TO SHOWROOM
+ SAMPLE TO BE PASSED US TESTING STANDARD BEFORE AIR FREIGHT
</t>
  </si>
  <si>
    <t>f/05052019/5473e724dbdd48e3a6050b4730a2f502.jpg</t>
  </si>
  <si>
    <t>42129VN</t>
  </si>
  <si>
    <t>10 FINISHED- Code: 20190408/PAL/001071/00000511/010</t>
  </si>
  <si>
    <t>20190408/PAL/001071/00000511/010</t>
  </si>
  <si>
    <t>4/08042019/42c9e552b2cb48d7ab698a39fb77e0c2.jpg</t>
  </si>
  <si>
    <t xml:space="preserve">1. (08-04-2019 13:46:11)
+ ANGLE OF THE BACK TO BE SAME AS MALLOW DN CHAIR (TO CREATE MORE UPRIGHT SEAT POSITION)
+LEGS OK AS THEY ARE, NO CHANGE REQUIRED.
+ SAMPLE TO BE PASSED TESTING (US STANDARD) BEFORE AIR FREIGHT
</t>
  </si>
  <si>
    <t>b/17052019/3c81cfbd103a48f9b4c71dc3e3635ddd.jpg</t>
  </si>
  <si>
    <t>11 FINISHED- Code: 20190408/APO/001071/00000511/011</t>
  </si>
  <si>
    <t>20190408/APO/001071/00000511/011</t>
  </si>
  <si>
    <t>1/08042019/551aa4a992a141d2beba1356bbf354c1.jpg</t>
  </si>
  <si>
    <t xml:space="preserve">1. (08-04-2019 13:09:56)
+ APPROVED PITCH ON THE CHAIR TO FOLLOW. 
+ FRONT CENTER LEG TO BE IN THE MIDDLE OF THE SEAT FRAME.
+ MAKE SEAT AREA MORE OPEN BY REDUCING HALF AMOUNT OF VERTICAL WEAVING, TO PREVENT SEAT IMPACT TEST WITHOUT CUSHION.
+ MAKE BENCH 60 INCH (152.5 CM) IN LENGTH OVERALL
+ SAMPLE MUST PASS TESTING (US STANDARD) BEFORE AIRFREIGHT
+ SEE ATTACHED FOR THE RECAP
+ SAMPLE TO BE PASSED US TESTING STANDARD BEFORE AIR FREIGHT
</t>
  </si>
  <si>
    <t>f/17052019/82731d92874c439fb0a9851b8b4053a9.jpg</t>
  </si>
  <si>
    <t>153</t>
  </si>
  <si>
    <t>6 FINISHED- Code: 20190408/APO/001071/00000511/006</t>
  </si>
  <si>
    <t>20190408/APO/001071/00000511/006</t>
  </si>
  <si>
    <t>5/08042019/77e2d83114c34864af07709faed0cff3.jpg</t>
  </si>
  <si>
    <t xml:space="preserve">1. (08-04-2019 12:50:26)
+ IMPROVE PITCH IS APPROVED, OVERALL WIDTH AND HEIGHT AS IS
+ MAKE SEAT MORE OPEN BY REDUCING HALF AMOUNT OF VERTICAL WEAVING ON THE SEAT AREA, TO PREVENT SEAT IMPACT TEST W/O CUSHION.
+ SAMPLE TO BE PASSED US TESTING STANDARD BEFORE AIR FREIGHT
</t>
  </si>
  <si>
    <t>6/17052019/aca8cc6bcb1d48eaa5bf2ed493201bba.jpg</t>
  </si>
  <si>
    <t>5 FINISHED- Code: 20190408/APO/001071/00000511/005</t>
  </si>
  <si>
    <t>20190408/APO/001071/00000511/005</t>
  </si>
  <si>
    <t>c/17042019/e7cac50453e9466ca300dad98cac2014.jpg</t>
  </si>
  <si>
    <t>MELTON LOUNGE BENCH 1071 (KD)</t>
  </si>
  <si>
    <t>AS IS</t>
  </si>
  <si>
    <t>TO BE DECIDED</t>
  </si>
  <si>
    <t xml:space="preserve">1. (08-04-2019 11:54:48)
+ DO K/D CONSTRUCTION.
+ HIDE SCREWS FROM THE BACK OF BACKREST.
+ MAKE SEAT HEIGHT WITHOUT CUSHION TO BE 14 INCH (CURRENT IS 15 INCH)
+ BACK CUSHION HEIGHT AS IS (41.5 CM)
+ FABRIC COLOR: PEPIJN WILL CHECK OTHERS IN NL AND WILL INFORM LATER
 + SAMPLE TO BE PASSED US TESTING STANDARD BEFORE AIR FREIGHT
</t>
  </si>
  <si>
    <t>2 ISSUED- Code: 20190408/PAL/001071/00000511/002</t>
  </si>
  <si>
    <t>20190408/PAL/001071/00000511/002</t>
  </si>
  <si>
    <t>6/17042019/f6a9ccfa299141eb83593b8c7e0f215b.jpg</t>
  </si>
  <si>
    <t>MELTON LOUNGE CHAIR 1071 (KD)</t>
  </si>
  <si>
    <t xml:space="preserve">1. (08-04-2019 11:52:09)
+ DO K/D CONSTRUCTION.
+ HIDE SCREWS FROM THE BACK OF BACKREST.
+  MAKE SEAT HEIGHT WITHOUT CUSHION TO BE 14 INCH (CURRENT IS 15")
+  BACK CUSHION HEIGHT AS IS (41.5 CM)
+ FABRIC COLOR OPTIONS: PEPIJN WILL CHECK OTHERS IN NL AND WILL INFORM LATER
+ SAMPLE TO BE PASSED US TESTING STANDARD BEFORE AIR FREIGHT
</t>
  </si>
  <si>
    <t>1 ISSUED- Code: 20190408/PAL/001071/00000511/001</t>
  </si>
  <si>
    <t>20190408/PAL/001071/00000511/001</t>
  </si>
  <si>
    <t>1/08042019/8df9e6c2a811441fb57e48029b9ec563.jpg</t>
  </si>
  <si>
    <t>MELTON LOUNGE TABLE 1071 (KD)</t>
  </si>
  <si>
    <t xml:space="preserve">1. (08-04-2019 12:08:43)
+ TABLE MUST BE KD
+ MAKE OVERALL HEIGHT TO BE 14 INCH (CURRENT HEIGHT IS 15 INCH)
+ SAMPLE TO BE PASSED US TESTING STANDARD BEFORE AIR FREIGHT
</t>
  </si>
  <si>
    <t>3 ISSUED- Code: 20190408/PAL/001071/00000511/003</t>
  </si>
  <si>
    <t>20190408/PAL/001071/00000511/003</t>
  </si>
  <si>
    <t>d/08042019/b49410d04a924a93851dda84d2647ff2.jpg</t>
  </si>
  <si>
    <t>NESTING TABLE SET 1071</t>
  </si>
  <si>
    <t xml:space="preserve">1. (08-04-2019 12:35:10)
+ NEED TO CHANGE DIMENSION AS BELOW, TD ATTACHED:
 -  TABLE 1: DIA 15 1/8 INCH X H14 INCH
 -  TABLE 2: DIA 17 3/8 INCH X H16 INCH
 -   TABLE 3: DIA 22 1/4 INCH X h18 INCH
+ SAMPLE TO BE PASSED US TESTING STANDARD BEFORE AIR FREIGHT
</t>
  </si>
  <si>
    <t>0/05052019/83a7cc8c1eac43269ab6f4cba0c82871.jpg</t>
  </si>
  <si>
    <t>4 FINISHED- Code: 20190408/PAL/001071/00000511/004</t>
  </si>
  <si>
    <t>20190408/PAL/001071/00000511/004</t>
  </si>
  <si>
    <t>1/08042019/5ea20ca92ba24b3aab445887f697e149.jpg</t>
  </si>
  <si>
    <t>NEW HONOLULU LOUNGE SET 1071</t>
  </si>
  <si>
    <t xml:space="preserve">1. (08-04-2019 13:21:03)
+ MAKE THE DEPTH OF  SEAT CUSHION TO BE 26 INCH, CHAIR &amp; BENCH SEAT DEPTH TO BE 30 INCH OVERALL
+ CHANGE PITCH BY ADDING 15 MM ON BACK LEGS, KEEP CURRENT CURVE OF THE DESIGN
+ TABLE AS IS (NO CHANGE)
+ SAMPLE MUST BE PASSED TESTING (US STANDARD) BEFORE AIR FREIGHT
</t>
  </si>
  <si>
    <t>7 ISSUED- Code: 20190408/PAL/001071/00000511/007</t>
  </si>
  <si>
    <t>20190408/PAL/001071/00000511/007</t>
  </si>
  <si>
    <t>c/08042019/747404f4d5634adcab31925f91f5cea3.jpg</t>
  </si>
  <si>
    <t xml:space="preserve">TANANARIVE DINING CHAIR  TEXTURE WEAVE (1071)</t>
  </si>
  <si>
    <t>ROUNDED FLAT BLACK AND ROUNDED FLAT OFF WHITE</t>
  </si>
  <si>
    <t>VINTAGE LIGHT NATURAL</t>
  </si>
  <si>
    <t>CHAIR TO FIT CLIENT OWN 18X18 INCH SEAT CUSHION</t>
  </si>
  <si>
    <t xml:space="preserve">1. (08-04-2019 14:00:50)
+ MAKE SEAT HIGH NO CUSHION 17".
+ COLOR OF WICKER &amp; WOODEN LEG WILL BE INFORMED LATER. 
+ SAMPLE TO BE PASSED US TESTING STANDARD BEFORE AIR FREIGHT
</t>
  </si>
  <si>
    <t>5/06052019/b87d81b54d78490db3bd5d934a622ea4.jpg</t>
  </si>
  <si>
    <t>12 ISSUED- Code: 20190408/PAL/001071/00000511/012</t>
  </si>
  <si>
    <t>20190408/PAL/001071/00000511/012</t>
  </si>
  <si>
    <t>c/21032018/6bb8c87633fb4230af4aff8052ca812c.jpg</t>
  </si>
  <si>
    <t>AUBERGE LOUNGE CHAIR</t>
  </si>
  <si>
    <t xml:space="preserve">1. Robbert de Leijser(08-04-2019 13:24:39)
NO SIDE CUSHIONS
</t>
  </si>
  <si>
    <t>6/18042019/2769f74ea7494b18b29fa7e81f4a765a.jpg</t>
  </si>
  <si>
    <t>SAGAFLOR</t>
  </si>
  <si>
    <t>AT FACTORY - PICK UP Y CLIENT</t>
  </si>
  <si>
    <t>CLIENT WILL PICK UP SAMPLES AT DIFFERENT FACTORIES</t>
  </si>
  <si>
    <t>5 ISSUED- Code: 20190408/APO/0008679/00000512/005</t>
  </si>
  <si>
    <t>20190408/APO/0008679/00000512/005</t>
  </si>
  <si>
    <t>c/20032018/d3ac43bc33d8489d8bed33ee49a1d38d.jpg</t>
  </si>
  <si>
    <t>AUBERGE LOUNGE CORNER SET 3PCS (1X LEFT ARM, 1X RIGHT ARM, 1X TABLE 82X82X30.5CM)</t>
  </si>
  <si>
    <t xml:space="preserve">1. Robbert de Leijser(08-04-2019 13:21:17)
NO SIDE CUSHIONS ON BENCH
</t>
  </si>
  <si>
    <t>1/18042019/7cf2e77a21214839a75ee73ad70d4c87.jpg</t>
  </si>
  <si>
    <t>81/81/81</t>
  </si>
  <si>
    <t>152/230/81</t>
  </si>
  <si>
    <t>65/65/32</t>
  </si>
  <si>
    <t>20.5/31/8.5</t>
  </si>
  <si>
    <t>60/9.5</t>
  </si>
  <si>
    <t>233/82</t>
  </si>
  <si>
    <t>96/82</t>
  </si>
  <si>
    <t>60/22</t>
  </si>
  <si>
    <t>4 ISSUED- Code: 20190408/APO/0008679/00000512/004</t>
  </si>
  <si>
    <t>20190408/APO/0008679/00000512/004</t>
  </si>
  <si>
    <t>6/11042019/2e12f4ef69eb4fb8859118beb4e872b8.jpg</t>
  </si>
  <si>
    <t>BARBUDA DINING TABLE DIMENSION 250X100X78CM</t>
  </si>
  <si>
    <t>INSTANT GREY</t>
  </si>
  <si>
    <t>c/27052019/e0e11ee30f9644949663f53b40d26f2f.jpg</t>
  </si>
  <si>
    <t>8 FINISHED- Code: 20190408/JES/0008679/00000512/008</t>
  </si>
  <si>
    <t>20190408/JES/0008679/00000512/008</t>
  </si>
  <si>
    <t>d/29032018/a4bdb1d0649146159fda9668b65f4c1f.jpg</t>
  </si>
  <si>
    <t>CANCUN TABLE 220 X 100 X 78</t>
  </si>
  <si>
    <t>c/27052019/82d13c111f9c4bb8b93d80c597ae8bb3.jpg</t>
  </si>
  <si>
    <t>9 FINISHED- Code: 20190408/JES/0008679/00000512/009</t>
  </si>
  <si>
    <t>20190408/JES/0008679/00000512/009</t>
  </si>
  <si>
    <t>d/10102018/322da8e48cb94ee6baaa869ecb27d179.jpg</t>
  </si>
  <si>
    <t>BON-16-VQN</t>
  </si>
  <si>
    <t>NORTON CHAIR</t>
  </si>
  <si>
    <t>BASKET WEAVING RATTAN GREY</t>
  </si>
  <si>
    <t>f/14052019/d151032575174fafa31922c012dfc2a6.jpg</t>
  </si>
  <si>
    <t>2 FINISHED- Code: 20190408/BON/0008679/00000512/002</t>
  </si>
  <si>
    <t>20190408/BON/0008679/00000512/002</t>
  </si>
  <si>
    <t>b/10102018/c43e69afded643efa8269ab1283f789d.jpg</t>
  </si>
  <si>
    <t>NORTON LOUNGE BENCH</t>
  </si>
  <si>
    <t>d/14052019/32063ff9ab6748168d61e336706e56f2.jpg</t>
  </si>
  <si>
    <t>201</t>
  </si>
  <si>
    <t>3 FINISHED- Code: 20190408/BON/0008679/00000512/003</t>
  </si>
  <si>
    <t>20190408/BON/0008679/00000512/003</t>
  </si>
  <si>
    <t>d/08042019/994a6ddfa52b4333be71099afd9e848c.jpg</t>
  </si>
  <si>
    <t>SALAMANCA CHAIR</t>
  </si>
  <si>
    <t>2/21042019/b265081c1e0a4dc38cf8967dc3fab3fe.jpg</t>
  </si>
  <si>
    <t>7 ISSUED- Code: 20190408/PAL/0008679/00000512/007</t>
  </si>
  <si>
    <t>20190408/PAL/0008679/00000512/007</t>
  </si>
  <si>
    <t>1/09042019/b31da3f6f80c42c99d645eee8ce3793f.jpg</t>
  </si>
  <si>
    <t>TROYES STACKABLE LOUNGE SET (2X CHAIR, BENCH 173CM, LOUNGE TABLE 130X70X34CM)</t>
  </si>
  <si>
    <t>TAUPE 240</t>
  </si>
  <si>
    <t>5/03052019/8732dd81bf1d408cbe7a9689dd265bb9.jpg</t>
  </si>
  <si>
    <t>6 ISSUED- Code: 20190408/PAL/0008679/00000512/006</t>
  </si>
  <si>
    <t>20190408/PAL/0008679/00000512/006</t>
  </si>
  <si>
    <t>102/102/102/94</t>
  </si>
  <si>
    <t>172.5/172.5/102/94</t>
  </si>
  <si>
    <t>74/74/74/44.5</t>
  </si>
  <si>
    <t>41/41/31/18.5</t>
  </si>
  <si>
    <t>46/46/35/21</t>
  </si>
  <si>
    <t>104/104/104/96</t>
  </si>
  <si>
    <t>174.4/174.5/104/96</t>
  </si>
  <si>
    <t>77/77/77/47.5</t>
  </si>
  <si>
    <t>1 ISSUED- Code: 20190408/BIG/0008679/00000512/001</t>
  </si>
  <si>
    <t>20190408/BIG/0008679/00000512/001</t>
  </si>
  <si>
    <t>e/16042019/f36333d40bc54e82957b018d856f29ff.jpg</t>
  </si>
  <si>
    <t>2019-04-27</t>
  </si>
  <si>
    <t>BLACK/OLIVE GREEN</t>
  </si>
  <si>
    <t>0/17052019/23e3d7d97580450e856223bab1b43a13.jpg</t>
  </si>
  <si>
    <t>PI: 42200VN</t>
  </si>
  <si>
    <t>3 FINISHED- Code: 20190416/PAL/000705/00000513/003</t>
  </si>
  <si>
    <t>20190416/PAL/000705/00000513/003</t>
  </si>
  <si>
    <t>a/16042019/04931e45a6364a84ac2a35a781046c4c.jpg</t>
  </si>
  <si>
    <t xml:space="preserve">1. (16-04-2019 10:16:08)
EDGES OF FRAME SHOULD BE ROUNDED
</t>
  </si>
  <si>
    <t>c/07052019/e02a2a5cf7924e50ba3ccc0a5d391d67.jpg</t>
  </si>
  <si>
    <t>1 ISSUED- Code: 20190416/BIG/000705/00000513/001</t>
  </si>
  <si>
    <t>20190416/BIG/000705/00000513/001</t>
  </si>
  <si>
    <t>2/16042019/294884fb9eb64aa3a8f2d1b18b0d8b19.jpg</t>
  </si>
  <si>
    <t>PORTOFINO LOUNGE HOCKER</t>
  </si>
  <si>
    <t>a/07052019/cd94ff076bba44e1a1f908b5deb8c0bf.jpg</t>
  </si>
  <si>
    <t>2 ISSUED- Code: 20190416/BIG/000705/00000513/002</t>
  </si>
  <si>
    <t>20190416/BIG/000705/00000513/002</t>
  </si>
  <si>
    <t>e/18042019/2644dd1f9e52473c8c3624ba3b72524b.jpg</t>
  </si>
  <si>
    <t>VENTAS DINING CHAIR OPTION 1</t>
  </si>
  <si>
    <t>e/17052019/889b4d66e4a74daeb4c4114713e6a8be.jpg</t>
  </si>
  <si>
    <t>4 FINISHED- Code: 20190416/PAL/000705/00000513/004</t>
  </si>
  <si>
    <t>20190416/PAL/000705/00000513/004</t>
  </si>
  <si>
    <t>d/18042019/36730b4c310e4797a9e5dbc00108a00c.jpg</t>
  </si>
  <si>
    <t>VENTAS DINING CHAIR OPTION 2</t>
  </si>
  <si>
    <t>5 CREATED- Code: 20190418/PAL/000705/00000513/005</t>
  </si>
  <si>
    <t>20190418/PAL/000705/00000513/005</t>
  </si>
  <si>
    <t>a/20052019/5663cfa5131f4eefb01faa1f07ea097a.jpg</t>
  </si>
  <si>
    <t>2019-05-25</t>
  </si>
  <si>
    <t>ARAGON DINING CHAIR (705)</t>
  </si>
  <si>
    <t>ANTRACITE/GREEN</t>
  </si>
  <si>
    <t xml:space="preserve">1. DAVE VAN DER LINDEN(02-05-2019 16:33:03)
MAKE AS 705
</t>
  </si>
  <si>
    <t>5/24052019/0ba23656d62c443d82d71f7cbd9e1c8d.jpg</t>
  </si>
  <si>
    <t>GRIES DECO COMPANY GMBH</t>
  </si>
  <si>
    <t>NIEDERNBERG GERMANY</t>
  </si>
  <si>
    <t>PI: 42145</t>
  </si>
  <si>
    <t>20 SAMPLE APPROVED- Code: 20190426/TEC/000822/00000515/020</t>
  </si>
  <si>
    <t>20190426/TEC/000822/00000515/020</t>
  </si>
  <si>
    <t>3/04102018/60bd945bab704fd3b168cb1d8974b6a7.jpg</t>
  </si>
  <si>
    <t>BAHIA WOODEN BENCH WITH BELTS</t>
  </si>
  <si>
    <t>o/11052019/a9283e1ece7a4105a19d72b64e20e2f9.JPEG</t>
  </si>
  <si>
    <t>44/49</t>
  </si>
  <si>
    <t>127</t>
  </si>
  <si>
    <t>15 SAMPLE APPROVED- Code: 20190426/DAN/000822/00000515/015</t>
  </si>
  <si>
    <t>20190426/DAN/000822/00000515/015</t>
  </si>
  <si>
    <t>7/09012019/d42ac03a1d1649e29240fe198a860aec.jpg</t>
  </si>
  <si>
    <t>BAHIA WOODEN CHAIR WITH BELTS</t>
  </si>
  <si>
    <t>o/11052019/af906aa258fb422eb788ee8c116410bf.JPEG</t>
  </si>
  <si>
    <t>16 SAMPLE APPROVED- Code: 20190426/DAN/000822/00000515/016</t>
  </si>
  <si>
    <t>20190426/DAN/000822/00000515/016</t>
  </si>
  <si>
    <t>4/16102018/e9cca001be994ce998fa601780abe50a.jpg</t>
  </si>
  <si>
    <t>TERRACOTTA AS 1263</t>
  </si>
  <si>
    <t>BURGUNDY RED AS 1263</t>
  </si>
  <si>
    <t>4/24052019/b638d59b73254c30a664d966cb176576.jpg</t>
  </si>
  <si>
    <t>23 SAMPLE APPROVED- Code: 20190426/PAL/000822/00000515/023</t>
  </si>
  <si>
    <t>20190426/PAL/000822/00000515/023</t>
  </si>
  <si>
    <t>1/10102018/ab55d2ca9f8a4bd49bd7d273b582b266.jpg</t>
  </si>
  <si>
    <t>HONOLULU LOUNGE 2,5-SEATER BENCH</t>
  </si>
  <si>
    <t xml:space="preserve">1. DAVE VAN DER LINDEN(02-05-2019 16:33:03)
VERTICAL WEAVING AS 1263
MAKE LEGS SAME AS 705 FINAL SAMPLE (SKEWED)
</t>
  </si>
  <si>
    <t>6/21052019/8a38d50fc1a74564a26f2bd3b44206f1.jpg</t>
  </si>
  <si>
    <t>18.8</t>
  </si>
  <si>
    <t>21 SAMPLE APPROVED- Code: 20190426/PAL/000822/00000515/021</t>
  </si>
  <si>
    <t>20190426/PAL/000822/00000515/021</t>
  </si>
  <si>
    <t>4/10102018/f438dd52a04c4192ad64e85a7e0f5240.jpg</t>
  </si>
  <si>
    <t>HONOLULU LOUNGE CHAIR</t>
  </si>
  <si>
    <t>7/21052019/321cea3343a846988ef6918ad3a35962.jpg</t>
  </si>
  <si>
    <t>10.4</t>
  </si>
  <si>
    <t>22 SAMPLE APPROVED- Code: 20190426/PAL/000822/00000515/022</t>
  </si>
  <si>
    <t>20190426/PAL/000822/00000515/022</t>
  </si>
  <si>
    <t>f/26042019/240bfb4308c241288f0dcaf90cfb17df.jpg</t>
  </si>
  <si>
    <t>LENCO PROMO STACKABLE SET (1X CHAIR + 1X BENCH + 1X LENCO TABLE)</t>
  </si>
  <si>
    <t>o/20052019/b046d88508014c8c91395e99e8015bbd.jpeg</t>
  </si>
  <si>
    <t>76/152.5/120</t>
  </si>
  <si>
    <t>80/80/31.5</t>
  </si>
  <si>
    <t>30.6</t>
  </si>
  <si>
    <t>34.6</t>
  </si>
  <si>
    <t>78/78/69</t>
  </si>
  <si>
    <t>77/153.5/121</t>
  </si>
  <si>
    <t>81/81/32.5</t>
  </si>
  <si>
    <t>8 SAMPLE APPROVED- Code: 20190426/APO/000822/00000515/008</t>
  </si>
  <si>
    <t>20190426/APO/000822/00000515/008</t>
  </si>
  <si>
    <t>7/23112018/f15ce8632f5c49508885aa54394b545f.jpg</t>
  </si>
  <si>
    <t>MINDANAO CHAIR</t>
  </si>
  <si>
    <t>WICKER ROPE 4.5</t>
  </si>
  <si>
    <t xml:space="preserve">1. DAVE VAN DER LINDEN(02-05-2019 16:04:31)
PLEASE FOLLOW ORIGINAL SAMPLE FROM INDO, AVAILABLE IN SHOWROOM HCM
TARGET $59,50
</t>
  </si>
  <si>
    <t>2/20052019/ccc3b324989a4132a1149a69a1900f8b.jpg</t>
  </si>
  <si>
    <t>1 SAMPLE APPROVED- Code: 20190426/BIG/000822/00000515/001</t>
  </si>
  <si>
    <t>20190426/BIG/000822/00000515/001</t>
  </si>
  <si>
    <t>6/18122018/84f025ef16ad489c8b89133114c4d585.jpg</t>
  </si>
  <si>
    <t>2/17052019/5f37d4b1f89d4887bc0936669b932e49.jpg</t>
  </si>
  <si>
    <t>5 SAMPLE APPROVED- Code: 20190426/BIG/000822/00000515/005</t>
  </si>
  <si>
    <t>20190426/BIG/000822/00000515/005</t>
  </si>
  <si>
    <t>b/28032018/5352831a8ee24d2eaad475a5c5219264.jpg</t>
  </si>
  <si>
    <t>NARVIK BENCH 82X151X75CM</t>
  </si>
  <si>
    <t>3/17052019/1fc554c37e0d478ca88cf16fc27f3757.jpg</t>
  </si>
  <si>
    <t>18 SAMPLE APPROVED- Code: 20190426/TEC/000822/00000515/018</t>
  </si>
  <si>
    <t>20190426/TEC/000822/00000515/018</t>
  </si>
  <si>
    <t>b/28032018/df2bdbd33a744139b260909a120bd223.jpg</t>
  </si>
  <si>
    <t>NARVIK LOUNGE CHAIR</t>
  </si>
  <si>
    <t>2/17052019/ed0a8426466d435ab77fbf12fb2876a8.jpg</t>
  </si>
  <si>
    <t>17 SAMPLE APPROVED- Code: 20190426/TEC/000822/00000515/017</t>
  </si>
  <si>
    <t>20190426/TEC/000822/00000515/017</t>
  </si>
  <si>
    <t>9/28032018/0befdb9904484ad1aaf8807cb331d6f8.jpg</t>
  </si>
  <si>
    <t>NARVIK LOUNGE TABLE 110X60X40CM</t>
  </si>
  <si>
    <t>4/17052019/e4a258bd68614feabc813afef479d76c.jpg</t>
  </si>
  <si>
    <t>19 SAMPLE APPROVED- Code: 20190426/TEC/000822/00000515/019</t>
  </si>
  <si>
    <t>20190426/TEC/000822/00000515/019</t>
  </si>
  <si>
    <t>b/26042019/ed03416ff4df402888d4b67bd9b89826.jpg</t>
  </si>
  <si>
    <t xml:space="preserve">NORTON LOUNGESET (1260): 1X CHAIR + 1X BENCH 165CM +1X TABLE 105X65X29.5  BASKET WEAVE</t>
  </si>
  <si>
    <t xml:space="preserve">1. An Huyen Cao(07-05-2019 16:55:21)
THICK WEAVING
</t>
  </si>
  <si>
    <t>o/16052019/9cb713e23d6e424dad8de7d38f7b22a7.jpeg</t>
  </si>
  <si>
    <t>78/78/78/120</t>
  </si>
  <si>
    <t>74/74/165/70</t>
  </si>
  <si>
    <t>65/65/65/29</t>
  </si>
  <si>
    <t>17/17/31/8</t>
  </si>
  <si>
    <t>20/20/37/10.5</t>
  </si>
  <si>
    <t>84.5/84.5/177.5/130</t>
  </si>
  <si>
    <t>88.5/88.5/88.5/82</t>
  </si>
  <si>
    <t>53/53/53/15.5</t>
  </si>
  <si>
    <t>7 SAMPLE APPROVED- Code: 20190426/BON/000822/00000515/007</t>
  </si>
  <si>
    <t>20190426/BON/000822/00000515/007</t>
  </si>
  <si>
    <t>8/02052019/ef7a87143fc84405b4f69321687ca205.jpg</t>
  </si>
  <si>
    <t>PARLA LOUNGER WITH SEAT CUSHION AND 1 BACKPILLOW</t>
  </si>
  <si>
    <t xml:space="preserve">1. DAVE VAN DER LINDEN(02-05-2019 16:33:03)
PLEASE MAKE SEAT PART 120CM
TARGET $ 74,29
</t>
  </si>
  <si>
    <t>9/21052019/5abb5aea68374820aa2fc770289cfa8e.jpg</t>
  </si>
  <si>
    <t>141.5</t>
  </si>
  <si>
    <t>146</t>
  </si>
  <si>
    <t>269</t>
  </si>
  <si>
    <t>24 SAMPLE APPROVED- Code: 20190502/PAL/000822/00000515/024</t>
  </si>
  <si>
    <t>20190502/PAL/000822/00000515/024</t>
  </si>
  <si>
    <t>6/22012019/4b984543f5a74d6898c2b61c1577acd1.jpg</t>
  </si>
  <si>
    <t>PARLA SIDE TABLE (1075)</t>
  </si>
  <si>
    <t>1/17052019/5a59c20fbda24159a1dba58d4e604635.jpg</t>
  </si>
  <si>
    <t>3.2</t>
  </si>
  <si>
    <t>10 SAMPLE APPROVED- Code: 20190426/PAL/000822/00000515/010</t>
  </si>
  <si>
    <t>20190426/PAL/000822/00000515/010</t>
  </si>
  <si>
    <t>CORAL ROSE 2338C</t>
  </si>
  <si>
    <t>1/17052019/b7520e2f533a4b1f9090c4e00dae93b1.jpg</t>
  </si>
  <si>
    <t>14 SAMPLE APPROVED- Code: 20190426/PAL/000822/00000515/014</t>
  </si>
  <si>
    <t>20190426/PAL/000822/00000515/014</t>
  </si>
  <si>
    <t>5/17052019/fc1b6507ccbb48b3bc88555ca154e56f.jpg</t>
  </si>
  <si>
    <t>12 SAMPLE APPROVED- Code: 20190426/PAL/000822/00000515/012</t>
  </si>
  <si>
    <t>20190426/PAL/000822/00000515/012</t>
  </si>
  <si>
    <t>4/22012019/940754b5b428436db414b9ae0af1f455.jpg</t>
  </si>
  <si>
    <t>PARLA STACKABLE LOUNGE CHAIR (1075)</t>
  </si>
  <si>
    <t>2/17052019/0e253b8cc64a4b68a188895b82eba0f2.jpg</t>
  </si>
  <si>
    <t>13 SAMPLE APPROVED- Code: 20190426/PAL/000822/00000515/013</t>
  </si>
  <si>
    <t>20190426/PAL/000822/00000515/013</t>
  </si>
  <si>
    <t>8/17052019/5280bfe8995b4950a5e8849393ec3cd9.jpg</t>
  </si>
  <si>
    <t>11 SAMPLE APPROVED- Code: 20190426/PAL/000822/00000515/011</t>
  </si>
  <si>
    <t>20190426/PAL/000822/00000515/011</t>
  </si>
  <si>
    <t>6/17052019/42ce2c04fe154585b9aa66c8161475bb.jpg</t>
  </si>
  <si>
    <t>9 SAMPLE APPROVED- Code: 20190426/PAL/000822/00000515/009</t>
  </si>
  <si>
    <t>20190426/PAL/000822/00000515/009</t>
  </si>
  <si>
    <t>0/14082018/971ac1d2489b4d0d92726158df27193c.jpg</t>
  </si>
  <si>
    <t>RIVOLI SET (CHAIR AND HOCKER)</t>
  </si>
  <si>
    <t>e/17052019/da21395fba8844e082ae31e604253660.jpg</t>
  </si>
  <si>
    <t>106/86</t>
  </si>
  <si>
    <t>93.5/62</t>
  </si>
  <si>
    <t>82.5/32.5</t>
  </si>
  <si>
    <t>6 SAMPLE APPROVED- Code: 20190426/BIG/000822/00000515/006</t>
  </si>
  <si>
    <t>20190426/BIG/000822/00000515/006</t>
  </si>
  <si>
    <t>a/29032018/4144e38153884d1194ab35f2a822819d.jpg</t>
  </si>
  <si>
    <t>VERNON FOLDING BENCH 32X180X45CM</t>
  </si>
  <si>
    <t>2/24052019/9ef0746c8a6a44c3ae754e17d75e2fc3.jpg</t>
  </si>
  <si>
    <t>3 SAMPLE APPROVED- Code: 20190426/AKI/000822/00000515/003</t>
  </si>
  <si>
    <t>20190426/AKI/000822/00000515/003</t>
  </si>
  <si>
    <t>d/29032018/801b133b47074e009b8b6987c9c5a5c5.jpg</t>
  </si>
  <si>
    <t>VERNON FOLDING TABLE 180X90X76CM</t>
  </si>
  <si>
    <t>0/24052019/33afac93a6f749328e82781a71f92619.jpg</t>
  </si>
  <si>
    <t>2 SAMPLE APPROVED- Code: 20190426/AKI/000822/00000515/002</t>
  </si>
  <si>
    <t>20190426/AKI/000822/00000515/002</t>
  </si>
  <si>
    <t>6/29032018/470dd3d0417a411fac25347447bc29df.jpg</t>
  </si>
  <si>
    <t>VERNON STACKABLE DINING CHAIR</t>
  </si>
  <si>
    <t>5/24052019/db74bc1696ec441f9ec52712bd7998fd.jpg</t>
  </si>
  <si>
    <t>4 SAMPLE APPROVED- Code: 20190426/AKI/000822/00000515/004</t>
  </si>
  <si>
    <t>20190426/AKI/000822/00000515/004</t>
  </si>
  <si>
    <t>4/01052019/308d8354d4f341d1a110a79069ce03a7.jpg</t>
  </si>
  <si>
    <t>Stacking chair 1319</t>
  </si>
  <si>
    <t>NATURAL TEAK LOOK</t>
  </si>
  <si>
    <t xml:space="preserve">1. Reinhard Jolie(01-05-2019 10:53:18)
Original sample will be brought from The Netherlands.
</t>
  </si>
  <si>
    <t>2019-06-01</t>
  </si>
  <si>
    <t>HORECA TERRASSERVICE</t>
  </si>
  <si>
    <t>The Netherlands</t>
  </si>
  <si>
    <t>1 ISSUED- Code: 20190501/PAL/001319/00000516/001</t>
  </si>
  <si>
    <t>20190501/PAL/001319/00000516/001</t>
  </si>
  <si>
    <t>d/02052019/ec501ad7e5f941699ddad0a534666d52.jpg</t>
  </si>
  <si>
    <t>2019-05-20</t>
  </si>
  <si>
    <t>SHEFLIED FOLDING SET 3 PCS ( 2 chairs + 1 round table)</t>
  </si>
  <si>
    <t>MATT WHITE</t>
  </si>
  <si>
    <t>f/13052019/34feb4e91d014b398a8b0eb7e2e292ac.jpg</t>
  </si>
  <si>
    <t>PI: 42272VN</t>
  </si>
  <si>
    <t>1 ISSUED- Code: 20190502/AKI/001262/00000518/001</t>
  </si>
  <si>
    <t>20190502/AKI/001262/00000518/001</t>
  </si>
  <si>
    <t>3/14052019/2ede4d7ccf454646889e4e5101aef92d.jpg</t>
  </si>
  <si>
    <t>2019-05-27</t>
  </si>
  <si>
    <t>BALAWA CORNER</t>
  </si>
  <si>
    <t>BRAIDED OUTDOOR</t>
  </si>
  <si>
    <t>30MM</t>
  </si>
  <si>
    <t xml:space="preserve">1. Huynh Thi To Nga(14-05-2019 10:39:03)
Please follow TD for sample process
Alu leg is 25MM
Bird-eye weaving pattern
</t>
  </si>
  <si>
    <t>2/04062019/4a6276938c7d4790bf3f2e3755bcdd25.jpg</t>
  </si>
  <si>
    <t>2019-06-03</t>
  </si>
  <si>
    <t>MADE.COM</t>
  </si>
  <si>
    <t>10 FINISHED- Code: 20190514/APO/909314/00000519/010</t>
  </si>
  <si>
    <t>20190514/APO/909314/00000519/010</t>
  </si>
  <si>
    <t>c/14052019/8337d977583c4aaab6784834f70434a8.jpg</t>
  </si>
  <si>
    <t>BALAWA CORNER TABLE</t>
  </si>
  <si>
    <t>PU TOP</t>
  </si>
  <si>
    <t>BLENDED ANTHARCITE</t>
  </si>
  <si>
    <t xml:space="preserve">1. Huynh Thi To Nga(14-05-2019 10:39:03)
Please follow TD for sample process
Alu leg
</t>
  </si>
  <si>
    <t>o/04062019/35195a21c94d4e969403ebea5cbeeb92.jpeg</t>
  </si>
  <si>
    <t>14 FINISHED- Code: 20190514/APO/909314/00000519/014</t>
  </si>
  <si>
    <t>20190514/APO/909314/00000519/014</t>
  </si>
  <si>
    <t>c/14052019/77d4f8a2992d4a988d94a99add116e1b.jpg</t>
  </si>
  <si>
    <t>BALAWA LOUNGE BENCH</t>
  </si>
  <si>
    <t>BRAIDED OUTDOOR 30MM</t>
  </si>
  <si>
    <t xml:space="preserve">1. Huynh Thi To Nga(14-05-2019 07:45:06)
Please follow TDs  for sample process
Wicker flat 7M should be used 2-sides type
Bird-eye weaving pattern
2 seat cushions: 1 with thickness of cushion is 18CM and 1 with thickness 16CM
</t>
  </si>
  <si>
    <t>o/04062019/2597efd219db4a9a82fe2de914f9f521.jpeg</t>
  </si>
  <si>
    <t>9 FINISHED- Code: 20190514/APO/909314/00000519/009</t>
  </si>
  <si>
    <t>20190514/APO/909314/00000519/009</t>
  </si>
  <si>
    <t>8/14052019/3654402af7e745eb80cd272c06905ce3.jpg</t>
  </si>
  <si>
    <t>BALAWA LOUNGE CHAIR</t>
  </si>
  <si>
    <t xml:space="preserve">1. Huynh Thi To Nga(14-05-2019 07:45:06)
Please follow TDs for sample processing
Thickness of cushion should be 18CM
Wicker flat 7MM should be used 2-sides type
Bird-eye weaving pattern
</t>
  </si>
  <si>
    <t>1/31052019/43015b2ddb5a4ec3b0478c4ece052b95.jpg</t>
  </si>
  <si>
    <t>8 FINISHED- Code: 20190514/APO/909314/00000519/008</t>
  </si>
  <si>
    <t>20190514/APO/909314/00000519/008</t>
  </si>
  <si>
    <t>4/14052019/2d7799945a5d42818ca547280c9b753a.jpg</t>
  </si>
  <si>
    <t xml:space="preserve">1. Huynh Thi To Nga(14-05-2019 10:39:03)
Please follow TD for sample process
Steel Legs
Thickness of cushion is 16MM
Bird-eye weaving pattern
</t>
  </si>
  <si>
    <t>11 ISSUED- Code: 20190514/APO/909314/00000519/011</t>
  </si>
  <si>
    <t>20190514/APO/909314/00000519/011</t>
  </si>
  <si>
    <t>9/14052019/eb665a12ca62434c9dd19a479acd4145.jpg</t>
  </si>
  <si>
    <t>BALAWA LOUNGE TABLE</t>
  </si>
  <si>
    <t xml:space="preserve">1. Huynh Thi To Nga(14-05-2019 10:39:03)
Please follow TD for sample process
Thickness of alu leg is 25MM
</t>
  </si>
  <si>
    <t>13 ISSUED- Code: 20190514/APO/909314/00000519/013</t>
  </si>
  <si>
    <t>20190514/APO/909314/00000519/013</t>
  </si>
  <si>
    <t>1/14052019/0b7e8598cd134490bc41a2b58986d28a.jpg</t>
  </si>
  <si>
    <t xml:space="preserve">1. Huynh Thi To Nga(14-05-2019 10:39:03)
Please follow TD sample process
Thickness of alu leg is 25MM
</t>
  </si>
  <si>
    <t>5/04062019/82b9a40851b043488c309d40b77fbd5b.jpg</t>
  </si>
  <si>
    <t>12 FINISHED- Code: 20190514/APO/909314/00000519/012</t>
  </si>
  <si>
    <t>20190514/APO/909314/00000519/012</t>
  </si>
  <si>
    <t>4/14052019/9ae4cd3d637c47d6a563429988e78d52.jpg</t>
  </si>
  <si>
    <t>MANARA DINING BENCH</t>
  </si>
  <si>
    <t xml:space="preserve">1. Huynh Thi To Nga(14-05-2019 12:02:31)
Please follow TD for sample process
Steel leg
Cushion thickness - 10CM
</t>
  </si>
  <si>
    <t>2/03062019/71dcd2602bc843ff8a74c7d8396a31b5.jpg</t>
  </si>
  <si>
    <t>17 FINISHED- Code: 20190514/APO/909314/00000519/017</t>
  </si>
  <si>
    <t>20190514/APO/909314/00000519/017</t>
  </si>
  <si>
    <t>b/14052019/f27a57e483e5487bb1e27e1793043c26.jpg</t>
  </si>
  <si>
    <t>MANARA DINING CHAIR (909314)</t>
  </si>
  <si>
    <t xml:space="preserve">1. Huynh Thi To Nga(14-05-2019 11:22:12)
Please follow TD for sample process
Steel leg
Seat cushion of thickness  4CM
Please make one more cushion in Natural Taupe for client checking during sample review.
</t>
  </si>
  <si>
    <t>3/03062019/3ad2aad83e0f4342bab5d47fe53cdf51.jpg</t>
  </si>
  <si>
    <t>15 FINISHED- Code: 20190514/APO/909314/00000519/015</t>
  </si>
  <si>
    <t>20190514/APO/909314/00000519/015</t>
  </si>
  <si>
    <t>a/14052019/ffb79e97cf534e28b2b4ce3fcd803455.jpg</t>
  </si>
  <si>
    <t>MANARA LOUNGE SET (909314)</t>
  </si>
  <si>
    <t>YELLOW LIGHT</t>
  </si>
  <si>
    <t xml:space="preserve">1. Huynh Thi To Nga(14-05-2019 11:57:04)
Please follow TD for sample process
Steel Legs
Seat cushion - thickness 10CM
Back cushion of Lounge bench has 4pcs with Dim 40 x 69 x 12
Back cushion of Lounge chair has 3pcs with Dim 40 x 69 x 12
</t>
  </si>
  <si>
    <t>o/06062019/827bcdfcd91b40148b66074638f3e7dd.jpeg</t>
  </si>
  <si>
    <t>16 FINISHED- Code: 20190514/APO/909314/00000519/016</t>
  </si>
  <si>
    <t>20190514/APO/909314/00000519/016</t>
  </si>
  <si>
    <t>c/14052019/5a23fc231cec43caa1ee3e2f4a632eac.jpg</t>
  </si>
  <si>
    <t>MANARA LOUNGER (909314)</t>
  </si>
  <si>
    <t xml:space="preserve">1. Huynh Thi To Nga(14-05-2019 12:22:59)
Please follow TD for sample process
Steel Legs
Cushion thickness-10CM
Back cushion - 48 x 38 x12 CM
</t>
  </si>
  <si>
    <t>b/03062019/9c586bc638504d558664173555c42de3.jpg</t>
  </si>
  <si>
    <t>19 FINISHED- Code: 20190514/APO/909314/00000519/019</t>
  </si>
  <si>
    <t>20190514/APO/909314/00000519/019</t>
  </si>
  <si>
    <t>2/14052019/bce09b8d72104a0387095ecfc3939725.jpg</t>
  </si>
  <si>
    <t>MANARA SIDE TABLE (909314)</t>
  </si>
  <si>
    <t xml:space="preserve">1. Huynh Thi To Nga(14-05-2019 12:16:09)
Please follow TD for sample process
Steel leg
Cushion -thickness 10CM
</t>
  </si>
  <si>
    <t>c/03062019/43dfdf10e08440a8bb3f5d11167d991d.jpg</t>
  </si>
  <si>
    <t>18 FINISHED- Code: 20190514/APO/909314/00000519/018</t>
  </si>
  <si>
    <t>20190514/APO/909314/00000519/018</t>
  </si>
  <si>
    <t>d/08052019/fb749afd0c2f4ff898315f48eb774c66.jpg</t>
  </si>
  <si>
    <t>SWARA BENCH</t>
  </si>
  <si>
    <t xml:space="preserve">1. (08-05-2019 12:17:30)
"Wicker round 6mm rattan grey (for backrest)
Wicker HR 7mm rattan grey (for seat + back) - bird-eye weaving pattern (2 sides for backrest) 
Alu powder coated frame"
- PACKAGING FOR DROP TEST, CARTON 175LBS, V PROTECTOR, PE FOAM 15-20CM
</t>
  </si>
  <si>
    <t>7/03062019/3da9e30202aa4daa96ef892e563dac7d.jpg</t>
  </si>
  <si>
    <t>124.5</t>
  </si>
  <si>
    <t>7 FINISHED- Code: 20190507/APO/909314/00000519/007</t>
  </si>
  <si>
    <t>20190507/APO/909314/00000519/007</t>
  </si>
  <si>
    <t>7/08052019/457158d2ea7e4c6ba91949e1b1ba1024.jpg</t>
  </si>
  <si>
    <t>SWARA CARVER DINING CHAIR</t>
  </si>
  <si>
    <t xml:space="preserve">1. (07-05-2019 11:19:20)
"Wicker round 6mm rattan grey (for backrest)
Wicker HR 7mm rattan grey (for seat + back) - bird-eye weaving pattern (2 sides for backrest) 
Alu powder coated frame"
- PACKAGING FOR DROP TEST, CARTON 175LBS, V PROTECTOR, PE FOAM 15-20CM
</t>
  </si>
  <si>
    <t>3/03062019/00894689f42546f1b2681d7afd406d10.jpg</t>
  </si>
  <si>
    <t>52.5</t>
  </si>
  <si>
    <t>3 FINISHED- Code: 20190507/APO/909314/00000519/003</t>
  </si>
  <si>
    <t>20190507/APO/909314/00000519/003</t>
  </si>
  <si>
    <t>d/08052019/d386eabb5d964aeaa5caa74741fcad85.jpg</t>
  </si>
  <si>
    <t>SWARA COFFEE TABLE</t>
  </si>
  <si>
    <t>TEMPERED GLASS</t>
  </si>
  <si>
    <t>TRANSPARANT</t>
  </si>
  <si>
    <t xml:space="preserve">1. (08-05-2019 12:17:30)
FOLLOW TD
- PACKAGING FOR DROP TEST, CARTON 175LBS, V PROTECTOR, PE FOAM 15-20CM
</t>
  </si>
  <si>
    <t>9/03062019/036275fabb87409db71bc487cee164b7.jpg</t>
  </si>
  <si>
    <t>107.5</t>
  </si>
  <si>
    <t>108.5</t>
  </si>
  <si>
    <t>4 FINISHED- Code: 20190507/APO/909314/00000519/004</t>
  </si>
  <si>
    <t>20190507/APO/909314/00000519/004</t>
  </si>
  <si>
    <t>c/08052019/518a2dfde2e840e7a82da293af0dd4a3.jpg</t>
  </si>
  <si>
    <t>SWARA DINING CHAIR (STACKABLE)</t>
  </si>
  <si>
    <t xml:space="preserve">2. (08-05-2019 12:17:30)
FOLLOW TD
1. (07-05-2019 11:19:20)
Wicker round 6mm rattan grey (for backrest)
Wicker HR 7mm rattan grey (for seat)
- PACKAGING FOR DROP TEST, CARTON 175LBS, V PROTECTOR, PE FOAM 15-20CM
</t>
  </si>
  <si>
    <t>1/03062019/2b8ecb3e139845f5935c26e2c2dac414.jpg</t>
  </si>
  <si>
    <t>2 FINISHED- Code: 20190507/APO/909314/00000519/002</t>
  </si>
  <si>
    <t>20190507/APO/909314/00000519/002</t>
  </si>
  <si>
    <t>e/14052019/b87e9f64a1024ce0a0ab50d006007a09.jpg</t>
  </si>
  <si>
    <t xml:space="preserve">1. Huynh Thi To Nga(17-05-2019 14:09:25)
Wicker round 6mm rattan grey (for backrest)
Wicker HR 7mm rattan grey (for seat)
- PACKAGING FOR DROP TEST, CARTON 175LBS, V PROTECTOR, PE FOAM 15-20CM
</t>
  </si>
  <si>
    <t>20 ISSUED- Code: 20190514/APO/909314/00000519/020</t>
  </si>
  <si>
    <t>20190514/APO/909314/00000519/020</t>
  </si>
  <si>
    <t>1/08052019/f15162425cda4c2d93f7f36265c59c83.jpg</t>
  </si>
  <si>
    <t>SWARA HIGH BACK LOUNGE CHAIR</t>
  </si>
  <si>
    <t xml:space="preserve">2. (08-05-2019 12:17:30)
FOLLOW TD
1. (07-05-2019 11:19:20)
"Wicker round 6mm rattan grey (for backrest)
Wicker HR 7mm rattan grey (for seat + back) - bird-eye weaving pattern (2 sides for backrest) 
Alu powder coated frame"
- PACKAGING FOR DROP TEST, CARTON 175LBS, V PROTECTOR, PE FOAM 15-20CM
</t>
  </si>
  <si>
    <t>e/03062019/a7e5cf7f0438442592161a4f71a4d637.jpg</t>
  </si>
  <si>
    <t>5 FINISHED- Code: 20190507/APO/909314/00000519/005</t>
  </si>
  <si>
    <t>20190507/APO/909314/00000519/005</t>
  </si>
  <si>
    <t>e/08052019/5a53c35cd4a6489ea46b16d5670e7ead.jpg</t>
  </si>
  <si>
    <t>SWARA SOFA</t>
  </si>
  <si>
    <t>c/04062019/bd3533227d274153a784c88da3d1ac4a.jpg</t>
  </si>
  <si>
    <t>6 FINISHED- Code: 20190507/APO/909314/00000519/006</t>
  </si>
  <si>
    <t>20190507/APO/909314/00000519/006</t>
  </si>
  <si>
    <t>9/08052019/d668ac91b5c6400da8d3c85bbc85ace5.jpg</t>
  </si>
  <si>
    <t>SWARA TABLE</t>
  </si>
  <si>
    <t>9/03062019/979c14a31364404bb85c3595a61a1523.jpg</t>
  </si>
  <si>
    <t>1 FINISHED- Code: 20190507/APO/909314/00000519/001</t>
  </si>
  <si>
    <t>20190507/APO/909314/00000519/001</t>
  </si>
  <si>
    <t>a/22052019/8c0522c96bef4ac6a1c5066e4ec4a986.jpg</t>
  </si>
  <si>
    <t>TOPA CORNER DINING SET (909314)</t>
  </si>
  <si>
    <t xml:space="preserve">1. Huynh Thi To Nga(15-05-2019 11:11:53)
Please follow TDs for sample process
whole set - Antique Grey
Please make one more cushion set  in Natural Taupe for this set. Client will compare the cushion color during sample review.
</t>
  </si>
  <si>
    <t>9/02062019/dbd1311ab23b4aeab0063fa592161afe.jpg</t>
  </si>
  <si>
    <t>23 FINISHED- Code: 20190514/PAL/909314/00000519/023</t>
  </si>
  <si>
    <t>20190514/PAL/909314/00000519/023</t>
  </si>
  <si>
    <t>2/14052019/538cb4151d9b4e62807b25aa01552217.jpg</t>
  </si>
  <si>
    <t>TOPA DINING CHAIR (909314)</t>
  </si>
  <si>
    <t xml:space="preserve">1. Huynh Thi To Nga(14-05-2019 13:56:57)
please follow TD for sample process
</t>
  </si>
  <si>
    <t>d/02062019/c0fb2569e16b45caa645514aba5af83d.jpg</t>
  </si>
  <si>
    <t>21 FINISHED- Code: 20190514/PAL/909314/00000519/021</t>
  </si>
  <si>
    <t>20190514/PAL/909314/00000519/021</t>
  </si>
  <si>
    <t>c/11042019/5a2e358d678345c883d55fa3417f6245.jpg</t>
  </si>
  <si>
    <t>TOPA DINING TABLE (909314)</t>
  </si>
  <si>
    <t xml:space="preserve">1. Huynh Thi To Nga(14-05-2019 13:56:57)
Please follow TD for sample process
</t>
  </si>
  <si>
    <t>c/01062019/dc86322a90b04344b939149586d2edde.jpg</t>
  </si>
  <si>
    <t>22 FINISHED- Code: 20190514/PAL/909314/00000519/022</t>
  </si>
  <si>
    <t>20190514/PAL/909314/00000519/022</t>
  </si>
  <si>
    <t>1/15052019/8377f19f0c5e47c294100b828e06c7c8.jpg</t>
  </si>
  <si>
    <t>TOPA LOW LOUNGE SET ( 909314)</t>
  </si>
  <si>
    <t xml:space="preserve">1. Huynh Thi To Nga(15-05-2019 11:11:53)
Please follow TDs for sample process
</t>
  </si>
  <si>
    <t>e/02062019/2b1be147f24b444e800960fbf289703b.jpg</t>
  </si>
  <si>
    <t>24 FINISHED- Code: 20190515/PAL/909314/00000519/024</t>
  </si>
  <si>
    <t>20190515/PAL/909314/00000519/024</t>
  </si>
  <si>
    <t>b/08052019/0894a417d06547d2afc32e6c2b1edffc.jpg</t>
  </si>
  <si>
    <t>2019-05-18</t>
  </si>
  <si>
    <t xml:space="preserve">3. (27-05-2019 15:08:17)
1. Frame needs rework; keep lower round tube as it is, but make top round tube thinner. 
2. Height need rework; TABLES need to become nesting tables (small table should fit underneath the big table)
3. ROPE finishing needs rework; the finishing of the rope needs to be better.
2. Nicole Poldervaart(23-05-2019 17:50:20)
TUBE ARE TOO THICK.
BOTH TUBES MUST BE SMALLER
MUST BE NESTING TABLES. 2,5CM LOWER
NEW SAMPLE 60X40CM
1. Robbert de Leijser(08-05-2019 16:21:21)
TABLE NEEDS STANDING EDGE OF 5CM, LIKE PICTURE. 
NEED ANOTHER FRAME
- CLIENT DO NOT WANT THE HOOK CHAIN COMBI. REWORK TOP- TUBE- CONNECTION.
MAKE GLASPLATE THAT FITS IN TABLE
USE BLACK BOLTS. NO SILVER OR GOLD
</t>
  </si>
  <si>
    <t>c/20052019/8f512a3b313a4283a32f755abd68b193.jpg</t>
  </si>
  <si>
    <t>REVISED</t>
  </si>
  <si>
    <t>SHOWROOM VISIT CLIENT</t>
  </si>
  <si>
    <t>50.5</t>
  </si>
  <si>
    <t>4.4</t>
  </si>
  <si>
    <t>6 REVISED- Code: 20190508/BIG/001200/00000520/006</t>
  </si>
  <si>
    <t>20190508/BIG/001200/00000520/006</t>
  </si>
  <si>
    <t>CARPIANO TABLE 60X40CM</t>
  </si>
  <si>
    <t>BLACK (1200)</t>
  </si>
  <si>
    <t>17 CREATED- Code: 20190529/XXX/001200/00000520/017</t>
  </si>
  <si>
    <t>20190529/XXX/001200/00000520/017</t>
  </si>
  <si>
    <t>9/08052019/0dbe158287884d7287a4facbbf9ac76b.jpg</t>
  </si>
  <si>
    <t xml:space="preserve">3. (27-05-2019 15:08:17)
1. Frame needs rework; keep lower round tube as it is, but make top round tube thinner. 
2. Height need rework; TABLES need to become nesting tables (small table should fit underneath the big table)
3. ROPE finishing needs rework; the finishing of the rope needs to be better.
2. Nicole Poldervaart(23-05-2019 17:50:20)
MUST BE NESTING TABLES
2,5CM TALLER
1. Robbert de Leijser(08-05-2019 16:00:08)
TABLE NEEDS STANDING EDGE OF 5CM, LIKE PICTURE. 
NEED ANOTHER FRAME
- CLIENT DO NOT WANT THE HOOK CHAIN COMBI. REWORK TOP- TUBE- CONNECTION.
MAKE GLASPLATE THAT FITS IN TABLE.
USE BLACK BOLTS. NO SILVER OR GOLD
</t>
  </si>
  <si>
    <t>3/20052019/799c4600df484b8ea89573b4f8838fcf.jpg</t>
  </si>
  <si>
    <t>5 REVISED- Code: 20190508/BIG/001200/00000520/005</t>
  </si>
  <si>
    <t>20190508/BIG/001200/00000520/005</t>
  </si>
  <si>
    <t>3/08052019/8abe1dae964e477a8951b09339f0861a.jpg</t>
  </si>
  <si>
    <t>D946 MIRA LOUNGE SET -DOUBLE WEAVE - 10MM ( 1X CHAIR + 1X 3SEATER BENCH )</t>
  </si>
  <si>
    <t xml:space="preserve">2. (27-05-2019 14:40:21)
1. BENCH is OK.
2. CHAIR needs rework. You can see bad wicker finishing on the front of the chair. Please do rework and upload new finished pictures.
1. Robbert de Leijser(08-05-2019 15:14:22)
Chair: 
place front legs 2 cm to outside. 4 cm additional space between front legs.  
Make sure front of chair looks as nice as back. (below cushion).
make legs in teak look natural 1200
Bench:
make sure that the number of wicker lines, both horizontal and vertical, are the same distance on bench and chair. (sample pic -4)
hight of arm bench must be the same hight as arm of chair. (sample pic- 3)
make legs in teak look natural 1200
Why is frame under seat so heavy?  (SAMPLE PIC 5)
Overal finishing of set has to be done better.
</t>
  </si>
  <si>
    <t>f/18052019/33bae3c46a9b4e8bbf90effad61bca10.jpg</t>
  </si>
  <si>
    <t>91/91</t>
  </si>
  <si>
    <t>91/186</t>
  </si>
  <si>
    <t>74.5/74.5</t>
  </si>
  <si>
    <t>21/38.3</t>
  </si>
  <si>
    <t>25 /43</t>
  </si>
  <si>
    <t>93/93</t>
  </si>
  <si>
    <t>93/188</t>
  </si>
  <si>
    <t>56.5/56.5</t>
  </si>
  <si>
    <t>1 REVISED- Code: 20190508/PAL/001200/00000520/001</t>
  </si>
  <si>
    <t>20190508/PAL/001200/00000520/001</t>
  </si>
  <si>
    <t>2/08052019/8549186bc6f54a8eab43d890fe563987.jpg</t>
  </si>
  <si>
    <t xml:space="preserve">2. (27-05-2019 15:39:11)
1. Make new type of back cushion; make 3/4cm thick, with velcro attached to vertical tubes in the back (3x velcro for chair; 5x velcro for bench)
1. Robbert de Leijser(08-05-2019 17:20:57)
THE RAKE OF BACKREST IS NOT GOOD.  TOO STRAIGHT
MAKE BACK AS ORIGINAL.&gt; AVALAIBLE IN VN
USE FOR THE BACK OF THE DINING CHAIR THE SAME ANGLE AS THE BACK OF THE GOLDAU LOUNGE CHAIR. 
MAKE BACKCUSHION THAT FITS BACKREST
</t>
  </si>
  <si>
    <t>d/17052019/f27d4abfcab649efa0de67b789cf5d12.jpg</t>
  </si>
  <si>
    <t>55.5</t>
  </si>
  <si>
    <t>12 REVISED- Code: 20190508/BIG/001200/00000520/012</t>
  </si>
  <si>
    <t>20190508/BIG/001200/00000520/012</t>
  </si>
  <si>
    <t>7/08052019/56f264d6932745f2b5580e2dae550d9c.jpg</t>
  </si>
  <si>
    <t>GOLDAU LOUNGE SET (1X CHAIR + 1X 2,5 SEATERBENCH 150CM)</t>
  </si>
  <si>
    <t xml:space="preserve">2. (27-05-2019 15:44:19)
1. Make new type of back cushion; make 3/4cm thick, with velcro attached to vertical tubes in the back (3x velcro for chair; 5x velcro for bench)
2. seat of the chair + bench needs rework; make 5cm less deep (from the arm, not from the back)
1. Robbert de Leijser(08-05-2019 17:28:41)
CHAIR:
- DO WE NEED VERTICAL TUBE IN BACKREST ? IF YES, MAKE SURE THAT YOU DO NOT FEEL THE TUBE IN THE BACK WHEN YOU SIT ON THE CHAIR. 
- DO NOT USE DIAGONAL TUBES UNDER THE SEAT.  
BENCH:
MAKE 2,5 SEATER BENCH. 
USE THE DIMENSIONS OF THE LOUNGE CHAIR. 
MAKE BACKCUSHION THAT FITS THE BACKREST
</t>
  </si>
  <si>
    <t>4/20052019/b0b1b1b597a24163aae0a0d2c55b0067.jpg</t>
  </si>
  <si>
    <t>71/150</t>
  </si>
  <si>
    <t>84.5/84.5</t>
  </si>
  <si>
    <t>73/152</t>
  </si>
  <si>
    <t>13 REVISED- Code: 20190508/BIG/001200/00000520/013</t>
  </si>
  <si>
    <t>20190508/BIG/001200/00000520/013</t>
  </si>
  <si>
    <t>f/08052019/846c9f282b604c1ead984922950b4fa5.jpg</t>
  </si>
  <si>
    <t>LILLE LOUNGE SET (1X CHAIR+ 1X BENCH 150CM) 1200</t>
  </si>
  <si>
    <t xml:space="preserve">1. Robbert de Leijser(08-05-2019 16:21:21)
MAKE 2,5 SEAT BENCH (150CM) SAME MODEL AS CHAIR
- ARMS
HORIZONTAL WEAVING ON ARM AS IT IS.
START WITH CLOSED WEAVING ON ANGLE PART OF ARM. 
PART 1 HORIZONTAL PART OF ARMREST AS IT IS.
PART 2 ANGLE OF ARMREST WITH CLOSED WEAVING. 
- SEATING
LOWER SEATING BY 2CM. KEEP HIGHT OF THE ARMREST AS IT IS. (SEE PIC - SEATING)
USE TEXTILENE UNDERNEATH CUSHION. NO STRAPS (SEE PIC - TEXTILENE)
USE BLACK BOLTS TO CONNECT SEATING TO FRAME.  NO SILVER OR GOLD!
MAKE BOLTS NOT VISIBLE FROM THE SIDE.  (SEE PIC - BOLTS)
</t>
  </si>
  <si>
    <t>3/20052019/8969b710810e4e098dde22d0c0806446.jpg</t>
  </si>
  <si>
    <t>76/76</t>
  </si>
  <si>
    <t>78/151</t>
  </si>
  <si>
    <t>83.5/83.5</t>
  </si>
  <si>
    <t>85/85</t>
  </si>
  <si>
    <t>80/153</t>
  </si>
  <si>
    <t>66/66</t>
  </si>
  <si>
    <t>7 SAMPLE APPROVED- Code: 20190508/PAL/001200/00000520/007</t>
  </si>
  <si>
    <t>20190508/PAL/001200/00000520/007</t>
  </si>
  <si>
    <t>a/08052019/81bb7ad0cc72468aa2430c6458aa5f10.jpg</t>
  </si>
  <si>
    <t>MALABON LOUNGE SET ( 1X CHAIR + 1X 2,5 SEATER BENCH )</t>
  </si>
  <si>
    <t xml:space="preserve">1. Hoang Van Hoa(22-06-2019 05:00:15)
NOTE WEAVING
</t>
  </si>
  <si>
    <t xml:space="preserve">2. (27-05-2019 15:23:30)
1. BACK CUSHIONS need rework; put foam from 70x70 cushion into cushioncover from 50x50.
1a. Only 3 back cushions for the bench.
1b. Only 2 back cushions for the chair.
2. SEAT CUSHIONS need rework; density is too soft, needs to become stronger cushion, please put in extra fleece layer.
3. Wicker on tube needs rework; needs to become a cross (please note attached picture)
1. Robbert de Leijser(08-05-2019 17:13:56)
CHAIR:
- MAKE CHAIR 20CM LESS WIDE (90CM) (SEE PIC CUT 20CM)
- MAKE SURE THE ARM HIGHT OF THE CHAIR ARE THE SAME AS THE ARM HIGHT OF THE BENCH. 
- MAKE CHAIR WITH WOODEN LEGS LIKE MIRA LOUNGE CHAIR. (TEAK LOOK NATURAL 1200)
- FINISHING OF CHAIR MUST BE BETTER. 
- USE TWO ROPE STRINGS  ON TUBE CROSSINGS TO MAKE X ON FRONT OF CHAIR 
- NO BACKCUSHION 
- MAKE SURE THAT THE DISTANCE BETWEEN THE VERTICAL TUBES ARE EVEN AND CONSITENT. 
- MAKE SURE THAT THE DISTANCE BETWEEN THE HORIZONTAL TUBES ARE EVEN AND CONSISTENT. 
BENCH 
- MAKE BENCH 20CM WIDER (SEE PIC- ADD 20CM)
- MAKE SURE THE ARM HIGHT OF THE CHAIR ARE THE SAME AS THE ARM HIGHT OF THE BENCH. (SEE PIC 3)
- MAKE BENCH WITH WOODEN LEGS LIKE MIRA LOUNGE CHAIR. (TEAK LOOK NATURAL 1200)
- FINISHING OF BENCH MUST BE BETTER. 
- USE TWO ROPE STRINGS  ON TUBE CROSSINGS TO MAKE X ON FRONT OF CHAIR (SEE PIC 4, )
- NO BACKCUSHION 
- MAKE SURE THAT THE DISTANCE BETWEEN THE VERTICAL TUBES ARE EVEN AND CONSITENT. 
- MAKE SURE THAT THE DISTANCE BETWEEN THE HORIZONTAL TUBES ARE EVEN AND CONSISTENT.
</t>
  </si>
  <si>
    <t>5/22062019/519a62dac4cb4e31b852350bdeed9a58.jpg</t>
  </si>
  <si>
    <t>99/99</t>
  </si>
  <si>
    <t>112.5/191</t>
  </si>
  <si>
    <t>79.5/79.5</t>
  </si>
  <si>
    <t>14/20</t>
  </si>
  <si>
    <t>17/24</t>
  </si>
  <si>
    <t>114.5/193</t>
  </si>
  <si>
    <t>63/63</t>
  </si>
  <si>
    <t>11 REVISED- Code: 20190508/BIG/001200/00000520/011</t>
  </si>
  <si>
    <t>20190508/BIG/001200/00000520/011</t>
  </si>
  <si>
    <t>a/13052019/98afa38670e7428b8c7e1257b1a7bd83.jpg</t>
  </si>
  <si>
    <t>MALENA LOUNGE CHAIR</t>
  </si>
  <si>
    <t xml:space="preserve">2. Nicole Poldervaart(23-05-2019 17:50:20)
ARM REST: HIGHT - 7CM LOWER 
CHAIR SEATING: + 10CM. TO THIGHT
FRAME: ALU CHARCAOL.
1. Robbert de Leijser(13-05-2019 14:35:23)
SEE PICTURES IN ATTACHED EXCEL FILE
</t>
  </si>
  <si>
    <t>e/20052019/a7f49e4694cd44de82a39d97440a3b44.jpg</t>
  </si>
  <si>
    <t>12.3</t>
  </si>
  <si>
    <t>16 FINISHED- Code: 20190513/PAL/001200/00000520/016</t>
  </si>
  <si>
    <t>20190513/PAL/001200/00000520/016</t>
  </si>
  <si>
    <t>f/13112018/06969d28b7e44aa4820d8d89e662ed71.jpg</t>
  </si>
  <si>
    <t>TWISTED CROSSWEAVE</t>
  </si>
  <si>
    <t>NEW FADED GREY</t>
  </si>
  <si>
    <t>9 CREATED- Code: 20190508/XXX/001200/00000520/009</t>
  </si>
  <si>
    <t>20190508/XXX/001200/00000520/009</t>
  </si>
  <si>
    <t xml:space="preserve">MILAAN LOUNGE CHAIR  (1200)</t>
  </si>
  <si>
    <t>TWISTED CROSS WEAVE</t>
  </si>
  <si>
    <t xml:space="preserve">1. Nicole Poldervaart(23-05-2019 17:50:20)
ROUND 4MM RATTAN GREY   -  NEW SAMPLE
VAN ANH KNOWS ABOUT IT
MUST GO THE NETHERLANDS
NOT IN THE TWISTED WEAVE.
FELLINI MAKEN BURLY  GREEN COLOR = 1+2   NEW SAMPE
</t>
  </si>
  <si>
    <t>8 CREATED- Code: 20190508/APO/001200/00000520/008</t>
  </si>
  <si>
    <t>20190508/APO/001200/00000520/008</t>
  </si>
  <si>
    <t>1/08052019/e56ba86cd876403f99f4f941c21d3c61.jpg</t>
  </si>
  <si>
    <t xml:space="preserve">2. (27-05-2019 14:59:36)
1. ALU frame needs rework; please make in POWDER COATED CHARCOAL 1200 color. 
2. Legs need rework; please keep this in wood, but now make legs in CHARCOAL color.
1. Robbert de Leijser(08-05-2019 15:40:27)
- BACK OF CHAIR TOO HIGH  (SEE PIC 3)
- RAKE OF BACK IS TOO STRAIGHT. USE ORIGINAL SHAPE OF THE MIRA CHAIR. IT IS MORE ROUND.  (SEE PIC 4)
- LEGS NEED TO HAVE THE SAME SHAPE AS THE MIRA LOUNGE SET.   (SEE PIC MIRA LOUNGE  SET WEAVE 3)
- USE TEXTILENE  INSTEAD OF STRAPS. (SEE PIC SINGLE WEAVE)
- REWORK CONNECTION LEGS TO CHAIR. NO VISABLE ALUMINIUM AT THE FRONT OF THE LEGS. (SEE PIC- CONNECTION)
-
</t>
  </si>
  <si>
    <t>9/18052019/bd6042f4d86a4d53ab92ad0ffb9e5e05.jpg</t>
  </si>
  <si>
    <t>3 REVISED- Code: 20190508/PAL/001200/00000520/003</t>
  </si>
  <si>
    <t>20190508/PAL/001200/00000520/003</t>
  </si>
  <si>
    <t>e/08052019/bf749324304b4f6d81cad69e248d5c2f.jpg</t>
  </si>
  <si>
    <t>MIRA LOUNGE SET SINGLE WEAVE ( CHAIR + 2,5 SEAT BENCH )</t>
  </si>
  <si>
    <t xml:space="preserve">2. (27-05-2019 14:57:10)
1. ALU frame needs rework; please make in POWDER COATED CHARCOAL 1200 color. 
2. Legs need rework; please keep this in wood, but now make legs in CHARCOAL color.
1. Robbert de Leijser(08-05-2019 15:29:43)
MAKE 2,5 SEATER BENCH
CHAIR ADJUSTMENTS: 
- REPLACE STRAPS WITH TEXTILENE. 
- LEGS MUST BE A LITTLE BIT THINNER.  LESS CHUNKY. 
-
</t>
  </si>
  <si>
    <t>b/19052019/d81f8afb45b84353a5aa75322c1033e6.jpg</t>
  </si>
  <si>
    <t>80/80</t>
  </si>
  <si>
    <t>77.5/150</t>
  </si>
  <si>
    <t>72.5/72.5</t>
  </si>
  <si>
    <t>10.5/19</t>
  </si>
  <si>
    <t>14/25</t>
  </si>
  <si>
    <t>79.5/152</t>
  </si>
  <si>
    <t>51/51</t>
  </si>
  <si>
    <t>2 REVISED- Code: 20190508/PAL/001200/00000520/002</t>
  </si>
  <si>
    <t>20190508/PAL/001200/00000520/002</t>
  </si>
  <si>
    <t>0/09052019/fe52eadc32284789b0ca529bf98575a0.jpg</t>
  </si>
  <si>
    <t xml:space="preserve">OSIRE LOUNGE CHAIR (1200)  10MM</t>
  </si>
  <si>
    <t xml:space="preserve">1. Robbert de Leijser(08-05-2019 15:51:26)
MAKE COMPLETE SAMPLE IN ALU. NO STEEL
- MAKE DEEPEST POINT OF SEATING + 2CM TO THE BACK AND 2CM LOWER.  (SEE PIC - DEEPEST POINT)
- MAKE BACK LEGS 3CM HIGHER  (SEE PIC 2)
- NO EXTERNAL CONNECTION POINTS. MAKE CONNECTION IN TUBE.  (SEE PIC 1)
</t>
  </si>
  <si>
    <t>d/17052019/7c6b03e9bdcf4d9987583ecf4ddc4f95.jpg</t>
  </si>
  <si>
    <t>4 SAMPLE APPROVED- Code: 20190508/PAL/001200/00000520/004</t>
  </si>
  <si>
    <t>20190508/PAL/001200/00000520/004</t>
  </si>
  <si>
    <t>7/09052019/c00532f63da44f819aebb7195e33500f.jpg</t>
  </si>
  <si>
    <t>SIDE TABLE SET WITH CONCRETE TOP 3PCS (59.5X59X45CM/45X45X42CM/39,5X39,5X36CM)</t>
  </si>
  <si>
    <t xml:space="preserve">1. Robbert de Leijser(09-05-2019 12:03:46)
EACH LEG NEED TO HAVE HIGHT ADJUSTMENTS
</t>
  </si>
  <si>
    <t>d/22052019/94bbc626615b470cbfeb6fd114c21560.jpg</t>
  </si>
  <si>
    <t>39.5/45/59.5</t>
  </si>
  <si>
    <t>36/42/45</t>
  </si>
  <si>
    <t>14 SAMPLE APPROVED- Code: 20190509/APH/001200/00000520/014</t>
  </si>
  <si>
    <t>20190509/APH/001200/00000520/014</t>
  </si>
  <si>
    <t>4/08052019/b662f0dbd53749109f7c07ca0eb88097.jpg</t>
  </si>
  <si>
    <t>TAFIGO LOUNGE BENCH WITH TABLE 110X60CM 10MM</t>
  </si>
  <si>
    <t xml:space="preserve">2. (27-05-2019 15:15:49)
1. BENCH is CANCELLED by client; no further action.
2. TABLE needs rework; glassplate needs to fit IN the table top. not ON the table top like now has been done. upload new pictures when finished.
1. Robbert de Leijser(08-05-2019 16:50:43)
BENCH 
- USE SAMPLE BENCH WITH STRAPS FOR CHANGING THE MATERIAL FROM STRAPS TO 10MM WICKER. 
TABLE 120X70X40CM
- MAKE THE TABLE WTH 5CM EDGE LIKE PICTURE 
- MAKE GLASSPLATE THAT FITS IN THE TABLE
- MAKE THE BASE OF THE TABLE IN ALU, ALSO USE CROSS TUBES 1200 STYLE.
</t>
  </si>
  <si>
    <t>2/20052019/fafc17b8bbb64f3c92e3370828ac51be.jpg</t>
  </si>
  <si>
    <t>79/120</t>
  </si>
  <si>
    <t>175.5/70</t>
  </si>
  <si>
    <t>75/44</t>
  </si>
  <si>
    <t>28 /22.5</t>
  </si>
  <si>
    <t>34 /26</t>
  </si>
  <si>
    <t>77.5/122</t>
  </si>
  <si>
    <t>177.5/72</t>
  </si>
  <si>
    <t>83/50</t>
  </si>
  <si>
    <t>10 REVISED- Code: 20190508/PAL/001200/00000520/010</t>
  </si>
  <si>
    <t>20190508/PAL/001200/00000520/010</t>
  </si>
  <si>
    <t>9/10052019/edaed16dc5444019b3adca499c682e0e.jpg</t>
  </si>
  <si>
    <t>APO-05-VHU</t>
  </si>
  <si>
    <t>TAHITI LOUNGE CHAIR WITH OSIRE CHAIR WEAVING</t>
  </si>
  <si>
    <t xml:space="preserve">1. Robbert de Leijser(10-05-2019 10:45:13)
USE STANDARD TAHITI CHAIR. NO ADJUSTMENST TO FRAME
TAKE WEAVING FROM SAMPLE OSIRE CHAIR 1200 (SEE PICTURE)
LAST ROW TUBE THE WICKER HORIZONTAL.
NEW SAMPLE
</t>
  </si>
  <si>
    <t>7/03062019/2bd8147f28b84d04a83058819d6a7d96.jpg</t>
  </si>
  <si>
    <t>5.2</t>
  </si>
  <si>
    <t>6.9</t>
  </si>
  <si>
    <t>15 FINISHED- Code: 20190510/APO/001200/00000520/015</t>
  </si>
  <si>
    <t>20190510/APO/001200/00000520/015</t>
  </si>
  <si>
    <t>e/22052019/ddd406956c47408ab6eb0b059d01f682.jpg</t>
  </si>
  <si>
    <t>AGRAVIS RAIFFEISEN AG</t>
  </si>
  <si>
    <t>PI 42157VN</t>
  </si>
  <si>
    <t>6 SAMPLE APPROVED- Code: 20190509/DAN/001007/00000521/006</t>
  </si>
  <si>
    <t>20190509/DAN/001007/00000521/006</t>
  </si>
  <si>
    <t>0/22052019/f8e8102f0b654bdb9a8350e9268b3d2f.jpg</t>
  </si>
  <si>
    <t>4 SAMPLE APPROVED- Code: 20190509/AKI/001007/00000521/004</t>
  </si>
  <si>
    <t>20190509/AKI/001007/00000521/004</t>
  </si>
  <si>
    <t>5/22052019/dab4999003b647778e934d2ed1f42bcd.jpg</t>
  </si>
  <si>
    <t>5 SAMPLE APPROVED- Code: 20190509/AKI/001007/00000521/005</t>
  </si>
  <si>
    <t>20190509/AKI/001007/00000521/005</t>
  </si>
  <si>
    <t>d/24052019/74f5ebb15ead4cf29429bf5feb4ded4a.jpg</t>
  </si>
  <si>
    <t>3 SAMPLE APPROVED- Code: 20190509/PAL/001007/00000521/003</t>
  </si>
  <si>
    <t>20190509/PAL/001007/00000521/003</t>
  </si>
  <si>
    <t>9/21052019/fb493679ad4a4566b617be676f2c75b0.jpg</t>
  </si>
  <si>
    <t>1 SAMPLE APPROVED- Code: 20190509/PAL/001007/00000521/001</t>
  </si>
  <si>
    <t>20190509/PAL/001007/00000521/001</t>
  </si>
  <si>
    <t>d/20032018/682256920cef4df7971072d6aa690e4e.jpg</t>
  </si>
  <si>
    <t>REIMS STACKING DINING CHAIR</t>
  </si>
  <si>
    <t>2/21052019/c7dab36d72d34d51a978aa5b0482c789.jpg</t>
  </si>
  <si>
    <t>2 SAMPLE APPROVED- Code: 20190509/PAL/001007/00000521/002</t>
  </si>
  <si>
    <t>20190509/PAL/001007/00000521/002</t>
  </si>
  <si>
    <t>9/22052019/a14ec6d39bfb44148cdd146cda08da24.jpg</t>
  </si>
  <si>
    <t>7 SAMPLE APPROVED- Code: 20190509/DAN/001007/00000521/007</t>
  </si>
  <si>
    <t>20190509/DAN/001007/00000521/007</t>
  </si>
  <si>
    <t>c/10052019/849b2183d8a5483f8a8f12c36f6a3396.jpg</t>
  </si>
  <si>
    <t>LEONARDO LOUNGE CHAIR 1075</t>
  </si>
  <si>
    <t xml:space="preserve">1. (10-05-2019 06:21:34)
FOLLOW SAME SAMPLE MADE IN APRIL FOR BUYER MEETING.
</t>
  </si>
  <si>
    <t>1 ISSUED- Code: 20190510/PAL/001075/00000522/001</t>
  </si>
  <si>
    <t>20190510/PAL/001075/00000522/001</t>
  </si>
  <si>
    <t>d/18082019/b596570e1cb449f5adf08e06366d59a0.jpg</t>
  </si>
  <si>
    <t>BARCELONA CORNER TABLE 80X80X24CM</t>
  </si>
  <si>
    <t>4/05062019/d7bb5c08a9f7458fa6e759b3e891ac5c.jpg</t>
  </si>
  <si>
    <t>SEVEA</t>
  </si>
  <si>
    <t>BOURG-EN-BRESSE</t>
  </si>
  <si>
    <t>PI: 42327</t>
  </si>
  <si>
    <t>9 SAMPLE APPROVED- Code: 20190520/ROS/001500/00000523/009</t>
  </si>
  <si>
    <t>20190520/ROS/001500/00000523/009</t>
  </si>
  <si>
    <t>7/21052019/7997ac0d2eb4403a8c79277d640b977d.jpg</t>
  </si>
  <si>
    <t>BARCELONA LOUNGE BENCH 76X177,5X60CM</t>
  </si>
  <si>
    <t>2X BACK + 2X LOW SIDE CUSHION (AS PIC)</t>
  </si>
  <si>
    <t>c/05062019/469f80df08a14cbdbfdd8fa579b103b8.jpg</t>
  </si>
  <si>
    <t>13 SAMPLE APPROVED- Code: 20190510/ROS/001500/00000523/013</t>
  </si>
  <si>
    <t>20190510/ROS/001500/00000523/013</t>
  </si>
  <si>
    <t>c/10052019/9d5561129a0d4fa89f8bae3cd68e8e15.jpg</t>
  </si>
  <si>
    <t>BARCELONA LOUNGE CHAIR</t>
  </si>
  <si>
    <t>1X BACK + 2X LOW SIDE CUSHION (AS PIC)</t>
  </si>
  <si>
    <t>4/05062019/1da440c8a98143b49d34086116acdac1.jpg</t>
  </si>
  <si>
    <t>12 SAMPLE APPROVED- Code: 20190510/ROS/001500/00000523/012</t>
  </si>
  <si>
    <t>20190510/ROS/001500/00000523/012</t>
  </si>
  <si>
    <t>8/19122018/d7d0f44ef0df422b89fef4dd3e752de4.jpg</t>
  </si>
  <si>
    <t>BILBAO ADJUSTABLE LOUNGE SET (2X ADJUSTABLE LOUNGE CHAIR, 1X ADJUSTABLE 3-SEATER BENCH 195CM, 1X COLUMN TABLE 140X80X70 CM)</t>
  </si>
  <si>
    <t>7/01062019/446a2defc18e4e00b3eafc82b4fc5e82.jpg</t>
  </si>
  <si>
    <t>6 SAMPLE APPROVED- Code: 20190520/BIG/001500/00000523/006</t>
  </si>
  <si>
    <t>20190520/BIG/001500/00000523/006</t>
  </si>
  <si>
    <t>c/10052019/8d5fbb951540436e9dca15a5a92e5054.jpg</t>
  </si>
  <si>
    <t>YELLOW</t>
  </si>
  <si>
    <t>SPECIAL AS PICTURE</t>
  </si>
  <si>
    <t xml:space="preserve">1. DAVE VAN DER LINDEN(04-06-2019 17:16:17)
CHANGE CUSHION AS ORIGINAL PICTURE + BRISBANE LOUNGE CHAIR CLIENT 1500 2018-2019
</t>
  </si>
  <si>
    <t>e/06062019/cd77661b1558486bacb11b25fde31ad5.jpg</t>
  </si>
  <si>
    <t>4 SAMPLE APPROVED- Code: 20190510/PAL/001500/00000523/004</t>
  </si>
  <si>
    <t>20190510/PAL/001500/00000523/004</t>
  </si>
  <si>
    <t>f/27082019/10d22eebad4140f2b988339062622508.jpg</t>
  </si>
  <si>
    <t>CAPRI STACKABLE CHAIR</t>
  </si>
  <si>
    <t>o/29052019/0e759e51d7a74443b7539534b715e72a.JPEG</t>
  </si>
  <si>
    <t>5 SAMPLE APPROVED- Code: 20190520/PAL/001500/00000523/005</t>
  </si>
  <si>
    <t>20190520/PAL/001500/00000523/005</t>
  </si>
  <si>
    <t>8/30052019/4383795f7eb74556a8fc00d1199f2950.jpg</t>
  </si>
  <si>
    <t>1 SAMPLE APPROVED- Code: 20190510/PAL/001500/00000523/001</t>
  </si>
  <si>
    <t>20190510/PAL/001500/00000523/001</t>
  </si>
  <si>
    <t>d/20052019/25ac17918fc343c584b01ebba842b70f.jpg</t>
  </si>
  <si>
    <t xml:space="preserve">PAPASAN WICKER CHAIR  (1075)</t>
  </si>
  <si>
    <t>b/31052019/5bb8337395c24cf491dfcf5f0c8db923.jpg</t>
  </si>
  <si>
    <t>8 SAMPLE APPROVED- Code: 20190520/APO/001500/00000523/008</t>
  </si>
  <si>
    <t>20190520/APO/001500/00000523/008</t>
  </si>
  <si>
    <t>9/28092015/a9f08461bf244d1287c9188f0c52eb2c.jpg</t>
  </si>
  <si>
    <t>SABA LOUNGE SET 4 PCS (1X LEFT ARM, 1X RIGHT ARM, 1X BIG CUSHIONBOX 88X88X69 CM, 1X SMALL CUSHIONBOX 75X110X46CM)</t>
  </si>
  <si>
    <t>ROYAL DARK BROWN 240</t>
  </si>
  <si>
    <t>1/01062019/2bc978f534ed44688e8cd32c561e6c86.jpg</t>
  </si>
  <si>
    <t>7 SAMPLE APPROVED- Code: 20190520/BIG/001500/00000523/007</t>
  </si>
  <si>
    <t>20190520/BIG/001500/00000523/007</t>
  </si>
  <si>
    <t>9/14052019/c0dc4b54fb054c5eb2ce7c915fcbe81c.jpg</t>
  </si>
  <si>
    <t>2019-05-24</t>
  </si>
  <si>
    <t>STOCKTON HIGH DINING CORNER SET 4 PCS (1X LEFT ARM, 1X RIGHT ARM, 1X CORNER, 1X TABLE 90x90x74,5)</t>
  </si>
  <si>
    <t>PI:42272VN</t>
  </si>
  <si>
    <t>1 ISSUED- Code: 20190514/ROS/001262/00000524/001</t>
  </si>
  <si>
    <t>20190514/ROS/001262/00000524/001</t>
  </si>
  <si>
    <t>K- MAIL ORDER GMBH &amp; CO. KG - ZENTRALE RECHNUNGSPRUFUNG / IMPRESSIONEN VERSAND GMBH</t>
  </si>
  <si>
    <t>PI 42270VN</t>
  </si>
  <si>
    <t>8 CREATED- Code: 20190524/XXX/000823/00000525/008</t>
  </si>
  <si>
    <t>20190524/XXX/000823/00000525/008</t>
  </si>
  <si>
    <t>e/04102018/67a06e68ed414462adc3629550d7e294.jpg</t>
  </si>
  <si>
    <t>2019-05-29</t>
  </si>
  <si>
    <t>AMBON CHAIR</t>
  </si>
  <si>
    <t>WHITE 240</t>
  </si>
  <si>
    <t>e/29052019/76c541dac7c94919b3da904a1576c739.jpg</t>
  </si>
  <si>
    <t>2 FINISHED- Code: 20190514/BIG/000823/00000525/002</t>
  </si>
  <si>
    <t>20190514/BIG/000823/00000525/002</t>
  </si>
  <si>
    <t xml:space="preserve">2. (19-06-2019 16:38:01)
CLIENT WANTS TO ADD TWO EXTRA BACK CUSHIONS. 
PLEASE SEND TO BIG, SO HE CAN SEND TO SHOWROOM TOGETHER WITH SAMPLE 823
1. Gerard Mennen(19-06-2019 11:11:34)
ADD 1 BACKPILLOW HIGH -  WHITE 240 (CHAIR) + ADD 1 BACKPILLOW LOW - WHITE 240 (CHAIR)
</t>
  </si>
  <si>
    <t>1/12072019/871a2fac2fe04389b5c76682c8d23012.jpg</t>
  </si>
  <si>
    <t>5 FINISHED- Code: 20190514/APO/000823/00000525/005</t>
  </si>
  <si>
    <t>20190514/APO/000823/00000525/005</t>
  </si>
  <si>
    <t>7/10042019/b65064a3794a4679852226f4ec7d39ba.jpg</t>
  </si>
  <si>
    <t>f/28052019/d45d945d7b5a4d22a439e4a417983a2a.jpg</t>
  </si>
  <si>
    <t>1 FINISHED- Code: 20190514/PAL/000823/00000525/001</t>
  </si>
  <si>
    <t>20190514/PAL/000823/00000525/001</t>
  </si>
  <si>
    <t>5/04102018/e64b975399744f00ab8a83eb51e21c5d.jpg</t>
  </si>
  <si>
    <t>LINO LOUNGE SET</t>
  </si>
  <si>
    <t xml:space="preserve">2. (19-06-2019 16:38:01)
CLIENT REQUEST FOR LINO LOUNGE SET NEW WICKER AND CUSHION COLOR. 
HE ALSO WANTS TO ADD AN EXTRA DECORATION CUSHION.
1. Gerard Mennen(19-06-2019 11:11:34)
ADD 1X PILLOW 40X04 SERVAL LIGHT BROWN
</t>
  </si>
  <si>
    <t>9/03072019/6a4d5aa0a48447d98d42edf63a7d82de.jpg</t>
  </si>
  <si>
    <t>69/69/101</t>
  </si>
  <si>
    <t>68.5/139.5/60</t>
  </si>
  <si>
    <t>81/81/44.5</t>
  </si>
  <si>
    <t>5.5/10/12</t>
  </si>
  <si>
    <t>9/29</t>
  </si>
  <si>
    <t>72/143.5</t>
  </si>
  <si>
    <t>68/72</t>
  </si>
  <si>
    <t>47.5/58.5</t>
  </si>
  <si>
    <t>3 FINISHED- Code: 20190514/BIG/000823/00000525/003</t>
  </si>
  <si>
    <t>20190514/BIG/000823/00000525/003</t>
  </si>
  <si>
    <t>c/06102015/313cb102893e4ccebe9c3f27d9c96181.jpg</t>
  </si>
  <si>
    <t>MATERA TABLE WITH WOODEN FRAME WITHOUT SUPPORT LEG 180X100X78</t>
  </si>
  <si>
    <t>RUTIK LIGHT TEAK LOOK WITHOUT SMALL HOLES</t>
  </si>
  <si>
    <t>SANDED OLD WHITE</t>
  </si>
  <si>
    <t xml:space="preserve">1. (24-05-2019 15:05:27)
work on the old model 1008 without sidebars.
For the color, the customer wants top RUSTIK LIGHT TEAK LOOK (but without the small holes) + legs in SANDED OLD WHITE.
</t>
  </si>
  <si>
    <t>d/05062019/87f3fa13d1244956b941a19bd5e170e0.jpg</t>
  </si>
  <si>
    <t>35.4</t>
  </si>
  <si>
    <t>187</t>
  </si>
  <si>
    <t>7 FINISHED- Code: 20190524/DAN/000823/00000525/007</t>
  </si>
  <si>
    <t>20190524/DAN/000823/00000525/007</t>
  </si>
  <si>
    <t>WHITE (1200)</t>
  </si>
  <si>
    <t>3/30052019/e221f1e9c2e440d6a244ccdec5914349.jpg</t>
  </si>
  <si>
    <t>6 FINISHED- Code: 20190524/PAL/000823/00000525/006</t>
  </si>
  <si>
    <t>20190524/PAL/000823/00000525/006</t>
  </si>
  <si>
    <t>o/29052019/313d2442c405429391f842a2ffd452bf.JPEG</t>
  </si>
  <si>
    <t>4 FINISHED- Code: 20190514/PAL/000823/00000525/004</t>
  </si>
  <si>
    <t>20190514/PAL/000823/00000525/004</t>
  </si>
  <si>
    <t>AUBERGE LOUNGE SET 4 PCS BIRDEYES WEAVING (B3)</t>
  </si>
  <si>
    <t>FLAT 7MM BIRDSEYE WEAVE</t>
  </si>
  <si>
    <t xml:space="preserve">1. (15-05-2019 09:49:12)
AUBERGE LOUNGE SET 4 PCS (2X CHAIR, 1X 3-SEATER BENCH 231CM, 1X TABLE 102X62X30,5CM WITH GLASSPLATE)
BIRDEYES WEAVING RATTAN GREY FOR B3
</t>
  </si>
  <si>
    <t>2019-06-10</t>
  </si>
  <si>
    <t>TILBURG, NETHERLAND</t>
  </si>
  <si>
    <t>ROB REQUEST SAMPLE FOR B3 IN URGENT. PI 42370VN</t>
  </si>
  <si>
    <t>11 CREATED- Code: 20190515/PAL/000002/00000527/011</t>
  </si>
  <si>
    <t>20190515/PAL/000002/00000527/011</t>
  </si>
  <si>
    <t>5/04102018/708c9eb5285940e683a5ac940055b5d9.jpg</t>
  </si>
  <si>
    <t>RATTAN NATURAL BROWN</t>
  </si>
  <si>
    <t xml:space="preserve">1. (15-05-2019 09:49:12)
NEW WICKER RATTAN NATURAL BROWN (B3)
</t>
  </si>
  <si>
    <t>13 CREATED- Code: 20190515/PAL/000002/00000527/013</t>
  </si>
  <si>
    <t>20190515/PAL/000002/00000527/013</t>
  </si>
  <si>
    <t>HONOLULU ALU LOUNGE SET (B3)</t>
  </si>
  <si>
    <t>DOUBLE HALFROUND 25MM</t>
  </si>
  <si>
    <t xml:space="preserve">1. (15-05-2019 07:00:00)
MAKE SAMPLE
HONOLULU LOUNGE SET WITH ALU LEGS / WEAVING / ROPE AS PICTURE 1
SAMPLE IS IN SR AVT
</t>
  </si>
  <si>
    <t>3 CREATED- Code: 20190515/PAL/000002/00000527/003</t>
  </si>
  <si>
    <t>20190515/PAL/000002/00000527/003</t>
  </si>
  <si>
    <t>2019-06-08</t>
  </si>
  <si>
    <t>LANAI DINING CHAIR</t>
  </si>
  <si>
    <t>OVAL 20MM</t>
  </si>
  <si>
    <t xml:space="preserve">1. (15-05-2019 09:49:12)
MAKE SAMPLE
HONOLULU DINING CHAIR WITH ALU LEGS / WEAVING / ROPE AS PICTURE 1
SAMPLE IS IN AVT SR
</t>
  </si>
  <si>
    <t>o/05062019/cf76501890314a39bd36f6cb3ec84c53.JPEG</t>
  </si>
  <si>
    <t>4 SAMPLE APPROVED- Code: 20190515/PAI/000002/00000527/004</t>
  </si>
  <si>
    <t>20190515/PAI/000002/00000527/004</t>
  </si>
  <si>
    <t>1/28082018/8084e3237af741c5a9a47f13b2f90956.jpg</t>
  </si>
  <si>
    <t>LAS PALMAS LOUNGE CORNER SET</t>
  </si>
  <si>
    <t xml:space="preserve">1. (15-05-2019 09:49:12)
NEW WICKER COLOR B3
</t>
  </si>
  <si>
    <t>10 CREATED- Code: 20190515/PAL/000002/00000527/010</t>
  </si>
  <si>
    <t>20190515/PAL/000002/00000527/010</t>
  </si>
  <si>
    <t>5/10042019/53fa72e86cc24bb58a4ece17d5714885.jpg</t>
  </si>
  <si>
    <t>LUZERN DINING CHAIR WITH OPEN WEAVE (705)</t>
  </si>
  <si>
    <t>o/04062019/59facf21ecd5478fb56b8d2bab0ec0df.JPEG</t>
  </si>
  <si>
    <t>9 SAMPLE APPROVED- Code: 20190515/TEC/000002/00000527/009</t>
  </si>
  <si>
    <t>20190515/TEC/000002/00000527/009</t>
  </si>
  <si>
    <t>MIRA COFFEE LOUNGE SET 3 PCS BIRDSEYE WEAVING</t>
  </si>
  <si>
    <t>FLAT 7MM BIRDEYE WEAVING</t>
  </si>
  <si>
    <t xml:space="preserve">1. (15-05-2019 09:49:12)
MIRA COFFEE LOUNGE SET 3 PCS (2X CHAIR, 1X LOUNGE TABLE 70X70X39CM) : FAGS
WICKER FLAT 7MM BIRDEYE WEAVING RATTAN MIXED BROWN
</t>
  </si>
  <si>
    <t>12 CREATED- Code: 20190515/PAL/000002/00000527/012</t>
  </si>
  <si>
    <t>20190515/PAL/000002/00000527/012</t>
  </si>
  <si>
    <t>NARVIK DINING CHAIR HORIZONTAL WEAVING (B3)</t>
  </si>
  <si>
    <t xml:space="preserve">1. (15-05-2019 09:49:12)
MAKE SAMPLE WITH HORIZONTAL WEAVING
</t>
  </si>
  <si>
    <t>8 CREATED- Code: 20190515/ROS/000002/00000527/008</t>
  </si>
  <si>
    <t>20190515/ROS/000002/00000527/008</t>
  </si>
  <si>
    <t>NARVIK LOUNGE SET HORIZONTAL WEAVING (B3)</t>
  </si>
  <si>
    <t xml:space="preserve">1. (15-05-2019 09:49:12)
MAKE SAMPLE WITH HORIZONTAL WEAVING
SEAT + BACK SEPARATE CUSHIONS
</t>
  </si>
  <si>
    <t>7 CREATED- Code: 20190515/ROS/000002/00000527/007</t>
  </si>
  <si>
    <t>20190515/ROS/000002/00000527/007</t>
  </si>
  <si>
    <t>TONGA DINING CHAIR (CROSS WEAVING )</t>
  </si>
  <si>
    <t xml:space="preserve">1. (15-05-2019 09:49:12)
WEAVING AS PIC
</t>
  </si>
  <si>
    <t>o/31052019/bb25a28474ad48408b1002a4e835ca9c.JPEG</t>
  </si>
  <si>
    <t>6 SAMPLE APPROVED- Code: 20190515/PAI/000002/00000527/006</t>
  </si>
  <si>
    <t>20190515/PAI/000002/00000527/006</t>
  </si>
  <si>
    <t>TONGA LOUNGE CHAIR (CROSS WEAVING)</t>
  </si>
  <si>
    <t xml:space="preserve">1. Hoang Van Hoa(18-06-2019 12:32:42)
Remark new weaving TONGA LOUNGE CHAIR (CROSS WEAVING)
</t>
  </si>
  <si>
    <t>7/29052019/115e5b275c33452aa9ac70b531d1f416.jpg</t>
  </si>
  <si>
    <t>5 SAMPLE APPROVED- Code: 20190515/PAL/000002/00000527/005</t>
  </si>
  <si>
    <t>20190515/PAL/000002/00000527/005</t>
  </si>
  <si>
    <t>3/09052019/b13a60ffac5649ec926a4d22d16829f3.jpg</t>
  </si>
  <si>
    <t>VENTAS DINING CHAIR (705)</t>
  </si>
  <si>
    <t xml:space="preserve">1. (15-05-2019 07:00:00)
WITHOUT BAR UNDER THE SEAT (CHECK STABILITY, IF STABILITY IS NOT GOOD, ADD BAR AS CLOSE AS POSSIBLE UNDER THE SEAT)
</t>
  </si>
  <si>
    <t>0/30052019/cb96da322ce642219b9e37cb1a99a26e.jpg</t>
  </si>
  <si>
    <t>1 SAMPLE APPROVED- Code: 20190515/PAL/000002/00000527/001</t>
  </si>
  <si>
    <t>20190515/PAL/000002/00000527/001</t>
  </si>
  <si>
    <t>2 CREATED- Code: 20190515/PAL/000002/00000527/002</t>
  </si>
  <si>
    <t>20190515/PAL/000002/00000527/002</t>
  </si>
  <si>
    <t>e/05062019/d3c4688f8f5443c3a4d51123bf213631.jpg</t>
  </si>
  <si>
    <t>AMALFI LOUNGE BENCH (1263)</t>
  </si>
  <si>
    <t>AS SAMPLE TO CLIENT</t>
  </si>
  <si>
    <t>AS SAMPLE TO CLIENT, WITH 2 SMALL PILLOWS</t>
  </si>
  <si>
    <t>TERRACOTTA 1263</t>
  </si>
  <si>
    <t xml:space="preserve">1. Ngo Duy Hung(16-05-2019 12:11:42)
1. BACK CUSHION AS SAMPLE SENT TO CLIENT, ONLY 2 SMALL PILLOWS NEEDED (PLEASE SEE PHOTO)
2. PLEASE MAKE AS TS FROM CLIENT (FOLLOW FEEDBACK IN QUALITY TAB &amp; DIMENSION IN TD TAB)
3. PLEASE DO IN HOUSE TEST FOLLOWING EN 581-1&amp;2&amp;3 AND SEND REPORT TO US
4. 2 SAMPLE REQUESTED: 1 FOR SEALING AND 1 WITH MDM PACKAGING FOR DROP TEST
</t>
  </si>
  <si>
    <t>2019-06-13</t>
  </si>
  <si>
    <t>FACTORY</t>
  </si>
  <si>
    <t>GOLDEN SAMPLE REQUEST</t>
  </si>
  <si>
    <t>3 CREATED- Code: 20190516/XXX/001263/00000528/003</t>
  </si>
  <si>
    <t>20190516/XXX/001263/00000528/003</t>
  </si>
  <si>
    <t>2/05062019/efc02fe797b2406c84dcfb6e3cbecfa6.jpg</t>
  </si>
  <si>
    <t>AMALFI LOUNGE CHAIR (1263)</t>
  </si>
  <si>
    <t>AS SAMPLE TO CLIENT, NO PILLOW</t>
  </si>
  <si>
    <t xml:space="preserve">1. Ngo Duy Hung(16-05-2019 11:57:30)
1. BACK CUSHION AS SAMPLE SENT TO CLIENT, NO SIDE PILLOW (SEE ATTACHED PHOTO)
2. PLEASE MAKE AS TS FROM CLIENT (FOLLOW FEEDBACK IN QUALITY TAB &amp; DIMENSION IN TD TAB)
3. PLEASE DO IN HOUSE TEST FOLLOWING EN 581-1&amp;2&amp;3 AND SEND REPORT TO US
4. 2 SAMPLE REQUESTED: 1 FOR SEALING AND 1 WITH MDM PACKAGING FOR DROP TEST
</t>
  </si>
  <si>
    <t>2 CREATED- Code: 20190516/XXX/001263/00000528/002</t>
  </si>
  <si>
    <t>20190516/XXX/001263/00000528/002</t>
  </si>
  <si>
    <t>0/06062019/be66d126950f468fa690deb9e76e9efc.jpg</t>
  </si>
  <si>
    <t>AMALFI LOUNGE TABLE (1263)</t>
  </si>
  <si>
    <t>DURANITE</t>
  </si>
  <si>
    <t xml:space="preserve">1. Ngo Duy Hung(06-06-2019 07:14:11)
1. REMOVE SURROUNDING FRAME OF TOP
2. PLEASE MAKE AS TS FROM CLIENT (FOLLOW FEEDBACK IN QUALITY TAB &amp; DIMENSION IN TD TAB)
3. PLEASE DO IN HOUSE TEST FOLLOWING EN 581-1&amp;3 (2017) AND SEND REPORT TO US
4. 2 SAMPLE REQUESTED: 1 FOR SEALING AND 1 WITH MDM PACKAGING FOR DROP TEST
</t>
  </si>
  <si>
    <t>28 CREATED- Code: 20190606/XXX/001263/00000528/028</t>
  </si>
  <si>
    <t>20190606/XXX/001263/00000528/028</t>
  </si>
  <si>
    <t>2/21032019/c898a2ccbd554816bba1473d2292723b.jpg</t>
  </si>
  <si>
    <t>BAHIA WOODEN BENCH (1263)</t>
  </si>
  <si>
    <t>OLIVE GREEN 1263</t>
  </si>
  <si>
    <t xml:space="preserve">1. Ngo Duy Hung(16-05-2019 13:16:26)
1. PLEASE MAKE AS TS FROM CLIENT (FOLLOW FEEDBACK IN QUALITY TAB &amp; DIMENSION IN TD TAB)
2. PLEASE DO IN HOUSE TEST FOLLOWING EN 581-1&amp;2 (2017) AND SEND REPORT TO US
3. 2 SAMPLE REQUESTED: 1 FOR SEALING AND 1 WITH MDM PACKAGING FOR DROP TEST
</t>
  </si>
  <si>
    <t>12 CREATED- Code: 20190516/XXX/001263/00000528/012</t>
  </si>
  <si>
    <t>20190516/XXX/001263/00000528/012</t>
  </si>
  <si>
    <t>1/30102019/7419905183d84c209f34da24e00eaca6.jpg</t>
  </si>
  <si>
    <t>BERN DINING CHAIR (1263)</t>
  </si>
  <si>
    <t>STANDARD WITH STRING TO TIGHTEN, NO PIPING</t>
  </si>
  <si>
    <t>ECRU 240</t>
  </si>
  <si>
    <t xml:space="preserve">1. Ngo Duy Hung(05-06-2019 07:59:06)
1. PLEASE MAKE AS TS FROM CLIENT (FOLLOW FEEDBACK IN QUALITY TAB &amp; DIMENSION IN TD TAB)
2. PLEASE DO IN HOUSE TEST FOLLOWING STANDARD SOFA &amp; ARMCHAIR :EN 581-1&amp;2 (2017) AND SEND REPORT TO US
3. 2 SAMPLE REQUESTED: 1 FOR SEALING AND 1 WITH MDM PACKAGING FOR DROP TEST
</t>
  </si>
  <si>
    <t>13 CREATED- Code: 20190605/XXX/001263/00000528/013</t>
  </si>
  <si>
    <t>20190605/XXX/001263/00000528/013</t>
  </si>
  <si>
    <t>e/21032019/ea5d171d072247e891f53ddb9ab34c86.jpg</t>
  </si>
  <si>
    <t>BLAKES DINING TABLE 220CM (1263)</t>
  </si>
  <si>
    <t xml:space="preserve">1. Ngo Duy Hung(05-06-2019 10:15:56)
1. PLEASE MAKE AS TS FROM CLIENT (FOLLOW FEEDBACK IN QUALITY TAB &amp; DIMENSION IN TD TAB)
POLYSTONE TOP SAME FINISHING AS KITCHEN 1263
2. PLEASE DO IN HOUSE TEST FOLLOWING EN 581-1&amp;2&amp;3 AND SEND REPORT TO US
3. 2 SAMPLE REQUESTED: 1 FOR SEALING AND 1 WITH MDM PACKAGING FOR DROP TEST
</t>
  </si>
  <si>
    <t>20 CREATED- Code: 20190605/XXX/001263/00000528/020</t>
  </si>
  <si>
    <t>20190605/XXX/001263/00000528/020</t>
  </si>
  <si>
    <t>0/16052019/df3c6e6905bb443ab550bc8675b63316.jpg</t>
  </si>
  <si>
    <t>CANBERRA LOUNGE CORNER SET (1263) NO TABLE</t>
  </si>
  <si>
    <t xml:space="preserve">1. Ngo Duy Hung(16-05-2019 12:16:21)
1. PLEASE MAKE AS TS FROM CLIENT (FOLLOW FEEDBACK IN QUALITY TAB &amp; DIMENSION IN TD TAB)
2. PLEASE DO IN HOUSE TEST FOLLOWING EN 581-1&amp;2&amp;3 AND SEND REPORT TO US
3. SAMPLE QUANTITY: 
2X CORNER: 1 FOR SEALING AND 1 WITH MDM PACKAGING FOR DROP TEST
1X LEFT &amp; 1X RIGHT: 1 FOR SEALING AND 1 WITH MDM PACKAGING FOR DROP TEST
</t>
  </si>
  <si>
    <t>6 CREATED- Code: 20190516/XXX/001263/00000528/006</t>
  </si>
  <si>
    <t>20190516/XXX/001263/00000528/006</t>
  </si>
  <si>
    <t>d/05062019/a536f49ac25840a38a0ff1c499482c37.jpg</t>
  </si>
  <si>
    <t>DELHI LOUNGE CHAIR FIXED NORTON PATTERN (1263)</t>
  </si>
  <si>
    <t>LIGHT BAMBOO NORTON WEAVE</t>
  </si>
  <si>
    <t xml:space="preserve">1. Ngo Duy Hung(16-05-2019 12:23:43)
1.  PLEASE MAKE AS TS FROM CLIENT (FOLLOW FEEDBACK IN QUALITY TAB &amp; DIMENSION IN TD TAB)
2. PLEASE DO IN HOUSE TEST FOLLOWING EN 581-1&amp;2&amp;3 AND SEND REPORT TO US
3. 2 SAMPLE REQUESTED: 1 FOR SEALING AND 1 WITH MDM PACKAGING FOR DROP TEST
</t>
  </si>
  <si>
    <t>7 CREATED- Code: 20190516/XXX/001263/00000528/007</t>
  </si>
  <si>
    <t>20190516/XXX/001263/00000528/007</t>
  </si>
  <si>
    <t>4/05062019/5c1d88bd28a441d69a642d289dea7a68.jpg</t>
  </si>
  <si>
    <t>DELHI SUNBED (1263)</t>
  </si>
  <si>
    <t xml:space="preserve">1. Ngo Duy Hung(16-05-2019 13:04:41)
1. PLEASE MAKE AS TS FROM CLIENT (FOLLOW FEEDBACK IN QUALITY TAB &amp; DIMENSION IN TD TAB)
2. PLEASE DO IN HOUSE TEST FOLLOWING STANDARD SOFA &amp; ARMCHAIR :EN 581-1&amp;2 (2017) AND SEND REPORT TO US
3. 2 SAMPLE REQUESTED: 1 FOR SEALING AND 1 WITH MDM PACKAGING FOR DROP TEST
</t>
  </si>
  <si>
    <t>8 CREATED- Code: 20190516/XXX/001263/00000528/008</t>
  </si>
  <si>
    <t>20190516/XXX/001263/00000528/008</t>
  </si>
  <si>
    <t>f/05062019/910240f1f24a4c568eb23937aa0692df.jpg</t>
  </si>
  <si>
    <t>HONOLULU LOUNGE BENCH (1263)</t>
  </si>
  <si>
    <t>5 PILLOWS 50X50CM</t>
  </si>
  <si>
    <t xml:space="preserve">1. Ngo Duy Hung(16-05-2019 13:16:26)
1. 5 BACK PILLOWS 50X50CM NEEDED 
2. PLEASE MAKE AS TS FROM CLIENT (FOLLOW FEEDBACK IN QUALITY TAB &amp; DIMENSION IN TD TAB)
3. PLEASE DO IN HOUSE TEST FOLLOWING EN 581-1&amp;2 AND SEND REPORT TO US
4. 2 SAMPLE REQUESTED: 1 FOR SEALING AND 1 WITH MDM PACKAGING FOR DROP TEST
</t>
  </si>
  <si>
    <t>10 CREATED- Code: 20190516/XXX/001263/00000528/010</t>
  </si>
  <si>
    <t>20190516/XXX/001263/00000528/010</t>
  </si>
  <si>
    <t>1/05062019/183484bcfe44446c8aaa7a5131a906f0.jpg</t>
  </si>
  <si>
    <t>HONOLULU LOUNGE CHAIR (1263)</t>
  </si>
  <si>
    <t>1 PILLOW 50X50CM</t>
  </si>
  <si>
    <t xml:space="preserve">1. Ngo Duy Hung(16-05-2019 13:04:41)
1. 1 BACK PILLOW 50X50CM NEEDED (AS PHOTO)
2. PLEASE MAKE AS TS FROM CLIENT (FOLLOW FEEDBACK IN QUALITY TAB &amp; DIMENSION IN TD TAB)
3. PLEASE DO IN HOUSE TEST FOLLOWING EN EN 581-1&amp;2 AND SEND REPORT TO US
4. 2 SAMPLE REQUESTED: 1 FOR SEALING AND 1 WITH MDM PACKAGING FOR DROP TEST
</t>
  </si>
  <si>
    <t>9 CREATED- Code: 20190516/XXX/001263/00000528/009</t>
  </si>
  <si>
    <t>20190516/XXX/001263/00000528/009</t>
  </si>
  <si>
    <t>0/07092019/7c3c2c8f028a4b1bbbe30d5fa2da342a.jpg</t>
  </si>
  <si>
    <t>HONOLULU ROUND BED (1263)</t>
  </si>
  <si>
    <t>4 PILLOWS 50X50CM</t>
  </si>
  <si>
    <t xml:space="preserve">1. Ngo Duy Hung(16-05-2019 13:16:26)
1. 4 BACK PILLOWS 50X50CM NEEDED
2. PLEASE MAKE AS TS FROM CLIENT (FOLLOW FEEDBACK IN QUALITY TAB &amp; DIMENSION IN TD TAB)
INCREASE MATTRESS DEPTH : 12CM :
SO HIGH SEAT LEVEL MUST DO 410 MM
3. PLEASE DO IN HOUSE TEST FOLLOWING EN 581-1&amp;2 AND SEND REPORT TO US
4. 2 SAMPLE REQUESTED: 1 FOR SEALING AND 1 WITH MDM PACKAGING FOR DROP TEST
</t>
  </si>
  <si>
    <t>11 CREATED- Code: 20190516/XXX/001263/00000528/011</t>
  </si>
  <si>
    <t>20190516/XXX/001263/00000528/011</t>
  </si>
  <si>
    <t>b/05062019/f91de43cb79848bb9fd7d814b6649c82.jpg</t>
  </si>
  <si>
    <t>KENT LOUNGE TABLES (1263)</t>
  </si>
  <si>
    <t xml:space="preserve">1. Ngo Duy Hung(16-05-2019 12:11:42)
1. THIS TABLE SET SHOULD BE PRODUCED AT QUI NHON ALONG WITH CANBERRA CORNER SET
2. PLEASE MAKE AS TS FROM CLIENT (FOLLOW FEEDBACK IN QUALITY TAB &amp; DIMENSION IN TD TAB)
3. PLEASE DO IN HOUSE TEST FOLLOWING EN 581-1&amp;2&amp;3 AND SEND REPORT TO US
4. 2 SAMPLE REQUESTED: 1 FOR SEALING AND 1 WITH MDM PACKAGING FOR DROP TEST
</t>
  </si>
  <si>
    <t>5 CREATED- Code: 20190516/XXX/001263/00000528/005</t>
  </si>
  <si>
    <t>20190516/XXX/001263/00000528/005</t>
  </si>
  <si>
    <t>0/05062019/eda87042ed1f44eabf46edfeac305ca7.jpg</t>
  </si>
  <si>
    <t>LENCO LOUNGE BENCH PROMO 1263</t>
  </si>
  <si>
    <t xml:space="preserve">1. Ngo Duy Hung(05-06-2019 10:59:28)
1. PLEASE MAKE AS TS FROM CLIENT (FOLLOW FEEDBACK IN QUALITY TAB &amp; DIMENSION IN TD TAB)
2. 3 SAMPLE REQUESTED: 1 FOR SEALING, 1 FOR SGS TEST AND 1 WITH MDM PACKAGING FOR DROP TEST
</t>
  </si>
  <si>
    <t>27 CREATED- Code: 20190605/XXX/001263/00000528/027</t>
  </si>
  <si>
    <t>20190605/XXX/001263/00000528/027</t>
  </si>
  <si>
    <t>2/05062019/3714129619f642548a636bac1f63cad0.jpg</t>
  </si>
  <si>
    <t>LENCO LOUNGE CHAIR PROMO 1263</t>
  </si>
  <si>
    <t>26 CREATED- Code: 20190605/XXX/001263/00000528/026</t>
  </si>
  <si>
    <t>20190605/XXX/001263/00000528/026</t>
  </si>
  <si>
    <t>1/29052019/72af59178f8a4495a9c6385bcc207655.jpg</t>
  </si>
  <si>
    <t>LEONARDO LOUNGE BENCH PROMO (1263)</t>
  </si>
  <si>
    <t xml:space="preserve">1. Ngo Duy Hung(05-06-2019 09:15:41)
1. PLEASE MAKE AS TS FROM CLIENT (FOLLOW FEEDBACK IN QUALITY TAB &amp; DIMENSION IN TD TAB)
SEAT HEIGHT = 40CM (KEEP SEAT CUSHION HEIGHT, INCREASE STRUCTURE HEIGHT)
2. PLEASE DO IN HOUSE TEST FOLLOWING EN 581-1&amp;2 AND SEND REPORT TO US
3. 2 SAMPLE REQUESTED: 1 FOR SEALING AND 1 WITH MDM PACKAGING FOR DROP TEST
</t>
  </si>
  <si>
    <t>16 CREATED- Code: 20190605/XXX/001263/00000528/016</t>
  </si>
  <si>
    <t>20190605/XXX/001263/00000528/016</t>
  </si>
  <si>
    <t>8/29052019/f10b0c780955486d88f06f3159755caf.jpg</t>
  </si>
  <si>
    <t>LEONARDO LOUNGE CHAIR PROMO (1263)</t>
  </si>
  <si>
    <t>17 CREATED- Code: 20190605/XXX/001263/00000528/017</t>
  </si>
  <si>
    <t>20190605/XXX/001263/00000528/017</t>
  </si>
  <si>
    <t>7/17052019/2648eef4f2cb4ef7a3cc631967183a79.jpg</t>
  </si>
  <si>
    <t>LILLE DINING CHAIR (1263)</t>
  </si>
  <si>
    <t xml:space="preserve">1. Ngo Duy Hung(05-06-2019 10:24:53)
1. PLEASE MAKE AS TS FROM CLIENT (FOLLOW FEEDBACK IN QUALITY TAB &amp; DIMENSION IN TD TAB)
2. 3 SAMPLE REQUESTED: 1 FOR SEALING, 1 FOR SGS TEST AND 1 WITH MDM PACKAGING FOR DROP TEST
</t>
  </si>
  <si>
    <t>23 CREATED- Code: 20190605/XXX/001263/00000528/023</t>
  </si>
  <si>
    <t>20190605/XXX/001263/00000528/023</t>
  </si>
  <si>
    <t>4/05062019/e834a454fece48a7822cf0c1f4836c12.jpg</t>
  </si>
  <si>
    <t>LILLE LOUNGE BENCH (1263)</t>
  </si>
  <si>
    <t xml:space="preserve">1. Ngo Duy Hung(05-06-2019 10:20:22)
1. PLEASE MAKE AS TS FROM CLIENT (FOLLOW FEEDBACK IN QUALITY TAB &amp; DIMENSION IN TD TAB)
2. PLEASE DO IN HOUSE TEST FOLLOWING EN EN 581-1&amp;2 AND SEND REPORT TO US
3. 2 SAMPLE REQUESTED: 1 FOR SEALING AND 1 WITH MDM PACKAGING FOR DROP TEST
</t>
  </si>
  <si>
    <t>22 CREATED- Code: 20190605/XXX/001263/00000528/022</t>
  </si>
  <si>
    <t>20190605/XXX/001263/00000528/022</t>
  </si>
  <si>
    <t>8/21032019/721e981ae9a641b4a05b2e0de4dcf514.jpg</t>
  </si>
  <si>
    <t>LILLE LOUNGE CHAIR (1263)</t>
  </si>
  <si>
    <t xml:space="preserve">1. Ngo Duy Hung(05-06-2019 10:15:56)
1. PLEASE MAKE AS TS FROM CLIENT (FOLLOW FEEDBACK IN QUALITY TAB &amp; DIMENSION IN TD TAB)
2. PLEASE DO IN HOUSE TEST FOLLOWING EN EN 581-1&amp;2 AND SEND REPORT TO US
3. 2 SAMPLE REQUESTED: 1 FOR SEALING AND 1 WITH MDM PACKAGING FOR DROP TEST
</t>
  </si>
  <si>
    <t>21 CREATED- Code: 20190605/XXX/001263/00000528/021</t>
  </si>
  <si>
    <t>20190605/XXX/001263/00000528/021</t>
  </si>
  <si>
    <t>1/05062019/329273e84fd14c889e5318cae1d51e9a.jpg</t>
  </si>
  <si>
    <t>MANCHESTER SUNLOUNGER (1263)</t>
  </si>
  <si>
    <t>STANDARD WITH STITCHING</t>
  </si>
  <si>
    <t xml:space="preserve">1. Ngo Duy Hung(05-06-2019 10:35:36)
1. PLEASE MAKE AS TS FROM CLIENT (FOLLOW FEEDBACK IN QUALITY TAB &amp; DIMENSION IN TD TAB)
2. 3 SAMPLE REQUESTED: 1 FOR SEALING, 1 FOR SGS TEST AND 1 WITH MDM PACKAGING FOR DROP TEST
</t>
  </si>
  <si>
    <t>24 CREATED- Code: 20190605/XXX/001263/00000528/024</t>
  </si>
  <si>
    <t>20190605/XXX/001263/00000528/024</t>
  </si>
  <si>
    <t>1/05062019/d00a0a84ab644aeaa91cf971b0b21d8e.jpg</t>
  </si>
  <si>
    <t>PANAY ROUND TABLE</t>
  </si>
  <si>
    <t xml:space="preserve">1. Ngo Duy Hung(05-06-2019 09:36:42)
1. PLEASE MAKE AS TS FROM CLIENT (FOLLOW FEEDBACK IN QUALITY TAB &amp; DIMENSION IN TD TAB)
2. CHANGE TOP TO POLYSTONE CONCRETE LOOK, FINISHING SAME AS KITCHEN 1263
3. 3 SAMPLE REQUESTED: 1 FOR SEALING, 1 FOR SGS TEST AND 1 WITH MDM PACKAGING FOR DROP TEST
</t>
  </si>
  <si>
    <t>18 CREATED- Code: 20190605/XXX/001263/00000528/018</t>
  </si>
  <si>
    <t>20190605/XXX/001263/00000528/018</t>
  </si>
  <si>
    <t>f/05062019/0d388290526c48829d93b179b9530dad.jpg</t>
  </si>
  <si>
    <t>PARA WOODEN BENCH (1263)</t>
  </si>
  <si>
    <t xml:space="preserve">1. Ngo Duy Hung(05-06-2019 10:59:28)
1. PLEASE MAKE AS TS FROM CLIENT (FOLLOW FEEDBACK IN QUALITY TAB &amp; DIMENSION IN TD TAB)
2. PLEASE DO IN HOUSE TEST FOLLOWING EN 581-1&amp;2 (2017) AND SEND REPORT TO US
3. 2 SAMPLE REQUESTED: 1 FOR SEALING AND 1 WITH MDM PACKAGING FOR DROP TEST
</t>
  </si>
  <si>
    <t>25 CREATED- Code: 20190605/XXX/001263/00000528/025</t>
  </si>
  <si>
    <t>20190605/XXX/001263/00000528/025</t>
  </si>
  <si>
    <t>4/21032019/1d849a683257414b87d8cfbe6e45c6ca.jpg</t>
  </si>
  <si>
    <t>RIOZZO SIDE TABLE 80CM (1263)</t>
  </si>
  <si>
    <t xml:space="preserve">1. Ngo Duy Hung(05-06-2019 09:41:40)
1. PLEASE MAKE AS TS FROM CLIENT (FOLLOW FEEDBACK IN QUALITY TAB &amp; DIMENSION IN TD TAB)
POLYSTONE TOP FINISHING SAME AS KITCHEN 1263
2. PLEASE DO IN HOUSE TEST FOLLOWING EN 581-1&amp;2&amp;3 AND SEND REPORT TO US
3. 2 SAMPLE REQUESTED: 1 FOR SEALING AND 1 WITH MDM PACKAGING FOR DROP TEST
</t>
  </si>
  <si>
    <t>19 CREATED- Code: 20190605/XXX/001263/00000528/019</t>
  </si>
  <si>
    <t>20190605/XXX/001263/00000528/019</t>
  </si>
  <si>
    <t>a/05062019/a4971997426b4aa2b9d3e5b356713832.jpg</t>
  </si>
  <si>
    <t>SALAMANCA DINING CHAIR (1263)</t>
  </si>
  <si>
    <t xml:space="preserve">1. Ngo Duy Hung(16-05-2019 11:48:09)
1. PLEASE MAKE AS TS FROM CLIENT (FOLLOW FEEDBACK IN QUALITY TAB &amp; DIMENSION IN TD TAB)
2. SEAT CUSHION WITHOUT PIPING
3. PLEASE DO IN HOUSE TEST FOLLOWING EN 581-1&amp;2&amp;3 AND SEND REPORT TO US
4. 2 SAMPLE REQUESTED: 1 FOR SEALING AND 1 WITH MDM PACKAGING FOR DROP TEST
</t>
  </si>
  <si>
    <t>1 CREATED- Code: 20190516/XXX/001263/00000528/001</t>
  </si>
  <si>
    <t>20190516/XXX/001263/00000528/001</t>
  </si>
  <si>
    <t>3/12032019/5bec76b1980d4f76b4d54a4f232d6da1.jpg</t>
  </si>
  <si>
    <t>STAFFORD LOUNGE CORNER SET (1263)</t>
  </si>
  <si>
    <t xml:space="preserve">1. Ngo Duy Hung(05-06-2019 07:59:06)
1. PLEASE MAKE AS TS FROM CLIENT (FOLLOW FEEDBACK IN QUALITY TAB &amp; DIMENSION IN TD TAB)
2. PLEASE DO IN HOUSE TEST FOLLOWING EN 581-1&amp;2 AND SEND REPORT TO US
3. 2 SAMPLE REQUESTED: 1 FOR SEALING AND 1 WITH MDM PACKAGING FOR DROP TEST
</t>
  </si>
  <si>
    <t>14 CREATED- Code: 20190605/XXX/001263/00000528/014</t>
  </si>
  <si>
    <t>20190605/XXX/001263/00000528/014</t>
  </si>
  <si>
    <t>2/12032019/56defa577f954f16ad3181e2d66797b1.jpg</t>
  </si>
  <si>
    <t>STAFFORD LOUNGE SUNBED (1263)</t>
  </si>
  <si>
    <t xml:space="preserve">1. Ngo Duy Hung(05-06-2019 07:59:06)
1. PLEASE MAKE AS TS FROM CLIENT (FOLLOW FEEDBACK IN QUALITY TAB &amp; DIMENSION IN TD TAB)
2. PLEASE DO IN HOUSE TEST FOLLOWING EN 581-1&amp;2&amp;3 AND SEND REPORT TO US
3. 2 SAMPLE REQUESTED: 1 FOR SEALING AND 1 WITH MDM PACKAGING FOR DROP TEST
</t>
  </si>
  <si>
    <t>15 CREATED- Code: 20190605/XXX/001263/00000528/015</t>
  </si>
  <si>
    <t>20190605/XXX/001263/00000528/015</t>
  </si>
  <si>
    <t>7/05062019/4e7ff2b6bef0459b873008988a2f1ddf.jpg</t>
  </si>
  <si>
    <t>TENERIFE LOUNGE CORNER SET PROMO (1263)</t>
  </si>
  <si>
    <t xml:space="preserve">1. Ngo Duy Hung(16-05-2019 12:11:42)
1. PLEASE MAKE AS TS FROM CLIENT (FOLLOW FEEDBACK IN QUALITY TAB &amp; DIMENSION IN TD TAB)
2. PLEASE DO IN HOUSE TEST FOLLOWING EN 581-1&amp;2&amp;3 AND SEND REPORT TO US
3. 2 SAMPLE REQUESTED: 1 FOR SEALING AND 1 WITH MDM PACKAGING FOR DROP TEST
</t>
  </si>
  <si>
    <t>4 CREATED- Code: 20190516/XXX/001263/00000528/004</t>
  </si>
  <si>
    <t>20190516/XXX/001263/00000528/004</t>
  </si>
  <si>
    <t>c/06062019/92f98dcc72284e38a6d53db32a511e2c.jpg</t>
  </si>
  <si>
    <t>TSONGA HIGH ARMCHAIR (1263)</t>
  </si>
  <si>
    <t xml:space="preserve">1. Ngo Duy Hung(06-06-2019 07:14:11)
1. PLEASE MAKE AS TS FROM CLIENT (FOLLOW FEEDBACK IN QUALITY TAB &amp; DIMENSION IN TD TAB)
2. PLEASE DO IN HOUSE TEST FOLLOWING STANDARD ARMCHAIR : EN 581-1&amp;2 (2017) AND SEND REPORT TO US
3. 2 SAMPLE REQUESTED: 1 FOR SEALING AND 1 WITH MDM PACKAGING FOR DROP TEST
</t>
  </si>
  <si>
    <t>29 CREATED- Code: 20190606/XXX/001263/00000528/029</t>
  </si>
  <si>
    <t>20190606/XXX/001263/00000528/029</t>
  </si>
  <si>
    <t>5/20052019/4cb8c09bcc85418f803dd8a7463685c7.jpg</t>
  </si>
  <si>
    <t>ANTIGUA DINING TABLE 240X100X78CM</t>
  </si>
  <si>
    <t xml:space="preserve">1. Vo Thi My Dieu(20-05-2019 06:17:02)
Pls  make as golden sample
</t>
  </si>
  <si>
    <t>0/05062019/c4357d97cfad4729a367ca814501bef6.jpg</t>
  </si>
  <si>
    <t>2019-06-07</t>
  </si>
  <si>
    <t>EUROFAR NL</t>
  </si>
  <si>
    <t>PI: 42324VN - INCLUDE INTO EUROFAR MIX CONTAINER</t>
  </si>
  <si>
    <t>7 SAMPLE APPROVED- Code: 20190520/ROS/000984/00000529/007</t>
  </si>
  <si>
    <t>20190520/ROS/000984/00000529/007</t>
  </si>
  <si>
    <t>f/20052019/31596490f0284462836dfe74ac5cde7f.jpg</t>
  </si>
  <si>
    <t>CANBERRA LOUNGE CORNER SET 4PCS (LEFT ARM, RIGHT ARM, CORNER, TABLE 80X80X27,5CM)</t>
  </si>
  <si>
    <t xml:space="preserve">1. Vo Thi My Dieu(20-05-2019 06:17:00)
pls make as golden sample
</t>
  </si>
  <si>
    <t>e/05062019/d84f3d5e6bb54898b45f113ad615ed15.jpg</t>
  </si>
  <si>
    <t>1 SAMPLE APPROVED- Code: 20190520/ROS/000984/00000529/001</t>
  </si>
  <si>
    <t>20190520/ROS/000984/00000529/001</t>
  </si>
  <si>
    <t>d/20052019/a42af67e8aab410f819465e9c3543177.jpg</t>
  </si>
  <si>
    <t>DELHI ROPE LOUNGE CHAIR KD 984</t>
  </si>
  <si>
    <t xml:space="preserve">1. Vo Thi My Dieu(20-05-2019 06:17:02)
Pls make as golden sample
</t>
  </si>
  <si>
    <t>o/30052019/40c9f1ae78454f449c43f5e0202fd75e.jpeg</t>
  </si>
  <si>
    <t>6 SAMPLE APPROVED- Code: 20190520/TEC/000984/00000529/006</t>
  </si>
  <si>
    <t>20190520/TEC/000984/00000529/006</t>
  </si>
  <si>
    <t>0/20052019/dba2be0e97934e2d9a43ae1e36abf602.jpg</t>
  </si>
  <si>
    <t>KENT CORNER PIECE 95X95X77CM</t>
  </si>
  <si>
    <t xml:space="preserve">1. Vo Thi My Dieu(20-05-2019 06:17:01)
Pls make as golden sample
</t>
  </si>
  <si>
    <t>o/30052019/ab1b0831089a4385be92cf29c154324f.jpeg</t>
  </si>
  <si>
    <t>3 SAMPLE APPROVED- Code: 20190520/TEC/000984/00000529/003</t>
  </si>
  <si>
    <t>20190520/TEC/000984/00000529/003</t>
  </si>
  <si>
    <t>a/20052019/a6aaac70e9c24e019dd8fc71a6ede67d.jpg</t>
  </si>
  <si>
    <t>KENT LOUNGE BENCH</t>
  </si>
  <si>
    <t xml:space="preserve">1. Vo Thi My Dieu(20-05-2019 06:17:00)
Pls make as golden sample
</t>
  </si>
  <si>
    <t>o/30052019/2a095aa58f36442bbdd55c043d05c5f2.jpeg</t>
  </si>
  <si>
    <t>2 SAMPLE APPROVED- Code: 20190520/TEC/000984/00000529/002</t>
  </si>
  <si>
    <t>20190520/TEC/000984/00000529/002</t>
  </si>
  <si>
    <t>8/20052019/ae3b549719064458a736cfb41b1c6128.jpg</t>
  </si>
  <si>
    <t>MELUN STACKING CHAIR</t>
  </si>
  <si>
    <t>o/30052019/d8e2eef00adb44959aee75a4ac479adf.jpeg</t>
  </si>
  <si>
    <t>5 SAMPLE APPROVED- Code: 20190520/TEC/000984/00000529/005</t>
  </si>
  <si>
    <t>20190520/TEC/000984/00000529/005</t>
  </si>
  <si>
    <t>2019-05-28</t>
  </si>
  <si>
    <t xml:space="preserve">1. Ngo Duy Hung(20-05-2019 12:30:28)
MAKE SAME AS SAMPLE SENT TO CLIENT BEFORE
</t>
  </si>
  <si>
    <t>f/30052019/21b5b97337ea43ccaf6d9577e83d060f.jpg</t>
  </si>
  <si>
    <t>PHOTOSHOOT SAMPLE - 42356VN</t>
  </si>
  <si>
    <t>1 FINISHED- Code: 20190520/BON/001263/00000530/001</t>
  </si>
  <si>
    <t>20190520/BON/001263/00000530/001</t>
  </si>
  <si>
    <t>0/06062019/3f160b05df59428eb8467712b7f08308.jpg</t>
  </si>
  <si>
    <t>2019-06-14</t>
  </si>
  <si>
    <t>PANAY ROUND DINING TABLE (1263)</t>
  </si>
  <si>
    <t xml:space="preserve">1. Ngo Duy Hung(06-06-2019 05:58:27)
POLYSTONE TOP MUST BE SAME FINISHING AS SAMPLE KITCHEN 1263
SCREW HOLE ON WOOD SHOULD BE OBLONG/OVAL
ADD LEVELER ON EACH LEG
</t>
  </si>
  <si>
    <t>6/19062019/199e946fbb1647a99f37fe3f913cfa9c.jpg</t>
  </si>
  <si>
    <t>3 FINISHED- Code: 20190606/APH/001263/00000530/003</t>
  </si>
  <si>
    <t>20190606/APH/001263/00000530/003</t>
  </si>
  <si>
    <t xml:space="preserve">1. Ngo Duy Hung(06-06-2019 05:58:27)
POLYSTONE TOP SAME AS SAMPLE KITCHEN 1263
ADD LEVELER TO EACH LEG
MAKE SURE THE TABLE IS NOT WOBBLY
</t>
  </si>
  <si>
    <t>5/19062019/0b9d57bddb5b4baab844e2010dd41762.jpg</t>
  </si>
  <si>
    <t>4 FINISHED- Code: 20190606/APH/001263/00000530/004</t>
  </si>
  <si>
    <t>20190606/APH/001263/00000530/004</t>
  </si>
  <si>
    <t>2/21052019/ae466c4adaf74baa8d464e8afd39cd8e.jpg</t>
  </si>
  <si>
    <t>SEAT CUSHION OF SALAMANCA DINING CHAIR 1263</t>
  </si>
  <si>
    <t>TERRA COTTA 1263</t>
  </si>
  <si>
    <t xml:space="preserve">1. Ngo Duy Hung(21-05-2019 05:53:11)
MAKE A SEAT CUSHION OF SALAMANCA DINING CHAIR 1263, AS SAMPLE SENT TO CLIENT BUT WITHOUT PIPING
</t>
  </si>
  <si>
    <t>7/04062019/5ef226fd15d04394807ce665fe410053.jpg</t>
  </si>
  <si>
    <t>2 FINISHED- Code: 20190521/PAL/001263/00000530/002</t>
  </si>
  <si>
    <t>20190521/PAL/001263/00000530/002</t>
  </si>
  <si>
    <t>c/20052019/bee687f374ff426b89171052174663c3.jpg</t>
  </si>
  <si>
    <t>JALA DINING CHAIR( NO ARMS)- 909314</t>
  </si>
  <si>
    <t xml:space="preserve">1. Huynh Thi To Nga(20-05-2019 14:57:00)
Please follow TD
Make item like Babala Dining Chair last year but without arms + rope on the seat
Add feet cap to legs
</t>
  </si>
  <si>
    <t>f/04062019/19a21d232d5148cabe08371f3de434c6.jpg</t>
  </si>
  <si>
    <t>1 SAMPLE APPROVED- Code: 20190520/TEC/909314/00000531/001</t>
  </si>
  <si>
    <t>20190520/TEC/909314/00000531/001</t>
  </si>
  <si>
    <t>9/20052019/f7feb074a76749f2926f2b98570f3562.jpg</t>
  </si>
  <si>
    <t>KOTA SET</t>
  </si>
  <si>
    <t>FLAT HALFMOON 7MM</t>
  </si>
  <si>
    <t>GREY- PANTONE 13-0000TPG</t>
  </si>
  <si>
    <t>PINK- PANTONE 14-1310 TPG</t>
  </si>
  <si>
    <t xml:space="preserve">1. Huynh Thi To Nga(20-05-2019 14:57:00)
Please follow TDs
Wicker Flat HALFMOON 7MM with 2 colors Pantone 13-0000 TPG/ 14-1310 TPG
</t>
  </si>
  <si>
    <t>4 CREATED- Code: 20190520/XXX/909314/00000531/004</t>
  </si>
  <si>
    <t>20190520/XXX/909314/00000531/004</t>
  </si>
  <si>
    <t>6/20052019/2c0251c9c42c40ce8f714d1edf4e75da.jpg</t>
  </si>
  <si>
    <t>KULA BENCH SET - 909314</t>
  </si>
  <si>
    <t>FLAT HALMOON 7MM</t>
  </si>
  <si>
    <t xml:space="preserve">1. Huynh Thi To Nga(20-05-2019 14:57:00)
Please follow TDs
</t>
  </si>
  <si>
    <t>5 CREATED- Code: 20190520/XXX/909314/00000531/005</t>
  </si>
  <si>
    <t>20190520/XXX/909314/00000531/005</t>
  </si>
  <si>
    <t>b/21052019/cb8239d01e874b6b8f77950c5756766d.jpg</t>
  </si>
  <si>
    <t>PATAN DINING BENCH- 909314</t>
  </si>
  <si>
    <t xml:space="preserve">1. Huynh Thi To Nga(21-05-2019 07:46:27)
Please follow TDs
</t>
  </si>
  <si>
    <t>6 CREATED- Code: 20190521/XXX/909314/00000531/006</t>
  </si>
  <si>
    <t>20190521/XXX/909314/00000531/006</t>
  </si>
  <si>
    <t>d/21052019/94f27e7059d442d082a7fff857f5bc0f.jpg</t>
  </si>
  <si>
    <t>PATAN DINING BENCH-TEXTILEN 909314</t>
  </si>
  <si>
    <t>TEXTILEN 1.2</t>
  </si>
  <si>
    <t xml:space="preserve">1. Huynh Thi To Nga(21-05-2019 07:46:27)
Please follow TD
</t>
  </si>
  <si>
    <t>7 CREATED- Code: 20190521/XXX/909314/00000531/007</t>
  </si>
  <si>
    <t>20190521/XXX/909314/00000531/007</t>
  </si>
  <si>
    <t>0/21052019/3e617b7c1f27419f92f62032bd394ff6.jpg</t>
  </si>
  <si>
    <t>PATAN EXTENDING TABLE- 909314</t>
  </si>
  <si>
    <t xml:space="preserve">1. Huynh Thi To Nga(21-05-2019 07:57:15)
Pls follow TD
</t>
  </si>
  <si>
    <t>11 CREATED- Code: 20190521/XXX/909314/00000531/011</t>
  </si>
  <si>
    <t>20190521/XXX/909314/00000531/011</t>
  </si>
  <si>
    <t>1/20052019/b2d327c8104e41b1aabe021bf3502f0e.jpg</t>
  </si>
  <si>
    <t>PURNA DINING CHAIR - ALU FRAME -909314</t>
  </si>
  <si>
    <t>GREY - PANTONE 19-3910 TPX</t>
  </si>
  <si>
    <t>INDIGO BLUE</t>
  </si>
  <si>
    <t xml:space="preserve">1. Huynh Thi To Nga(20-05-2019 14:57:00)
Please follow TD
weaving MUST follow as attached file
</t>
  </si>
  <si>
    <t>2 CREATED- Code: 20190520/PAL/909314/00000531/002</t>
  </si>
  <si>
    <t>20190520/PAL/909314/00000531/002</t>
  </si>
  <si>
    <t>b/21052019/913540f304e14e92aa68d559e276f363.jpg</t>
  </si>
  <si>
    <t>PURNA DINING CHAIR - STEEL FRAME -909314</t>
  </si>
  <si>
    <t xml:space="preserve">1. (21-05-2019 09:37:03)
Please follow TD
weaving MUST follow as attached file
</t>
  </si>
  <si>
    <t>12 CREATED- Code: 20190521/PAL/909314/00000531/012</t>
  </si>
  <si>
    <t>20190521/PAL/909314/00000531/012</t>
  </si>
  <si>
    <t>e/20052019/097305242f7e48bbb5dc5508f20b0e73.jpg</t>
  </si>
  <si>
    <t>PURNA LOVESEAT- 909314</t>
  </si>
  <si>
    <t>GREY- PANTONE 19-3910TPX</t>
  </si>
  <si>
    <t xml:space="preserve">1. Huynh Thi To Nga(20-05-2019 14:57:00)
Please follow TD
please follow weaving as below pic
Need 2pcs for Back cushion with Dim 45x30 - Grey color
Seat cushion - Standard with Indigo Blue color
</t>
  </si>
  <si>
    <t>3 CREATED- Code: 20190520/PAL/909314/00000531/003</t>
  </si>
  <si>
    <t>20190520/PAL/909314/00000531/003</t>
  </si>
  <si>
    <t>d/22052019/ed6c277c707f4cdf80bab40383a92f0e.jpg</t>
  </si>
  <si>
    <t>2019-06-19</t>
  </si>
  <si>
    <t>AALBORG LOUNGE CORNER SET</t>
  </si>
  <si>
    <t>NATURAL SAND 240</t>
  </si>
  <si>
    <t xml:space="preserve">2. An Huyen Cao(20-06-2019 16:20:20)
MAKE CUSHIONS IN SERVAL LIGHT BROWN TO SEND OUT TO EF
ADD EXTRA COVERS IN NATURAL SAND. CUSHION COVERS CAN BE SEND OUT LATER IF NEEDED BY AIRFREIGHT
1. (22-05-2019 15:03:03)
PUT IN SAMPLE PRODUCTION AS 984
</t>
  </si>
  <si>
    <t>6/09072019/a2a906d030d744ad89be6408d570cab8.jpg</t>
  </si>
  <si>
    <t>2019-06-22</t>
  </si>
  <si>
    <t>SPOGA (EXISTING ITEMS)</t>
  </si>
  <si>
    <t>COLLECTION 2020</t>
  </si>
  <si>
    <t>75/75/70</t>
  </si>
  <si>
    <t>200/125/70</t>
  </si>
  <si>
    <t>55.5/55.5/31.5</t>
  </si>
  <si>
    <t>31/20/8.5</t>
  </si>
  <si>
    <t>36/25/6</t>
  </si>
  <si>
    <t>203/128/74.5</t>
  </si>
  <si>
    <t>78/78/73</t>
  </si>
  <si>
    <t>40/40/8</t>
  </si>
  <si>
    <t>48 FINISHED- Code: 20190522/ROS/000002/00000532/048</t>
  </si>
  <si>
    <t>20190522/ROS/000002/00000532/048</t>
  </si>
  <si>
    <t>9/22052019/78d8971b1e1a48c2988a1c350d36399b.jpg</t>
  </si>
  <si>
    <t>ARHUS LOUNGE CORNER SET</t>
  </si>
  <si>
    <t xml:space="preserve">1. An Huyen Cao(20-06-2019 16:20:20)
MAKE CUSHIONS IN SERVAL LIGHT BROWN TO SEND OUT TO EF
ADD EXTRA COVERS IN NATURAL SAND. CUSHION COVERS CAN BE SEND OUT LATER IF NEEDED BY AIRFREIGHT
</t>
  </si>
  <si>
    <t>6/19072019/cf121714a9f847869f24a8d47afccf5b.jpg</t>
  </si>
  <si>
    <t>49 FINISHED- Code: 20190522/TEC/000002/00000532/049</t>
  </si>
  <si>
    <t>20190522/TEC/000002/00000532/049</t>
  </si>
  <si>
    <t>e/03062019/d175005827084b4b955e0438dff62a27.jpg</t>
  </si>
  <si>
    <t>AUBERGE LOUNGE SET WITH 3 SEATER BENCH</t>
  </si>
  <si>
    <t xml:space="preserve">2. (05-06-2019 11:55:10)
TD's
1. (22-05-2019 14:28:10)
BIRDSEYE WEAVE (EXACT AS PICTURE, CHECK WITH VAN ANH)
WOODEN ROUND TAPPERED LEGS
</t>
  </si>
  <si>
    <t>8/11072019/9daed903e5294d68ba22dda3576e8ab7.jpg</t>
  </si>
  <si>
    <t>81/81/60</t>
  </si>
  <si>
    <t>90/229/100</t>
  </si>
  <si>
    <t>16.7/16.7/33.2/14.2</t>
  </si>
  <si>
    <t>19.7/19.7/37.7/16.2</t>
  </si>
  <si>
    <t>83/83/62</t>
  </si>
  <si>
    <t>92/231/102</t>
  </si>
  <si>
    <t>50/50/18</t>
  </si>
  <si>
    <t>39 FINISHED- Code: 20190522/APO/000002/00000532/039</t>
  </si>
  <si>
    <t>20190522/APO/000002/00000532/039</t>
  </si>
  <si>
    <t>2/22052019/1b341f3c659a438da4755ef4a984bb06.jpg</t>
  </si>
  <si>
    <t>BAZEL DINING CHAIR ANTHRACITE</t>
  </si>
  <si>
    <t xml:space="preserve">2. (11-06-2019 13:03:27)
Is the back comfortable like this? Do you feel the bars?
1. (22-05-2019 11:54:38)
WITHOUT BAR UNDER THE SEAT (CHECK STABILITY, IF STABILITY IS NOT GOOD, ADD BAR AS CLOSE AS POSSIBLE UNDER THE SEAT)
</t>
  </si>
  <si>
    <t>3/24062019/6d8dd15d60ff4261adeb8436013dc6cd.jpg</t>
  </si>
  <si>
    <t>9 FINISHED- Code: 20190522/PAL/000002/00000532/009</t>
  </si>
  <si>
    <t>20190522/PAL/000002/00000532/009</t>
  </si>
  <si>
    <t>f/22052019/659df536d467495ca4b681493cec96b5.jpg</t>
  </si>
  <si>
    <t>BAZEL DINING CHAIR OLIVE GREEN</t>
  </si>
  <si>
    <t>a/24062019/ce7415bdd0224e0f84240e076de4403d.jpg</t>
  </si>
  <si>
    <t>10 FINISHED- Code: 20190522/PAL/000002/00000532/010</t>
  </si>
  <si>
    <t>20190522/PAL/000002/00000532/010</t>
  </si>
  <si>
    <t>c/22052019/5204058cfd74448499d59f075630482e.jpg</t>
  </si>
  <si>
    <t>BERLIN DINING BENCH</t>
  </si>
  <si>
    <t xml:space="preserve">1. (22-05-2019 15:46:42)
PUT IN SAMPLE PRODUCTION AS 784
</t>
  </si>
  <si>
    <t>c/23072019/be787eca6b0141d1b395e050bae77380.jpg</t>
  </si>
  <si>
    <t>55 FINISHED- Code: 20190522/TEC/000002/00000532/055</t>
  </si>
  <si>
    <t>20190522/TEC/000002/00000532/055</t>
  </si>
  <si>
    <t>e/22052019/cda5b3f122504a30902b04e467f18eb3.jpg</t>
  </si>
  <si>
    <t>BILBAO LOUNGE SET (2X CHAIR + 1X 3 SEATER BENCH)</t>
  </si>
  <si>
    <t xml:space="preserve">2. (28-05-2019 17:55:11)
THIS WILL BE 3-SEATER. WE MADE THIS ITEM BEFORE.
STICHING 2 BACK CUSHIONS (I ALREADY CHANGED IN TS)
3 SEAT CUSHION + 3 back cushions
NO TABLE
1. (22-05-2019 13:25:17)
KEEP SEATING DIMENSIONS / MEASUREMENTS, MAKE WITH ROUND 10MM WEAVING
WITH 3-SEATER BENCH
NO TABLE
</t>
  </si>
  <si>
    <t>6/02072019/0fbc9aa04d1d45d7a0e359e44d523153.jpg</t>
  </si>
  <si>
    <t>89/89</t>
  </si>
  <si>
    <t>72/203</t>
  </si>
  <si>
    <t>20/42</t>
  </si>
  <si>
    <t>21/44</t>
  </si>
  <si>
    <t>90/90</t>
  </si>
  <si>
    <t>73/204</t>
  </si>
  <si>
    <t>34 FINISHED- Code: 20190522/BIG/000002/00000532/034</t>
  </si>
  <si>
    <t>20190522/BIG/000002/00000532/034</t>
  </si>
  <si>
    <t>5/23052019/c14b00de27c643549f8b10e0e48ea70c.jpg</t>
  </si>
  <si>
    <t>BLAKES DINING TABLE WITH WOODEN TOP</t>
  </si>
  <si>
    <t xml:space="preserve">2. (22-05-2019 15:58:23)
CHANGE LEGS TO BLAKES LEGS
1. (22-05-2019 15:29:32)
MAKE AS BLAKES (LEGS 705)
</t>
  </si>
  <si>
    <t>0/08072019/749fe6af25ac4992b06a8ad1ff61907f.jpg</t>
  </si>
  <si>
    <t>50 FINISHED- Code: 20190522/TEC/000002/00000532/050</t>
  </si>
  <si>
    <t>20190522/TEC/000002/00000532/050</t>
  </si>
  <si>
    <t>0/22052019/8e86008a738742cd8e3abf99234aaa63.jpg</t>
  </si>
  <si>
    <t>BOGOR LOUNGE CHAIR</t>
  </si>
  <si>
    <t xml:space="preserve">1. (22-05-2019 14:47:00)
PUT IN SAMPLE PRODUCTION AS 784
</t>
  </si>
  <si>
    <t>3/05072019/c3773877271240468abb96188127575a.jpg</t>
  </si>
  <si>
    <t>45 FINISHED- Code: 20190522/APO/000002/00000532/045</t>
  </si>
  <si>
    <t>20190522/APO/000002/00000532/045</t>
  </si>
  <si>
    <t>8/28052019/70c74ec88c354294917430aef8a094e8.jpg</t>
  </si>
  <si>
    <t>CAYMAN COFFEE SET (2X CHAIR + 1X TABLE 45CM)</t>
  </si>
  <si>
    <t xml:space="preserve">2. (12-06-2019 17:56:24)
TD
1. (28-05-2019 16:47:23)
add more wicker to the sides.
TABLE AS SAMPLE MADE FOR 705
</t>
  </si>
  <si>
    <t>9/10072019/7c9d0dd56a824cf5a27ee0a400e02916.jpg</t>
  </si>
  <si>
    <t>70.5/60</t>
  </si>
  <si>
    <t>68/60</t>
  </si>
  <si>
    <t>89.5/48</t>
  </si>
  <si>
    <t>4.8/4.5</t>
  </si>
  <si>
    <t>46 FINISHED- Code: 20190522/BIG/000002/00000532/046</t>
  </si>
  <si>
    <t>20190522/BIG/000002/00000532/046</t>
  </si>
  <si>
    <t>9/22052019/216ae0f6a5c34b10938b493b233ae348.jpg</t>
  </si>
  <si>
    <t>f/11072019/e4bfda7174a94b75a1f3c7be5095a6a7.jpg</t>
  </si>
  <si>
    <t>94/94/96</t>
  </si>
  <si>
    <t>96/223/96</t>
  </si>
  <si>
    <t>71/71/33</t>
  </si>
  <si>
    <t>33.5/33.5/61.8/20</t>
  </si>
  <si>
    <t>35.5/35.5/65.7/23</t>
  </si>
  <si>
    <t>95/95/97</t>
  </si>
  <si>
    <t>97/224/97</t>
  </si>
  <si>
    <t>72/72/34</t>
  </si>
  <si>
    <t>36 FINISHED- Code: 20190522/APO/000002/00000532/036</t>
  </si>
  <si>
    <t>20190522/APO/000002/00000532/036</t>
  </si>
  <si>
    <t>1/22052019/9cf5d427aac646fb86812308b5a17321.jpg</t>
  </si>
  <si>
    <t xml:space="preserve">2. (04-06-2019 16:50:29)
changed the wicker from LOOM to ROUND 6MM
1. (22-05-2019 14:23:05)
PUT IN SAMPLE PRODUCTION AS 705
</t>
  </si>
  <si>
    <t>f/02072019/af44583df2724f05acb9b1438e5ae8a6.jpg</t>
  </si>
  <si>
    <t>38 FINISHED- Code: 20190522/PAL/000002/00000532/038</t>
  </si>
  <si>
    <t>20190522/PAL/000002/00000532/038</t>
  </si>
  <si>
    <t>3/22052019/5c6c324808794d919ad7ca866afae5cf.jpg</t>
  </si>
  <si>
    <t>GIRONA LOUNGE SET WITH ROPE (2X CHAIR + 1X BENCH + 1X TABLE)</t>
  </si>
  <si>
    <t xml:space="preserve">1. (22-05-2019 12:56:36)
AS SAMPLE 783, BASED ON BARCELONA CHAIR AND BENCH WITH ADJUSTMENTS
ADD 1 ADDITIONAL CUSHION SET OF ROYAL STONE BROWN
</t>
  </si>
  <si>
    <t>7/01082019/295911025cf747259763dcab945c656c.jpg</t>
  </si>
  <si>
    <t>75/75/75/80</t>
  </si>
  <si>
    <t>94/94/175/80</t>
  </si>
  <si>
    <t>60/60/60/41</t>
  </si>
  <si>
    <t>17/17/29/11</t>
  </si>
  <si>
    <t>20/20/34/12.5</t>
  </si>
  <si>
    <t>96/96/179/83.5</t>
  </si>
  <si>
    <t>78/78/78/82</t>
  </si>
  <si>
    <t>44/44/44/8</t>
  </si>
  <si>
    <t>30 FINISHED- Code: 20190522/ROS/000002/00000532/030</t>
  </si>
  <si>
    <t>20190522/ROS/000002/00000532/030</t>
  </si>
  <si>
    <t>2/22052019/f9c9ea57affb44b0a7b5c8a99af06590.jpg</t>
  </si>
  <si>
    <t>HARBY LOUNGE SET</t>
  </si>
  <si>
    <t xml:space="preserve">2. (22-05-2019 15:58:23)
MAKE SURE CUSHIONS ARE EXACT AS STANDARD CORNER
1. (22-05-2019 14:54:48)
BENCH 180CM WIDTH
CHAIR AS IT IS 
TABLE AS IT IS
</t>
  </si>
  <si>
    <t>9/11072019/2025f70840b649a8ad60d73159a782d4.jpg</t>
  </si>
  <si>
    <t>47 FINISHED- Code: 20190522/TEC/000002/00000532/047</t>
  </si>
  <si>
    <t>20190522/TEC/000002/00000532/047</t>
  </si>
  <si>
    <t>8/22052019/392d4a92b135413b94414cf60e8e5c44.jpg</t>
  </si>
  <si>
    <t>HONOLULU DINING CHAIR 1263 ANTHRACITE</t>
  </si>
  <si>
    <t>ANTHRACITE OLEFIN</t>
  </si>
  <si>
    <t xml:space="preserve">1. (22-05-2019 12:10:46)
MAKE SAMPLE AS MDM 1263 (REVISED PITCH)
MAKE 2 EXTRA SEAT CUSHIONS
</t>
  </si>
  <si>
    <t>9/01072019/de5940f326b64830b158912ddce004e4.jpg</t>
  </si>
  <si>
    <t>16 FINISHED- Code: 20190522/PAL/000002/00000532/016</t>
  </si>
  <si>
    <t>20190522/PAL/000002/00000532/016</t>
  </si>
  <si>
    <t>0/22052019/992ba33460d24f09aa21834d6bc45599.jpg</t>
  </si>
  <si>
    <t>HONOLULU DINING CHAIR 1263 BLACK</t>
  </si>
  <si>
    <t xml:space="preserve">1. (22-05-2019 12:14:57)
MAKE SAMPLE AS MDM 1263 (REVISED PITCH)
</t>
  </si>
  <si>
    <t>1/01072019/896f5d790f92443fb13147660c7eec6a.jpg</t>
  </si>
  <si>
    <t>18 FINISHED- Code: 20190522/PAL/000002/00000532/018</t>
  </si>
  <si>
    <t>20190522/PAL/000002/00000532/018</t>
  </si>
  <si>
    <t>b/22052019/91380288a19140b8bd8fb6a89ee3fea4.jpg</t>
  </si>
  <si>
    <t>HONOLULU DINING CHAIR 1263 OLIVE GREEN</t>
  </si>
  <si>
    <t xml:space="preserve">1. (22-05-2019 12:10:46)
MAKE SAMPLE AS MDM 1263 (REVISED PITCH)
</t>
  </si>
  <si>
    <t>b/01072019/9d67c508454e42e085543dd5551d97df.jpg</t>
  </si>
  <si>
    <t>15 FINISHED- Code: 20190522/PAL/000002/00000532/015</t>
  </si>
  <si>
    <t>20190522/PAL/000002/00000532/015</t>
  </si>
  <si>
    <t>2/22052019/09f08a47aff14462a32b3c6dd74a4e88.jpg</t>
  </si>
  <si>
    <t>HONOLULU DINING CHAIR 1263 TAUPE</t>
  </si>
  <si>
    <t>6/01072019/0b6f1ef3fa6b4b1a8e4eb964bd9ecb4f.jpg</t>
  </si>
  <si>
    <t>17 FINISHED- Code: 20190522/PAL/000002/00000532/017</t>
  </si>
  <si>
    <t>20190522/PAL/000002/00000532/017</t>
  </si>
  <si>
    <t>3/22052019/71e1468b3a1f43ebb86d563b2e3b6e6d.jpg</t>
  </si>
  <si>
    <t>HONOLULU DINING CHAIR 1263 TERRACOTTA</t>
  </si>
  <si>
    <t xml:space="preserve">1. (22-05-2019 12:06:24)
MAKE SAMPLE AS MDM 1263 (REVISED PITCH)
</t>
  </si>
  <si>
    <t>a/02072019/679d421af8f44199bcca5c538fc96ca5.jpg</t>
  </si>
  <si>
    <t>14 FINISHED- Code: 20190522/PAL/000002/00000532/014</t>
  </si>
  <si>
    <t>20190522/PAL/000002/00000532/014</t>
  </si>
  <si>
    <t>a/22052019/07f091b1f3264c8db7bdba0d12b5da28.jpg</t>
  </si>
  <si>
    <t>HONOLULU LOUNGE SET</t>
  </si>
  <si>
    <t xml:space="preserve">1. (22-05-2019 11:57:30)
MAKE SAMPLE AS 705
</t>
  </si>
  <si>
    <t>1/12072019/3c1c7f39985149ae920d673f35d1a7ed.jpg</t>
  </si>
  <si>
    <t>11 FINISHED- Code: 20190522/PAL/000002/00000532/011</t>
  </si>
  <si>
    <t>20190522/PAL/000002/00000532/011</t>
  </si>
  <si>
    <t>3/13062019/6c1125ce41794b7d80cd9b10c039cee3.jpg</t>
  </si>
  <si>
    <t>THICK</t>
  </si>
  <si>
    <t xml:space="preserve">3. (07-06-2019 12:11:49)
make the seats in alu! (not textilene/braided outdoor)
TD
2. (04-06-2019 14:39:07)
changed name to: LANAI DINING CHAIR
1. (22-05-2019 12:02:53)
HONOLULU DINING CHAIR WITH ALU LEGS
</t>
  </si>
  <si>
    <t>4/17072019/3d3d18631732471db23e678beb3f061e.jpg</t>
  </si>
  <si>
    <t>13 FINISHED- Code: 20190522/PAL/000002/00000532/013</t>
  </si>
  <si>
    <t>20190522/PAL/000002/00000532/013</t>
  </si>
  <si>
    <t>a/07062019/043bb391072747c496fa0fe94b57b649.jpg</t>
  </si>
  <si>
    <t>LANAI LOUNGE SET</t>
  </si>
  <si>
    <t xml:space="preserve">4. (07-06-2019 12:15:12)
make the seats in alu! (not textilene/braided outdoor)
3. (05-06-2019 12:02:55)
TD's
2. (04-06-2019 14:39:07)
changed name to: LANAI LOUNGE SET
1. (22-05-2019 12:00:34)
MAKE SAMPLE
HONOLULU LOUNGE SET WITH ALU LEGS / WEAVING / ROPE AS PICTURE
MAKE TABLE SAME HEIGHT AS SEAT/BENCH (WITHOUT CUSHION)
</t>
  </si>
  <si>
    <t>5/23072019/e2475d7be2b7440591b8996424367ed3.jpg</t>
  </si>
  <si>
    <t>12 FINISHED- Code: 20190522/PAL/000002/00000532/012</t>
  </si>
  <si>
    <t>20190522/PAL/000002/00000532/012</t>
  </si>
  <si>
    <t>9/22052019/2add305a9d5c4e2eb24a073fae5c4e93.jpg</t>
  </si>
  <si>
    <t>e/11072019/d1baed84896b49ed8c2b217bbc749c82.jpg</t>
  </si>
  <si>
    <t>103/103/96</t>
  </si>
  <si>
    <t>103/173/96</t>
  </si>
  <si>
    <t>73/73/42</t>
  </si>
  <si>
    <t>49.5/49.5/33/30</t>
  </si>
  <si>
    <t>53/53/36/32</t>
  </si>
  <si>
    <t>104/104/97</t>
  </si>
  <si>
    <t>104/174/97</t>
  </si>
  <si>
    <t>74/74/43</t>
  </si>
  <si>
    <t>35 FINISHED- Code: 20190522/APO/000002/00000532/035</t>
  </si>
  <si>
    <t>20190522/APO/000002/00000532/035</t>
  </si>
  <si>
    <t>7/22052019/c67de09c78c84982887c812100750978.jpg</t>
  </si>
  <si>
    <t>LEONARDO PROMO CORNER SET</t>
  </si>
  <si>
    <t xml:space="preserve">2. An Huyen Cao(20-06-2019 16:20:20)
MAKE CUSHIONS IN SERVAL LIGHT BROWN TO SEND OUT TO EF
ADD EXTRA COVERS IN NATURAL SAND. CUSHION COVERS CAN BE SEND OUT LATER IF NEEDED BY AIRFREIGHT
1. (11-06-2019 13:00:10)
colors are changed:
•	Rattan Mixed Naturel --&gt; Wicker Rattan Natural Brown
•	Black frame --&gt; Antracite frame
•	Anthracite Olefin --&gt; Natural sand 1200
</t>
  </si>
  <si>
    <t>6/11072019/50fb048b9d2040c296b9e6bbb8f57926.jpg</t>
  </si>
  <si>
    <t>37 FINISHED- Code: 20190522/PAL/000002/00000532/037</t>
  </si>
  <si>
    <t>20190522/PAL/000002/00000532/037</t>
  </si>
  <si>
    <t>6/22052019/7885f824e86c40dea43a6d01a63ad7f6.jpg</t>
  </si>
  <si>
    <t>LUZERN DINING CHAIR OPEN WEAVE ANTHRACITE</t>
  </si>
  <si>
    <t xml:space="preserve">1. (22-05-2019 13:25:17)
PUT IN SAMPLE PRODUCTION AS 705 (OPEN WEAVE)
</t>
  </si>
  <si>
    <t>7/06072019/2b6d4128842440f6b4188ee27940ed3e.jpg</t>
  </si>
  <si>
    <t>32 FINISHED- Code: 20190522/TEC/000002/00000532/032</t>
  </si>
  <si>
    <t>20190522/TEC/000002/00000532/032</t>
  </si>
  <si>
    <t>f/22052019/b0308adf88224656a2fce4cc91336f6d.jpg</t>
  </si>
  <si>
    <t>LUZERN DINING CHAIR OPEN WEAVE OLIVE GREEN</t>
  </si>
  <si>
    <t>5/06072019/ce861acb7d9a4377864f893568e05c43.jpg</t>
  </si>
  <si>
    <t>33 FINISHED- Code: 20190522/TEC/000002/00000532/033</t>
  </si>
  <si>
    <t>20190522/TEC/000002/00000532/033</t>
  </si>
  <si>
    <t>7/22052019/1700669ba56a4f609818d91d88da5d1a.jpg</t>
  </si>
  <si>
    <t>MALANG DINING TABLE</t>
  </si>
  <si>
    <t xml:space="preserve">1. (22-05-2019 14:43:38)
MAKE SAMPLE AS INTERGAMMA
</t>
  </si>
  <si>
    <t>9/11072019/3452de47be034017b8d78afd65240b55.jpg</t>
  </si>
  <si>
    <t>44 FINISHED- Code: 20190522/PAL/000002/00000532/044</t>
  </si>
  <si>
    <t>20190522/PAL/000002/00000532/044</t>
  </si>
  <si>
    <t>3/22052019/ecfaf99632d74ea89ea0790f58156bd7.jpg</t>
  </si>
  <si>
    <t>MIRA COFFEE LOUNGE SET</t>
  </si>
  <si>
    <t>NATURAL WHITE GREY (3 COLORS IN 1, CHECK VAN ANH)</t>
  </si>
  <si>
    <t xml:space="preserve">1. (22-05-2019 14:31:23)
BIRDSEYE WEAVE as GARDA BENCH for 784.
</t>
  </si>
  <si>
    <t>3/08072019/7c2e81b7b9a6475ab59b64cd908df3f6.jpg</t>
  </si>
  <si>
    <t>40 FINISHED- Code: 20190522/PAL/000002/00000532/040</t>
  </si>
  <si>
    <t>20190522/PAL/000002/00000532/040</t>
  </si>
  <si>
    <t>d/22052019/64752e9b06f4497892fc00558b3400eb.jpg</t>
  </si>
  <si>
    <t>MUGELLO DINING TABLE</t>
  </si>
  <si>
    <t xml:space="preserve">1. (22-05-2019 15:35:21)
PUT IN SAMPLE PRODUCTION AS 705
220X100CM
</t>
  </si>
  <si>
    <t>0/01072019/221c3d1770c947b7a263bb80b6481001.jpg</t>
  </si>
  <si>
    <t>53 FINISHED- Code: 20190522/PAL/000002/00000532/053</t>
  </si>
  <si>
    <t>20190522/PAL/000002/00000532/053</t>
  </si>
  <si>
    <t>2/04062019/4f6901213d234a839f451ea6dce5c968.jpg</t>
  </si>
  <si>
    <t>NARVIK DINING CHAIR</t>
  </si>
  <si>
    <t xml:space="preserve">2. (04-06-2019 11:47:24)
TD
1. (22-05-2019 12:47:41)
MAKE SAMPLE WITH HORIZONTAL WEAVING
SEAT CUSHION THICKNESS 4CM NO TUBING
</t>
  </si>
  <si>
    <t>9/10072019/1608a55608b6426791e1c34e527978f7.jpg</t>
  </si>
  <si>
    <t>29 FINISHED- Code: 20190522/TEC/000002/00000532/029</t>
  </si>
  <si>
    <t>20190522/TEC/000002/00000532/029</t>
  </si>
  <si>
    <t>b/04062019/d549d992403e4e9181652980ca90b201.jpg</t>
  </si>
  <si>
    <t>NARVIK LOUNGE SET</t>
  </si>
  <si>
    <t xml:space="preserve">2. (04-06-2019 11:45:54)
TD's
1. (22-05-2019 12:45:35)
MAKE SAMPLE WITH HORIZONTAL WEAVING
SEAT CUSHION THICKNESS 5CM
SEAT + BACK SEPARATE CUSHIONS
</t>
  </si>
  <si>
    <t>f/10072019/c267eda9028349a6990861db54a7c113.jpg</t>
  </si>
  <si>
    <t>28 FINISHED- Code: 20190522/TEC/000002/00000532/028</t>
  </si>
  <si>
    <t>20190522/TEC/000002/00000532/028</t>
  </si>
  <si>
    <t>0/22052019/5a0b5321e71248eda91d9b1e73be068a.jpg</t>
  </si>
  <si>
    <t>PANAY ROUND DINING TABLE 100CM</t>
  </si>
  <si>
    <t xml:space="preserve">1. (22-05-2019 15:32:46)
AS SAMPLE 705 BUT 100CM WIDTH
</t>
  </si>
  <si>
    <t>2/06072019/9d42d80bfa0147fc8461a4fced02d316.jpg</t>
  </si>
  <si>
    <t>52 FINISHED- Code: 20190522/TEC/000002/00000532/052</t>
  </si>
  <si>
    <t>20190522/TEC/000002/00000532/052</t>
  </si>
  <si>
    <t>8/22052019/7a8355b1819449c495b215605bc46fce.jpg</t>
  </si>
  <si>
    <t>PANAY ROUND DINING TABLE 80CM</t>
  </si>
  <si>
    <t xml:space="preserve">1. (22-05-2019 15:32:46)
AS SAMPLE 705 BUT 80CM WIDTH
</t>
  </si>
  <si>
    <t>a/06072019/20598caa902043bc8f0c3817ff04e3a9.jpg</t>
  </si>
  <si>
    <t>51 FINISHED- Code: 20190522/TEC/000002/00000532/051</t>
  </si>
  <si>
    <t>20190522/TEC/000002/00000532/051</t>
  </si>
  <si>
    <t>8/22052019/2c1a9797e8bc469388b160d887fcdbf5.jpg</t>
  </si>
  <si>
    <t>PORTIMAO DIINNG CHAIR NATURAL WHITE GREY</t>
  </si>
  <si>
    <t xml:space="preserve">1. (22-05-2019 14:39:47)
1. pattern weave should be like 705.
2. THE CHAIR NEEDS MODIFICATIONS;
a. the arms of the seat are not straight, should be more straight.
b. back legs are too far to the back
c. front legs should be more sending (to the side)
3. NATURAL WHITE GREY (CHECK WITH VAN ANH)
</t>
  </si>
  <si>
    <t>3/17072019/982156e3f336461b91b38d8fb4aa5bc6.jpg</t>
  </si>
  <si>
    <t>43 FINISHED- Code: 20190522/PAL/000002/00000532/043</t>
  </si>
  <si>
    <t>20190522/PAL/000002/00000532/043</t>
  </si>
  <si>
    <t>1/22052019/839f382ad063427c9b64b08e5c735ae5.jpg</t>
  </si>
  <si>
    <t>PORTIMAO DINING CHAIR BLACK/GREEN</t>
  </si>
  <si>
    <t>BLACK / GREEN</t>
  </si>
  <si>
    <t xml:space="preserve">1. (22-05-2019 14:39:47)
1. pattern weave should be like 705.
2. THE CHAIR NEEDS MODIFICATIONS;
a. the arms of the seat are not straight, should be more straight.
b. back legs are too far to the back
c. front legs should be more sending (to the side)
</t>
  </si>
  <si>
    <t>7/19072019/870ad327901b4f2d88f656a9a7d105ba.jpg</t>
  </si>
  <si>
    <t>42 FINISHED- Code: 20190522/PAL/000002/00000532/042</t>
  </si>
  <si>
    <t>20190522/PAL/000002/00000532/042</t>
  </si>
  <si>
    <t>9/22052019/095c1b0c1ce546e4b0bc7f074e6f83ec.jpg</t>
  </si>
  <si>
    <t>PORTIMAO DINING CHAIR BLACK/WHITE</t>
  </si>
  <si>
    <t>BLACK / WHITE</t>
  </si>
  <si>
    <t>1/10072019/011a432f2a6645efa46d47da4da95d0b.jpg</t>
  </si>
  <si>
    <t>41 FINISHED- Code: 20190522/PAL/000002/00000532/041</t>
  </si>
  <si>
    <t>20190522/PAL/000002/00000532/041</t>
  </si>
  <si>
    <t>1/22052019/192b12662e2947e0a303db4dca626e25.jpg</t>
  </si>
  <si>
    <t>PORTOFINO DINIG CHAIR OKER</t>
  </si>
  <si>
    <t>OKER</t>
  </si>
  <si>
    <t xml:space="preserve">1. (22-05-2019 11:43:42)
LOOP WEAVING
AS NEW SAMPLE 705
</t>
  </si>
  <si>
    <t>d/10072019/df9fe43327c347c4be267af8214db61c.jpg</t>
  </si>
  <si>
    <t>8 FINISHED- Code: 20190522/BIG/000002/00000532/008</t>
  </si>
  <si>
    <t>20190522/BIG/000002/00000532/008</t>
  </si>
  <si>
    <t>1/22052019/f4f6b01d2bb54dbdb0b145f36faa1d66.jpg</t>
  </si>
  <si>
    <t>PORTOFINO DINING CHAIR ANTHRACITE</t>
  </si>
  <si>
    <t xml:space="preserve">1. (22-05-2019 11:41:44)
LOOP WEAVING
AS NEW SAMPLE 705
</t>
  </si>
  <si>
    <t>6/10072019/a50124624b554ec9b33dcbe8fe297df4.jpg</t>
  </si>
  <si>
    <t>7 FINISHED- Code: 20190522/BIG/000002/00000532/007</t>
  </si>
  <si>
    <t>20190522/BIG/000002/00000532/007</t>
  </si>
  <si>
    <t>0/22052019/4d95ee7176c44003b19e23aa7e394132.jpg</t>
  </si>
  <si>
    <t>PORTOFINO DINING CHAIR OLIVE GREEN</t>
  </si>
  <si>
    <t>0/10072019/75507442b531449f87d0998b08826ddf.jpg</t>
  </si>
  <si>
    <t>6 FINISHED- Code: 20190522/BIG/000002/00000532/006</t>
  </si>
  <si>
    <t>20190522/BIG/000002/00000532/006</t>
  </si>
  <si>
    <t>f/22052019/3ca3aa2239304c1aadc13261b1487a5f.jpg</t>
  </si>
  <si>
    <t>PORTOFINO DINING CHAIR TERRACOTTA</t>
  </si>
  <si>
    <t xml:space="preserve">1. (22-05-2019 11:37:47)
LOOP WEAVING
AS NEW SAMPLE 705
</t>
  </si>
  <si>
    <t>9/15072019/59ab72af81704f87a6fa00ca1d9f6e6c.jpg</t>
  </si>
  <si>
    <t>5 FINISHED- Code: 20190522/BIG/000002/00000532/005</t>
  </si>
  <si>
    <t>20190522/BIG/000002/00000532/005</t>
  </si>
  <si>
    <t>8/22052019/443826c780ab4c61a95fdc68965c304c.jpg</t>
  </si>
  <si>
    <t>PORTOFINO LOUNGE SET ANTHRACITE</t>
  </si>
  <si>
    <t xml:space="preserve">2. (29-05-2019 13:18:14)
PLEASE MAKE 1 BENCH + 2 CHAIRS
1. (22-05-2019 10:12:53)
LOOP WEAVING
AS NEW SAMPLE 705
</t>
  </si>
  <si>
    <t>7/10072019/c6b113315ff94960a8e2abc7243046e9.jpg</t>
  </si>
  <si>
    <t>86/86</t>
  </si>
  <si>
    <t>73/188</t>
  </si>
  <si>
    <t>81.5/81</t>
  </si>
  <si>
    <t>8/16.5</t>
  </si>
  <si>
    <t>12/23</t>
  </si>
  <si>
    <t>102/102</t>
  </si>
  <si>
    <t>74/190.5</t>
  </si>
  <si>
    <t>51.5/51.5</t>
  </si>
  <si>
    <t>3 FINISHED- Code: 20190522/BIG/000002/00000532/003</t>
  </si>
  <si>
    <t>20190522/BIG/000002/00000532/003</t>
  </si>
  <si>
    <t>a/22052019/3ba80cf3de0e43a7bda7e1667cb4ee8e.jpg</t>
  </si>
  <si>
    <t>PORTOFINO LOUNGE SET OKER</t>
  </si>
  <si>
    <t>b/10072019/c71fa7db14cf4039991cc01e5b86c990.jpg</t>
  </si>
  <si>
    <t>4 FINISHED- Code: 20190522/BIG/000002/00000532/004</t>
  </si>
  <si>
    <t>20190522/BIG/000002/00000532/004</t>
  </si>
  <si>
    <t>8/22052019/21727bc936914fc481c89628e4b68484.jpg</t>
  </si>
  <si>
    <t>PORTOFINO LOUNGE SET OLIVE GREEN</t>
  </si>
  <si>
    <t xml:space="preserve">2. (29-05-2019 13:18:14)
PLEASE MAKE 1 BENCH + 2 CHAIRS
1. (22-05-2019 10:09:02)
LOOP WEAVING
AS NEW SAMPLE 705
</t>
  </si>
  <si>
    <t>3/10072019/0aa9fce396bf4eb1b120cf46ce9716cd.jpg</t>
  </si>
  <si>
    <t>2 FINISHED- Code: 20190522/BIG/000002/00000532/002</t>
  </si>
  <si>
    <t>20190522/BIG/000002/00000532/002</t>
  </si>
  <si>
    <t>2/22052019/001fd95c1859495590c8fc5a28bd4870.jpg</t>
  </si>
  <si>
    <t>PORTOFINO LOUNGE SET TERRACOTTA</t>
  </si>
  <si>
    <t>a/15072019/c6ecbfe9b30d41ea8b856174d665780a.jpg</t>
  </si>
  <si>
    <t>1 FINISHED- Code: 20190522/BIG/000002/00000532/001</t>
  </si>
  <si>
    <t>20190522/BIG/000002/00000532/001</t>
  </si>
  <si>
    <t>c/22052019/718434bcda254dc98558bf4466c91f8d.jpg</t>
  </si>
  <si>
    <t>SALAMANCA DINING CHAIR 1263 ANTHRACITE</t>
  </si>
  <si>
    <t xml:space="preserve">1. (22-05-2019 12:22:27)
MAKE SAMPLE AS MDM 1263 (REVISED PITCH)
ADD BACK CUSHION (SAME AS SAMPLES INDO/SINGAPORE WHICH ARE IN SHOWROOM AND WAREHOUSE)
MAKE 2 EXTRA CUSHION SETS
</t>
  </si>
  <si>
    <t>5/02072019/e04cdda9bcf6445d8e40af54ea46efb4.jpg</t>
  </si>
  <si>
    <t>21 FINISHED- Code: 20190522/PAL/000002/00000532/021</t>
  </si>
  <si>
    <t>20190522/PAL/000002/00000532/021</t>
  </si>
  <si>
    <t>c/22052019/58288dcb8bfe4111a6e1f0505ea1d2db.jpg</t>
  </si>
  <si>
    <t>SALAMANCA DINING CHAIR 1263 BLACK</t>
  </si>
  <si>
    <t xml:space="preserve">1. (22-05-2019 12:26:17)
MAKE SAMPLE AS MDM 1263 (REVISED PITCH)
ADD BACK CUSHION (SAME AS SAMPLES INDO/SINGAPORE WHICH ARE IN SHOWROOM AND WAREHOUSE)
</t>
  </si>
  <si>
    <t>d/02072019/d7e3984eca324e5c8ebac596f20f31dc.jpg</t>
  </si>
  <si>
    <t>23 FINISHED- Code: 20190522/PAL/000002/00000532/023</t>
  </si>
  <si>
    <t>20190522/PAL/000002/00000532/023</t>
  </si>
  <si>
    <t>d/22052019/502c9bfa1a894f8f836da7332ee81fa7.jpg</t>
  </si>
  <si>
    <t>SALAMANCA DINING CHAIR 1263 OLIVE GREEN</t>
  </si>
  <si>
    <t xml:space="preserve">1. (22-05-2019 12:22:27)
MAKE SAMPLE AS MDM 1263 (REVISED PITCH)
ADD BACK CUSHION (SAME AS SAMPLES INDO/SINGAPORE WHICH ARE IN SHOWROOM AND WAREHOUSE)
</t>
  </si>
  <si>
    <t>e/02072019/a1e6147684e14c2d85c48d6e8f27d96e.jpg</t>
  </si>
  <si>
    <t>20 FINISHED- Code: 20190522/PAL/000002/00000532/020</t>
  </si>
  <si>
    <t>20190522/PAL/000002/00000532/020</t>
  </si>
  <si>
    <t>8/22052019/9058b63e27904d9cb4306e0b6d58a99d.jpg</t>
  </si>
  <si>
    <t>SALAMANCA DINING CHAIR 1263 TAUPE</t>
  </si>
  <si>
    <t>9/02072019/0f4a771fe0fc44d6af40d870c7e75aea.jpg</t>
  </si>
  <si>
    <t>22 FINISHED- Code: 20190522/PAL/000002/00000532/022</t>
  </si>
  <si>
    <t>20190522/PAL/000002/00000532/022</t>
  </si>
  <si>
    <t>f/22052019/34797ef00f474f628b0fcf8dc8903c3a.jpg</t>
  </si>
  <si>
    <t>SALAMANCA DINING CHAIR 1263 TERRACOTTA</t>
  </si>
  <si>
    <t xml:space="preserve">1. (22-05-2019 12:18:44)
MAKE SAMPLE AS MDM 1263 (REVISED PITCH)
ADD BACK CUSHION (SAME AS SAMPLES INDO/SINGAPORE WHICH ARE IN SHOWROOM AND WAREHOUSE)
</t>
  </si>
  <si>
    <t>5/02072019/9278c981ea5244ffb06cc582ceed1963.jpg</t>
  </si>
  <si>
    <t>19 FINISHED- Code: 20190522/PAL/000002/00000532/019</t>
  </si>
  <si>
    <t>20190522/PAL/000002/00000532/019</t>
  </si>
  <si>
    <t>0/22052019/35ed9c0d2bbe4858b53a875d796e4b57.jpg</t>
  </si>
  <si>
    <t>SIDE TABLE SET</t>
  </si>
  <si>
    <t>CEMENT / PU PLATE</t>
  </si>
  <si>
    <t>a/17062019/b5f28d3f62f8401c9d6ceeb7b2cdb208.jpg</t>
  </si>
  <si>
    <t>56 FINISHED- Code: 20190522/APH/000002/00000532/056</t>
  </si>
  <si>
    <t>20190522/APH/000002/00000532/056</t>
  </si>
  <si>
    <t>c/22052019/45f1e20df09f4ac78e0723d2b62d8d1d.jpg</t>
  </si>
  <si>
    <t>SUNBURY DINING TABLE</t>
  </si>
  <si>
    <t xml:space="preserve">1. (22-05-2019 15:44:28)
PUT IN SAMPLE PRODUCTION AS 705
240X100CM
</t>
  </si>
  <si>
    <t>4/01072019/6d5d1a55e2e147fdb51718ba83291984.jpg</t>
  </si>
  <si>
    <t>54 FINISHED- Code: 20190522/TEC/000002/00000532/054</t>
  </si>
  <si>
    <t>20190522/TEC/000002/00000532/054</t>
  </si>
  <si>
    <t>b/22052019/abf238ef0de6447bb84030402fac1bce.jpg</t>
  </si>
  <si>
    <t>TONGA DINING CHAIR ANTHRACITE (CROSSWEAVE)</t>
  </si>
  <si>
    <t xml:space="preserve">2. (04-06-2019 14:45:18)
changed name to: TONGA DINING CHAIR ANTHRACITE (CROSSWEAVE)
1. (22-05-2019 12:39:55)
WEAVING AS PICTURE
</t>
  </si>
  <si>
    <t>e/27062019/2a0fc35503b74d90bfedb225bee10f65.jpg</t>
  </si>
  <si>
    <t>26 FINISHED- Code: 20190522/PAL/000002/00000532/026</t>
  </si>
  <si>
    <t>20190522/PAL/000002/00000532/026</t>
  </si>
  <si>
    <t>2/22052019/0bf24f22f6164cb4882066a32bc5e369.jpg</t>
  </si>
  <si>
    <t>TONGA DINING CHAIR OLIVE GREEN (CROSSWEAVE)</t>
  </si>
  <si>
    <t xml:space="preserve">2. (04-06-2019 14:45:18)
changed name to: TONGA DINING CHAIR OLIVE GREEN (CROSSWEAVE)
1. (22-05-2019 12:39:56)
WEAVING AS PICTURE
</t>
  </si>
  <si>
    <t>6/27062019/324a362a0b6d4eceb9e1e8d163982032.jpg</t>
  </si>
  <si>
    <t>27 FINISHED- Code: 20190522/PAL/000002/00000532/027</t>
  </si>
  <si>
    <t>20190522/PAL/000002/00000532/027</t>
  </si>
  <si>
    <t>1/22052019/5e6973da5bc446c4aab6d26b9b24c0f1.jpg</t>
  </si>
  <si>
    <t>TONGA LOUNGE CHAIR ANTHRACITE (CROSSWEAVE)</t>
  </si>
  <si>
    <t xml:space="preserve">2. (04-06-2019 14:45:18)
changed name to: TONGA LOUNGE CHAIR ANTHRACITE (CROSSWEAVE)
1. (22-05-2019 12:36:43)
WEAVING AS PICTURE
</t>
  </si>
  <si>
    <t>5/24062019/6a8cf78ed7c74c1ab130963bed3b9701.jpg</t>
  </si>
  <si>
    <t>24 FINISHED- Code: 20190522/PAL/000002/00000532/024</t>
  </si>
  <si>
    <t>20190522/PAL/000002/00000532/024</t>
  </si>
  <si>
    <t>8/22052019/35d6f757125942109ae200f01c0c182c.jpg</t>
  </si>
  <si>
    <t>TONGA LOUNGE CHAIR OLIVE GREEN (CROSSWEAVE)</t>
  </si>
  <si>
    <t xml:space="preserve">2. (04-06-2019 14:45:18)
changed name to TONGA LOUNGE CHAIR OLIVE GREEN (CROSSWEAVE)
1. (22-05-2019 12:36:43)
WEAVING AS PICTURE
</t>
  </si>
  <si>
    <t>1/24062019/5ffb2af077824891b204de9dadc19693.jpg</t>
  </si>
  <si>
    <t>25 FINISHED- Code: 20190522/PAL/000002/00000532/025</t>
  </si>
  <si>
    <t>20190522/PAL/000002/00000532/025</t>
  </si>
  <si>
    <t>4/22052019/fc76a285bc154c5c8d233f1714a1444e.jpg</t>
  </si>
  <si>
    <t>INDIA HOCKER</t>
  </si>
  <si>
    <t xml:space="preserve">1. (26-05-2019 04:43:48)
SEAT IMPACT TEST 225LBS, TWO-PHASE LEG STRENGTH TEST ON THE SAME LEG  W. 4 DIRECTIONS
- PHASE 1: 100LBS
- PHASE 2: 75LBS
</t>
  </si>
  <si>
    <t>6/12062019/2bfc9740407c43e481eb70d2cefc13d9.jpg</t>
  </si>
  <si>
    <t>6 FINISHED- Code: 20190522/TEC/909357/00000533/006</t>
  </si>
  <si>
    <t>20190522/TEC/909357/00000533/006</t>
  </si>
  <si>
    <t>f/22052019/1e36e04f7a974f6798cb570bf8ad0cfb.jpg</t>
  </si>
  <si>
    <t>INDIA LOUNGE BENCH</t>
  </si>
  <si>
    <t xml:space="preserve">1. (22-05-2019 15:21:08)
SEAT IMPACT 225LBS, TWO-PHASE LEG STRENGTH TEST ON THE SAME LEG W. 4 DIRECTIONS:
- PHASE 1: 100LBS
- PHASE 2: 75LBS
</t>
  </si>
  <si>
    <t>3/12062019/6de03552032b4ed2bf812ee094073234.jpg</t>
  </si>
  <si>
    <t>5 FINISHED- Code: 20190522/TEC/909357/00000533/005</t>
  </si>
  <si>
    <t>20190522/TEC/909357/00000533/005</t>
  </si>
  <si>
    <t>2/22052019/26b3e19816a24315bae90e4fe32b3be2.jpg</t>
  </si>
  <si>
    <t>INDIA LOUNGE CHAIR</t>
  </si>
  <si>
    <t xml:space="preserve">1. (22-05-2019 15:21:08)
USE SHOWROOM SAMPLE
</t>
  </si>
  <si>
    <t>4 CREATED- Code: 20190522/TEC/909357/00000533/004</t>
  </si>
  <si>
    <t>20190522/TEC/909357/00000533/004</t>
  </si>
  <si>
    <t>1/24052019/fd402bde025d4e2593842805ecfc3902.jpg</t>
  </si>
  <si>
    <t>INDIA RECTANGULAR LOUNGE TABLE</t>
  </si>
  <si>
    <t xml:space="preserve">1. (26-05-2019 04:43:48)
TWO-PHASE LEG STRENGTH TEST ON THE SAME LEG WITH 4 DIRECTIONS:
- PHASE 1: 100LBS
- PHASE 2: 75LBS
</t>
  </si>
  <si>
    <t>8/12062019/9ae09b8ca51d4559b917a9707a5cc6fd.jpg</t>
  </si>
  <si>
    <t>8 FINISHED- Code: 20190524/TEC/909357/00000533/008</t>
  </si>
  <si>
    <t>20190524/TEC/909357/00000533/008</t>
  </si>
  <si>
    <t>2/24052019/ab5fef6c4a4643e98d11dfe7331fb367.jpg</t>
  </si>
  <si>
    <t>MANCHESTER LOUNGE SET 4PCS</t>
  </si>
  <si>
    <t>WHITE WASH</t>
  </si>
  <si>
    <t xml:space="preserve">1. (24-05-2019 10:41:51)
USE SHOWROOM SAMPLE
</t>
  </si>
  <si>
    <t>11 CREATED- Code: 20190524/SHR/909357/00000533/011</t>
  </si>
  <si>
    <t>20190524/SHR/909357/00000533/011</t>
  </si>
  <si>
    <t>3/24052019/e38311502f894def90e598068f13443b.jpg</t>
  </si>
  <si>
    <t>MELVERTON LOUNGE CORNER SET 4PCS</t>
  </si>
  <si>
    <t>10 CREATED- Code: 20190524/SHR/909357/00000533/010</t>
  </si>
  <si>
    <t>20190524/SHR/909357/00000533/010</t>
  </si>
  <si>
    <t>0/24052019/8fa29ea3b6704a03a2d70a088b9f2c5c.jpg</t>
  </si>
  <si>
    <t>12 CREATED- Code: 20190524/SHR/909357/00000533/012</t>
  </si>
  <si>
    <t>20190524/SHR/909357/00000533/012</t>
  </si>
  <si>
    <t>1/22052019/204c6e5989f64289977c956371aa98d7.jpg</t>
  </si>
  <si>
    <t>TONGA LOUNGE BENCH</t>
  </si>
  <si>
    <t>ROUND 4.5</t>
  </si>
  <si>
    <t xml:space="preserve">1. (22-05-2019 15:04:11)
SEAT IMPACT 225LBS, TWO-PHASE LEG STRENGTH TEST ON THE SAME LEG W. 4 DIRECTIONS:
- PHASE 1: 100LBS
- PHASE 2: 75LBS
</t>
  </si>
  <si>
    <t>7/12062019/051fbe021f6c48178cad35b83c8c49a2.jpg</t>
  </si>
  <si>
    <t>1 FINISHED- Code: 20190522/PAL/909357/00000533/001</t>
  </si>
  <si>
    <t>20190522/PAL/909357/00000533/001</t>
  </si>
  <si>
    <t>5/23052019/9c2a1910b7b8402fa90de74c9616e2df.jpg</t>
  </si>
  <si>
    <t>TONGA LOUNGE BENCH 77,5X127X80CM</t>
  </si>
  <si>
    <t xml:space="preserve">1. (22-05-2019 15:04:11)
SEAT IMPACT 225LBS, TWO-PHASE LEG STRENGTH TEST ON THE SAME LEG W. 4 DIRECTIONS:
- PHASE 1: 100 LBS
- PHASE 2: 75LBS
</t>
  </si>
  <si>
    <t>b/04062019/7ca3f5092ce84423aecd16545bd2f0dc.jpg</t>
  </si>
  <si>
    <t>2 FINISHED- Code: 20190522/PAL/909357/00000533/002</t>
  </si>
  <si>
    <t>20190522/PAL/909357/00000533/002</t>
  </si>
  <si>
    <t>f/22052019/c2cb69ba65084cfdb76403580ca378b6.jpg</t>
  </si>
  <si>
    <t>TONGA LOUNGE TABLE</t>
  </si>
  <si>
    <t xml:space="preserve">1. (26-05-2019 04:43:48)
TWO-PHASE LEG STRENGTH TEST TO BE CONDUCTED ON THE SAME LEG W. 4 DIRECTIONS:
- PHASE 1: 100LBS
- PHASE 2: 75LBS
</t>
  </si>
  <si>
    <t>1/04062019/3e43562b1361461ea94ac043eda12d36.jpg</t>
  </si>
  <si>
    <t>3 FINISHED- Code: 20190522/PAL/909357/00000533/003</t>
  </si>
  <si>
    <t>20190522/PAL/909357/00000533/003</t>
  </si>
  <si>
    <t>f/24052019/35f82ec01296414d88559dc0059db87a.jpg</t>
  </si>
  <si>
    <t>TRINIDAD BAR CHAIR</t>
  </si>
  <si>
    <t>HR 7MM</t>
  </si>
  <si>
    <t xml:space="preserve">1. (24-05-2019 10:44:57)
SEAT IMPACT 300LBS, TWO-PHASE LEG STRENGTH TEST ON THE SAME LEG W. 4 DIRECTIONS
- PHASE 1: 100LBS
- PHASE 2: 75LBS
</t>
  </si>
  <si>
    <t>o/12062019/bd5d8d23be254cd3931e6a6a06b511c9.jpeg</t>
  </si>
  <si>
    <t>9 FINISHED- Code: 20190524/ROS/909357/00000533/009</t>
  </si>
  <si>
    <t>20190524/ROS/909357/00000533/009</t>
  </si>
  <si>
    <t>3/22052019/1820b1ff32bf498e8bc518142693c72c.jpg</t>
  </si>
  <si>
    <t>TRINIDAD BAR TABLE 150X80X90CM</t>
  </si>
  <si>
    <t xml:space="preserve">1. (26-05-2019 04:43:48)
TWO-PHASE LEG STRENGTH TEST TO BE CONDUCTED ON THE SAME LEG WITH 4 DIRECTIONS:
- PHASE 1: 100LBS
- PHASE 2: 75LBS
</t>
  </si>
  <si>
    <t>o/12062019/d14e03ffa9a848d28e340e58d0ba69ad.jpeg</t>
  </si>
  <si>
    <t>7 FINISHED- Code: 20190522/TEC/909357/00000533/007</t>
  </si>
  <si>
    <t>20190522/TEC/909357/00000533/007</t>
  </si>
  <si>
    <t>d/10102018/c47e15215080411a9d58ac24af3c0747.jpg</t>
  </si>
  <si>
    <t>4 CREATED- Code: 20190527/XXX/001200/00000535/004</t>
  </si>
  <si>
    <t>20190527/XXX/001200/00000535/004</t>
  </si>
  <si>
    <t>5/28052019/047a5537c9114f7e802952d0f8967a30.jpg</t>
  </si>
  <si>
    <t xml:space="preserve">LUZANO LOUNGE BENCH  (1200)</t>
  </si>
  <si>
    <t xml:space="preserve">1. Nicole Poldervaart(27-05-2019 12:59:48)
BENCH : 
LEGS IN WOOD BUT IN THE COLOR CHARCAOL 
FRAME IN POWDER COATED CHARCAOL INSTEAD OF BLACK
</t>
  </si>
  <si>
    <t>2 CREATED- Code: 20190527/XXX/001200/00000535/002</t>
  </si>
  <si>
    <t>20190527/XXX/001200/00000535/002</t>
  </si>
  <si>
    <t>9/28052019/823fb81c83c340f0a1415c8b333bee70.jpg</t>
  </si>
  <si>
    <t xml:space="preserve">LUZANO LOUNGE CHAIR  (1200)</t>
  </si>
  <si>
    <t xml:space="preserve">1. Nicole Poldervaart(27-05-2019 12:59:47)
LEGS IN WOOD ACACIA CHARCAOL. SEE PICTURE
FRAME IN ALU POWDER CAOTED CHARCAOL
</t>
  </si>
  <si>
    <t>1 CREATED- Code: 20190527/XXX/001200/00000535/001</t>
  </si>
  <si>
    <t>20190527/XXX/001200/00000535/001</t>
  </si>
  <si>
    <t>a/29052019/4db1cfab167c499c89eab60e8cf25d94.jpg</t>
  </si>
  <si>
    <t xml:space="preserve">SERRANO LOUNGE CHAIR  (1200)</t>
  </si>
  <si>
    <t xml:space="preserve">1. Nicole Poldervaart(27-05-2019 12:59:48)
CHAIR 
WEAVING OF FRONT OFF CHAIR IS NOT OKE.
YOU SEE THE LOOSE ENDS IN THE FRONT OF THE CHAIR.  SEE PICTURE 1056
MAKE SURE THAT THE VERTICAL WICKER HAS THE SAME DISTANCE AS WELL AS THE BENCH AS THE CHAIR.
</t>
  </si>
  <si>
    <t>3 CREATED- Code: 20190527/XXX/001200/00000535/003</t>
  </si>
  <si>
    <t>20190527/XXX/001200/00000535/003</t>
  </si>
  <si>
    <t>2019-07-09</t>
  </si>
  <si>
    <t>SWATCH STEEL</t>
  </si>
  <si>
    <t xml:space="preserve">1. (25-06-2019 06:11:09)
- DIMENSION: 30 CM
- QUANTITY: 5 PCS
</t>
  </si>
  <si>
    <t>2019-06-06</t>
  </si>
  <si>
    <t>FRANCISCO, U.S.A</t>
  </si>
  <si>
    <t>7 ISSUED- Code: 20190625/APO/909357/00000536/007</t>
  </si>
  <si>
    <t>20190625/APO/909357/00000536/007</t>
  </si>
  <si>
    <t>SWATCH WICKER DR 10MM RATTAN MIXED NATURAL</t>
  </si>
  <si>
    <t xml:space="preserve">1. (25-06-2019 06:11:09)
- DIMENSION: 30 X 30 CM
- QUANTITY: 5 PCS
</t>
  </si>
  <si>
    <t>6 ISSUED- Code: 20190625/APO/909357/00000536/006</t>
  </si>
  <si>
    <t>20190625/APO/909357/00000536/006</t>
  </si>
  <si>
    <t>b/04062019/f4f8a65636f94910a8eec8d78fa66b93.jpg</t>
  </si>
  <si>
    <t>2019-06-12</t>
  </si>
  <si>
    <t>YATE BENCH HIGHBACK 909357</t>
  </si>
  <si>
    <t>SEAT CUHSION</t>
  </si>
  <si>
    <t xml:space="preserve">1. (04-06-2019 07:23:46)
CLIENT WANTS THE ARM WIDTH 19CM. ATTACHED TD OF FRAME DIMENSION FOR YOUR REF, PLEASE ADJUST (IF NEEDED) TO SUPPORT SEAT IMPACT TEST 300LBS
</t>
  </si>
  <si>
    <t>e/17062019/bf9e76f57eb143558187098917ca3293.jpg</t>
  </si>
  <si>
    <t>2 FINISHED- Code: 20190604/APO/909357/00000536/002</t>
  </si>
  <si>
    <t>20190604/APO/909357/00000536/002</t>
  </si>
  <si>
    <t>b/25062019/b74bd2d974c5459096c2520479a3b3e8.jpg</t>
  </si>
  <si>
    <t>YATE LOUNGE BENCH 909357</t>
  </si>
  <si>
    <t xml:space="preserve">2. (16-07-2019 11:51:36)
- FABRIC: SERVAL LIGHT BROWN
- FOAM: D22/50
1. (25-06-2019 06:01:07)
- 1PC FOR TRANSIT TEST: PACKING METHOD ISTA 1A, CARTON BOX 275 LBS. PLEASE PACK CAREFULLY BEFORE SEND TO AVT.
- 1PC FOR QUALITY TEST: SEAT IMPACT 300 LBS
- 1PC FOR PPM
</t>
  </si>
  <si>
    <t>a/25072019/37f61ff25f9b4086add9f12a78112950.jpg</t>
  </si>
  <si>
    <t>5 FINISHED- Code: 20190625/APO/909357/00000536/005</t>
  </si>
  <si>
    <t>20190625/APO/909357/00000536/005</t>
  </si>
  <si>
    <t>a/25062019/e53ffd66b452493c9fe9ec681d743fac.jpg</t>
  </si>
  <si>
    <t>YATE LOUNGE CHAIR 909357</t>
  </si>
  <si>
    <t xml:space="preserve">2. (16-07-2019 11:51:36)
- FABRIC: SERVAL LIGHT BROWN
- FOAM: D22/50
1. (25-06-2019 05:34:04)
- 1 PC FOR TRANSIT TEST : PACKING METHOD: ISTA 1A, CARTON 275LBS. PLEASE PACK CAREFULLY BEFORE SEND TO AVT. 
- 1 PC FOR QUALITY TEST: SEAT IMPACT 300LBS
- 1 PC FOR PPM
- PLEASE FOLLOW ATTACHED TD.
</t>
  </si>
  <si>
    <t>9/25072019/088be0663d9a462ba53aab4f94182cdd.jpg</t>
  </si>
  <si>
    <t>3 FINISHED- Code: 20190625/APO/909357/00000536/003</t>
  </si>
  <si>
    <t>20190625/APO/909357/00000536/003</t>
  </si>
  <si>
    <t>1/30052019/780254db10ed4169a76bc9c6d419f7e1.jpg</t>
  </si>
  <si>
    <t>YATE LOUNGE TABLE 130 x 70 x 33</t>
  </si>
  <si>
    <t>0/06062019/79d68adc79344d36a16deb8b302d6cc4.jpg</t>
  </si>
  <si>
    <t>1 FINISHED- Code: 20190527/APO/909357/00000536/001</t>
  </si>
  <si>
    <t>20190527/APO/909357/00000536/001</t>
  </si>
  <si>
    <t>1/25062019/b2adb40b7896408daf231e2e49b10259.jpg</t>
  </si>
  <si>
    <t>YATE LOUNGE TABLE 909357 (CUSHION TOP)</t>
  </si>
  <si>
    <t xml:space="preserve">2. (16-07-2019 11:51:36)
- FABRIC: SERVAL LIGHT BROWN
- FOAM: D22/50
1. (25-06-2019 06:01:07)
- 1PC FOR TRANSIT TEST: PACKING METHOD ISTA 3A, CARON BOX 257 LBS. PLEASE PACK CAREFULLY BEFORE SEND TO AVT.
- 1PC FOR QUALITY TEST.
- 1PC FOR PPM.
- REMOVE GLASS TOP BY CUSHION TOP 2” HEIGHT.
</t>
  </si>
  <si>
    <t>3/25072019/46d32746cd784bf18e3462925d85f20b.jpg</t>
  </si>
  <si>
    <t>4 FINISHED- Code: 20190625/APO/909357/00000536/004</t>
  </si>
  <si>
    <t>20190625/APO/909357/00000536/004</t>
  </si>
  <si>
    <t>6/27052019/2c7c92d4b8a041328c14fa5026ad1c0b.jpg</t>
  </si>
  <si>
    <t>2019-06-05</t>
  </si>
  <si>
    <t xml:space="preserve">CARPIANO TABLE 50X50X36CM  (1200)</t>
  </si>
  <si>
    <t xml:space="preserve">2. (13-06-2019 15:11:26)
FRAME APPROVED. PLEASE CONTINUE
1. (27-05-2019 17:36:23)
1. Frame needs rework; make both round tubes thinner
2. Height needs rework; CARPIANO TABLES need to become nesting tables (small table should fit underneath the big table) --&gt; make 2,5 lower
3. ROPE finishing needs rework; the finishing of the rope needs to be better.
</t>
  </si>
  <si>
    <t>1/14062019/87be028bdbb546f09691f7e41c8e1fc1.jpg</t>
  </si>
  <si>
    <t>FINALIZING NEW DEVELOPMENT ITEMS 1200</t>
  </si>
  <si>
    <t>5 FINISHED- Code: 20190527/BIG/001200/00000537/005</t>
  </si>
  <si>
    <t>20190527/BIG/001200/00000537/005</t>
  </si>
  <si>
    <t>0/27052019/6e80a7baf0f040568ef219ffffe59df1.jpg</t>
  </si>
  <si>
    <t>CARPIANO TABLE 74X74X42CM (1200)</t>
  </si>
  <si>
    <t xml:space="preserve">2. (13-06-2019 15:11:26)
FRAME APPROVED. PLEASE CONTINUE
1. (27-05-2019 17:26:43)
1. Height need rework; TABLES need to become nesting tables (small table should fit underneath the big table) --&gt; make 2,5cm higher
2. ROPE finishing needs rework; the finishing of the rope needs to be better.
</t>
  </si>
  <si>
    <t>6/14062019/8ffde8eb2ef94a02a382486640e6dfa1.jpg</t>
  </si>
  <si>
    <t>7.9</t>
  </si>
  <si>
    <t>4 FINISHED- Code: 20190527/BIG/001200/00000537/004</t>
  </si>
  <si>
    <t>20190527/BIG/001200/00000537/004</t>
  </si>
  <si>
    <t>BURLY GREEN (1200)</t>
  </si>
  <si>
    <t xml:space="preserve">1. (28-05-2019 10:53:01)
1. Please use wicker swatch BASKETWEAVE BURLY 1 + 2 (check 1st attached picture/ask Van Anh about this type of wicker).
2. Make sure weaving in the arms is closed. We should not see the wholes (check 2nd attached picture).
3. Make sure the finishing of the wicker is high quality like 1200 wants.
</t>
  </si>
  <si>
    <t>8/15062019/8a25fd159af946748a202df2e4cfc36a.jpg</t>
  </si>
  <si>
    <t>15 FINISHED- Code: 20190528/BIG/001200/00000537/015</t>
  </si>
  <si>
    <t>20190528/BIG/001200/00000537/015</t>
  </si>
  <si>
    <t>0/27052019/98e334191eef4a7ca73c51a267d8fb50.jpg</t>
  </si>
  <si>
    <t>GOLDAU DINING CHAIR (1200)</t>
  </si>
  <si>
    <t>NEW</t>
  </si>
  <si>
    <t xml:space="preserve">2. (13-06-2019 15:28:39)
MAKE NEW BACK CUSHIONS. THESE LOOK UGLY
AS DISCUSSED; USE VELCRO AND MAKE WITHOUT WRINKLE. MAKE SURE THE CUSHIONS COVERS THE WHOLE BACK.
1. (27-05-2019 17:58:21)
1. Make new type of back cushion; make 3/4cm thick, with 2x velcro attached to vertical tubes in the back --&gt; check picture MACON LOUNGE SET for example back cushion
</t>
  </si>
  <si>
    <t>b/14062019/a1e18cd9bd2a42fa994c0d1a09955f20.jpg</t>
  </si>
  <si>
    <t>9 FINISHED- Code: 20190527/BIG/001200/00000537/009</t>
  </si>
  <si>
    <t>20190527/BIG/001200/00000537/009</t>
  </si>
  <si>
    <t>0/27052019/3562cfc2588f484787a07a2c431e49e2.jpg</t>
  </si>
  <si>
    <t>GOLDAU LOUNGE SET (LOUNGE 2,5 SEATERBENCH)</t>
  </si>
  <si>
    <t xml:space="preserve">3. (08-07-2019 11:19:37)
as discussed;
Construction not yet OK (too deep); agreed to make new set with same construction as MACON LOUNGE SET for SPOGA.
but with 1200 ropes and colors. No back cushions!
2. (13-06-2019 15:28:39)
MAKE NEW BACK CUSHIONS. THESE LOOK UGLY
AS DISCUSSED; USE VELCRO AND MAKE WITHOUT WRINKLE. MAKE SURE THE CUSHIONS COVERS THE WHOLE BACK.
1. (27-05-2019 17:58:21)
1. Make new type of back cushion; make 3/4cm thick, with velcro attached to vertical tubes in the back (3x velcro for chair; 5x velcro for bench) --&gt; check picture MACON LOUNGE SET for example back cushion
2. seat of the chair + bench needs rework; make 5cm less deep (from the arm, not from the back)
</t>
  </si>
  <si>
    <t>c/14062019/80268ab26e67407db32a5a277a820241.jpg</t>
  </si>
  <si>
    <t>154</t>
  </si>
  <si>
    <t>10 FINISHED- Code: 20190527/BIG/001200/00000537/010</t>
  </si>
  <si>
    <t>20190527/BIG/001200/00000537/010</t>
  </si>
  <si>
    <t>a/27052019/1686f4ec16754642a812a60486e4a9cb.jpg</t>
  </si>
  <si>
    <t>GOLDAU LOUNGE SET (LOUNGE CHAIR)</t>
  </si>
  <si>
    <t xml:space="preserve">4. (08-07-2019 11:19:37)
as discussed;
Construction not yet OK (too deep); agreed to make new set with same construction as MACON LOUNGE SET for SPOGA.
but with 1200 ropes and colors. No back cushions!
3. (13-06-2019 15:28:39)
MAKE NEW BACK CUSHIONS. THESE LOOK UGLY
AS DISCUSSED; USE VELCRO AND MAKE WITHOUT WRINKLE. MAKE SURE THE CUSHIONS COVERS THE WHOLE BACK.
2. (06-06-2019 09:55:02)
Is this really 5 cm shorter?
1. (27-05-2019 18:02:13)
1. Make new type of back cushion; make 3/4cm thick, with velcro attached to vertical tubes in the back (3x velcro for chair; 5x velcro for bench)
2. seat of the chair + bench needs rework; make 5cm less deep (from the arm, not from the back)
</t>
  </si>
  <si>
    <t>a/14062019/68cfe759883f4911b5145fcdc597cbe0.jpg</t>
  </si>
  <si>
    <t>11 FINISHED- Code: 20190527/BIG/001200/00000537/011</t>
  </si>
  <si>
    <t>20190527/BIG/001200/00000537/011</t>
  </si>
  <si>
    <t>3/28052019/e3e352bb521a49c2be8e3a98bbe8c15a.jpg</t>
  </si>
  <si>
    <t>2019-06-28</t>
  </si>
  <si>
    <t xml:space="preserve">LUZANO DINING CHAIR  (1200)</t>
  </si>
  <si>
    <t>CHARCOAL HM18 (1200)</t>
  </si>
  <si>
    <t xml:space="preserve">1. Nicole Poldervaart(24-06-2019 11:32:49)
LEGS IN ALUMINIUM POWDER COATED CHARCOAL INSTEAD OF WOOD.
SAME AS LUZANO LOUNGE CHAIR/BENCH.
</t>
  </si>
  <si>
    <t>f/03072019/21999c566e4b465fbb7c6d011c0ae6dd.jpg</t>
  </si>
  <si>
    <t>19 FINISHED- Code: 20190624/PAL/001200/00000537/019</t>
  </si>
  <si>
    <t>20190624/PAL/001200/00000537/019</t>
  </si>
  <si>
    <t>c/27052019/78ebf5f885a7462d870bb17f37a6c98d.jpg</t>
  </si>
  <si>
    <t xml:space="preserve">2. (04-06-2019 17:36:15)
Client wants to change legs from WOOD to ALU POWDER COATED CHARCOAL.
1. (27-05-2019 17:18:15)
Former MIRA LOUNGE SET SINGLE WEAVE ( CHAIR + 2,5 SEAT BENCH )
1. ALU frame needs rework; please make in POWDER COATED CHARCOAL 1200 color. 
2. Legs need rework; please keep this in wood, but now make legs in CHARCOAL color.
</t>
  </si>
  <si>
    <t>7/23062019/e6d396f179a84b4e82d8d27763000533.jpg</t>
  </si>
  <si>
    <t>3 FINISHED- Code: 20190527/PAL/001200/00000537/003</t>
  </si>
  <si>
    <t>20190527/PAL/001200/00000537/003</t>
  </si>
  <si>
    <t>a/27052019/4940fb0b586c43c0b8bffaa0357f6ec7.jpg</t>
  </si>
  <si>
    <t xml:space="preserve">2. (04-06-2019 17:36:15)
Client wants to change legs from WOOD to ALU POWDER COATED CHARCOAL.
1. (27-05-2019 17:14:37)
Former MIRA LOUNGE SET SINGLE WEAVE ( CHAIR + 2,5 SEAT BENCH )
1. ALU frame needs rework; please make in POWDER COATED CHARCOAL 1200 color. 
2. Legs need rework; please keep this in wood, but now make legs in CHARCOAL color.
</t>
  </si>
  <si>
    <t>b/23062019/401342919828450a84d4b52f149fc706.jpg</t>
  </si>
  <si>
    <t>2 FINISHED- Code: 20190527/PAL/001200/00000537/002</t>
  </si>
  <si>
    <t>20190527/PAL/001200/00000537/002</t>
  </si>
  <si>
    <t>a/27052019/2f7564c262cc42b981b89e9a2251b542.jpg</t>
  </si>
  <si>
    <t>MALABON LOUNGE BENCH (1200)</t>
  </si>
  <si>
    <t xml:space="preserve">1. (27-05-2019 17:45:29)
1. BACK CUSHIONS need rework; put stuffing from 70x70 cushion into cushioncover from 50x50.
1a. Only 3 back cushions for the bench.
1b. Only 2 back cushions for the chair.
2. SEAT CUSHIONS need rework; density is too soft, needs to become stronger cushion, please put in extra fleece layer.
3. Wicker on tube (in the back) needs rework; needs to become a cross (please note attached picture)
</t>
  </si>
  <si>
    <t>7/01072019/d3ac99ace77246a1a6f7be33fdd31f40.jpg</t>
  </si>
  <si>
    <t>7 FINISHED- Code: 20190527/PAL/001200/00000537/007</t>
  </si>
  <si>
    <t>20190527/PAL/001200/00000537/007</t>
  </si>
  <si>
    <t>3/27052019/05d3585b75394aaea34e2cce087c4b41.jpg</t>
  </si>
  <si>
    <t>MALABON LOUNGE CHAIR (1200)</t>
  </si>
  <si>
    <t xml:space="preserve">1. (27-05-2019 17:49:24)
1. BACK CUSHIONS need rework; put stuffing from 70x70 cushion into cushioncover from 50x50.
1a. Only 3 back cushions for the bench.
1b. Only 2 back cushions for the chair.
2. SEAT CUSHIONS need rework; density is too soft, needs to become stronger cushion, please put in extra fleece layer.
3. Wicker on tube (in the back) needs rework; needs to become a cross (please note attached picture)
</t>
  </si>
  <si>
    <t>9/01072019/4315b9e67100406ab5737ea5ce4a38c2.jpg</t>
  </si>
  <si>
    <t>8 FINISHED- Code: 20190527/PAL/001200/00000537/008</t>
  </si>
  <si>
    <t>20190527/PAL/001200/00000537/008</t>
  </si>
  <si>
    <t>f/04062019/a4b34ac799f84a3a82e769e11721b0ea.jpg</t>
  </si>
  <si>
    <t>MALENA DINING CHAIR (1200)</t>
  </si>
  <si>
    <t xml:space="preserve">1. (04-06-2019 17:46:36)
1. Follow the LOUNGE CHAIR; make the DINING CHAIR. 
2. SEATING MUST BE WICKER! NOT TEXTILENE.
3. Client wants to change legs to ALU 1200 ROUND TAPPERED.
</t>
  </si>
  <si>
    <t>e/27062019/1439c90eb8254de2a3bff64d7463c243.jpg</t>
  </si>
  <si>
    <t>17 FINISHED- Code: 20190604/PAL/001200/00000537/017</t>
  </si>
  <si>
    <t>20190604/PAL/001200/00000537/017</t>
  </si>
  <si>
    <t>8/28052019/db671895f87f4590a4d90fa5fbede027.jpg</t>
  </si>
  <si>
    <t>MALENA LOUNGE CHAIR (1200)</t>
  </si>
  <si>
    <t xml:space="preserve">2. (04-06-2019 17:40:15)
1. SEATING MUST BE WICKER! NOT TEXTILENE.
2. Client wants to change legs to ALU ROUND TAPPERED.
1. (28-05-2019 10:30:28)
1. Frame needs rework; arms need to become 7cm lower
2. Frame needs rework; seat needs to become 10cm wider. The back keeps unchanged.
(3. First finish this LOUNGE chair, if this is OK for client --&gt; we make bench (and maybe also DINING version.)
</t>
  </si>
  <si>
    <t>3/27062019/137617a3faae44418c3827ad45e7676c.jpg</t>
  </si>
  <si>
    <t>13 FINISHED- Code: 20190528/PAL/001200/00000537/013</t>
  </si>
  <si>
    <t>20190528/PAL/001200/00000537/013</t>
  </si>
  <si>
    <t>0/08012019/a1fa3c01bf1b4ab4b34ab4435522c15a.jpg</t>
  </si>
  <si>
    <t>MILAAN LOUNGE CHAIR</t>
  </si>
  <si>
    <t xml:space="preserve">3. (20-06-2019 12:12:20)
PLEASE ALSO WRAPP THE FRAME WITH WICKER ROPE. 
THE FRAME MAY NOT BE VISIBLE. 
HOWEVER PAY ATTENTION THAT IT WON'T LOOK MESSY.
2. (06-06-2019 09:58:33)
Im sorry guys but this chair is not correct. Both sides of the chair should be the same.
Now, I see on the picture; left side has only 1 cross, right side has 2 crosses.
Both sides should have 2 crosses.
1. (28-05-2019 10:41:37)
1. We will use other material now; first sample MILAAN LOUNGE CHAIR 1200 was in TWISTED CROSS WEAVE WICKER. Client does not like this so we will make in WICKER ROPE 4,5mm.
2. Finished SAMPLE should be send to NL
</t>
  </si>
  <si>
    <t>d/28062019/f0a23a420cbf441f90bda015bb17ffc6.jpg</t>
  </si>
  <si>
    <t>14 FINISHED- Code: 20190528/APO/001200/00000537/014</t>
  </si>
  <si>
    <t>20190528/APO/001200/00000537/014</t>
  </si>
  <si>
    <t>6/27052019/a462c7411a494270917e20ce998e4b23.jpg</t>
  </si>
  <si>
    <t xml:space="preserve">1. (27-05-2019 17:07:44)
Former D946 MIRA LOUNGE SET -DOUBLE WEAVE - 10MM ( 1X CHAIR + 1X 3SEATER BENCH )
1. BENCH is OK.
2. CHAIR needs rework. You can see bad wicker finishing on the front of the chair. Please do rework and upload new finished pictures.
3. on top of the chair you see the frame. Make sure that weaving is equally and you do not see the frame. (See pic 1059)
4. Make sure vertical weaving is equal for both the bench as the chair (DSC_1057 2)
</t>
  </si>
  <si>
    <t>c/18062019/273a428168b4416a811638ff191010ba.jpg</t>
  </si>
  <si>
    <t>1 FINISHED- Code: 20190527/PAL/001200/00000537/001</t>
  </si>
  <si>
    <t>20190527/PAL/001200/00000537/001</t>
  </si>
  <si>
    <t>b/27052019/684950bd50ef4728ad66a6337e0acf8e.jpg</t>
  </si>
  <si>
    <t>TAFIGO TABLE 120X70X40CM 10MM</t>
  </si>
  <si>
    <t xml:space="preserve">1. (27-05-2019 17:41:07)
1. BENCH is CANCELLED by client; no further action.
2. TABLE needs rework; glassplate needs to fit IN the table top. not ON the table top like now has been done.
</t>
  </si>
  <si>
    <t>c/18062019/cc122eb7d46f4bd8ba05b671e0b5465e.jpg</t>
  </si>
  <si>
    <t>6 FINISHED- Code: 20190527/PAL/001200/00000537/006</t>
  </si>
  <si>
    <t>20190527/PAL/001200/00000537/006</t>
  </si>
  <si>
    <t>0/28052019/bf47168ed6084cdcaf23151836a4a90b.jpg</t>
  </si>
  <si>
    <t xml:space="preserve">1. (28-05-2019 10:23:59)
1. Frame needs rework; client does not approve adjusted frame. We need to use TAHITI frame with OSIRE weaving.
2. @TAY/FACTORY; you discussed with Robbert de Leijser about this chair. Please help us with your knowledgde to achieve this type of chair.
</t>
  </si>
  <si>
    <t>5/03062019/8c19dbd4650844c69a71f96cddf70566.jpg</t>
  </si>
  <si>
    <t>12 FINISHED- Code: 20190528/APO/001200/00000537/012</t>
  </si>
  <si>
    <t>20190528/APO/001200/00000537/012</t>
  </si>
  <si>
    <t>8/04062019/b09443ad8b3f481d8cf1d9ac6916d4bb.jpg</t>
  </si>
  <si>
    <t>TORINO DINING CHAIR</t>
  </si>
  <si>
    <t xml:space="preserve">1. (04-06-2019 17:55:34)
TAKE VILLAGIO CHAIR 1200
WITH WICKER ROPE 4MM.
</t>
  </si>
  <si>
    <t>c/11072019/85aada158474462185df6e10a60785a2.jpg</t>
  </si>
  <si>
    <t>18 FINISHED- Code: 20190604/BIG/001200/00000537/018</t>
  </si>
  <si>
    <t>20190604/BIG/001200/00000537/018</t>
  </si>
  <si>
    <t>c/19092018/ced14992dcce464fa06a81ae940c99fa.jpg</t>
  </si>
  <si>
    <t>VILLAGIO DINING CHAIR</t>
  </si>
  <si>
    <t>TRIANGLE WEAVE</t>
  </si>
  <si>
    <t>BURLY GREEN 1200</t>
  </si>
  <si>
    <t xml:space="preserve">1. Nicole Poldervaart(29-05-2019 10:35:33)
1. USE WEAVING STRUCTURE OF PICTURE 1065 (like sample ARAGON CHAIR from showroom).
2. BUT USE THE COLORS OF PICTURE DSCPDC_0003_BURST &gt;  BURLY GREEN.
3. USE STANDARD 1200 LEGS (ALU WITH CROSS).
</t>
  </si>
  <si>
    <t>2/24062019/07f4bfa5d15045b0a4b5b0caaa5d4d43.jpg</t>
  </si>
  <si>
    <t>17 FINISHED- Code: 20190529/BIG/001200/00000537/017</t>
  </si>
  <si>
    <t>20190529/BIG/001200/00000537/017</t>
  </si>
  <si>
    <t>e/11062019/8899a2435b664158b108ee0cc4634c49.jpg</t>
  </si>
  <si>
    <t>ALBA DINING CHAIR (KD LEG SYSTEM)</t>
  </si>
  <si>
    <t xml:space="preserve">1. (11-06-2019 16:02:45)
TD
</t>
  </si>
  <si>
    <t>3/19072019/293b1b7e76cc482081a4b661b72ed996.jpg</t>
  </si>
  <si>
    <t>SPOGA (NEW DEVELOPMENT ITEMS)</t>
  </si>
  <si>
    <t>34 FINISHED- Code: 20190531/BIG/000002/00000538/034</t>
  </si>
  <si>
    <t>20190531/BIG/000002/00000538/034</t>
  </si>
  <si>
    <t>e/13062019/275288cecfc94fe9bdf6ecbf11bb0daf.jpg</t>
  </si>
  <si>
    <t>ALBA LOUNGE SET</t>
  </si>
  <si>
    <t xml:space="preserve">1. (13-06-2019 15:49:33)
more renderings
</t>
  </si>
  <si>
    <t>f/19072019/f4c2391494e145a5b39fccc47ba6c8f8.jpg</t>
  </si>
  <si>
    <t>77/153</t>
  </si>
  <si>
    <t>7.5/7.5/14.5</t>
  </si>
  <si>
    <t>18/18.5</t>
  </si>
  <si>
    <t>86/79</t>
  </si>
  <si>
    <t>79/155</t>
  </si>
  <si>
    <t>93/83</t>
  </si>
  <si>
    <t>33 FINISHED- Code: 20190531/BIG/000002/00000538/033</t>
  </si>
  <si>
    <t>20190531/BIG/000002/00000538/033</t>
  </si>
  <si>
    <t>e/04062019/3df5c248702045fc837a7b6360af871a.jpg</t>
  </si>
  <si>
    <t>BANTAM DINING CHAIR</t>
  </si>
  <si>
    <t>DOUBLEROUND 10MM</t>
  </si>
  <si>
    <t xml:space="preserve">1. An Huyen Cao(26-06-2019 12:05:40)
TD BANTAM DINING CHAIR
</t>
  </si>
  <si>
    <t>9/19072019/22f6240004474bc588117d36c42bdfc5.jpg</t>
  </si>
  <si>
    <t>10.1</t>
  </si>
  <si>
    <t>50 FINISHED- Code: 20190531/BIG/000002/00000538/050</t>
  </si>
  <si>
    <t>20190531/BIG/000002/00000538/050</t>
  </si>
  <si>
    <t>7/13062019/f4879c75eaba436da94c8ed4ae0e005b.jpg</t>
  </si>
  <si>
    <t>BANTAM LOUNGE SET</t>
  </si>
  <si>
    <t xml:space="preserve">3. An Huyen Cao(25-06-2019 17:13:23)
TD BANTAM LOUNGE SET
2. (13-06-2019 13:33:12)
WAITING TD
1. (13-06-2019 13:33:12)
MORE RENDERINGS
</t>
  </si>
  <si>
    <t>5/19072019/6f470d3f7ba3481887ca1c80b59eb2e4.jpg</t>
  </si>
  <si>
    <t>71/71</t>
  </si>
  <si>
    <t>69/143</t>
  </si>
  <si>
    <t>8.8/8.8/15.7</t>
  </si>
  <si>
    <t>10.8/10.8/19.2</t>
  </si>
  <si>
    <t>75/75</t>
  </si>
  <si>
    <t>71/146</t>
  </si>
  <si>
    <t>50/50</t>
  </si>
  <si>
    <t>36 FINISHED- Code: 20190531/BIG/000002/00000538/036</t>
  </si>
  <si>
    <t>20190531/BIG/000002/00000538/036</t>
  </si>
  <si>
    <t>7/06062019/f1b53be9a82748209af7c21fe22220dc.jpg</t>
  </si>
  <si>
    <t>BERGA LOUNGE SET</t>
  </si>
  <si>
    <t xml:space="preserve">1. (06-06-2019 14:49:28)
TD's
</t>
  </si>
  <si>
    <t>3/01082019/a326298a5afa45f18cd0111b90e7be6b.jpg</t>
  </si>
  <si>
    <t>98/98/98/100</t>
  </si>
  <si>
    <t>102/102/195/100</t>
  </si>
  <si>
    <t>58/58/58/37</t>
  </si>
  <si>
    <t>21.5/21.5/38.5/8</t>
  </si>
  <si>
    <t>26.5/26.5/46.5/12</t>
  </si>
  <si>
    <t>105/105/198/103</t>
  </si>
  <si>
    <t>101/101/101/103</t>
  </si>
  <si>
    <t>62/62/62/41</t>
  </si>
  <si>
    <t>38 FINISHED- Code: 20190531/ROS/000002/00000538/038</t>
  </si>
  <si>
    <t>20190531/ROS/000002/00000538/038</t>
  </si>
  <si>
    <t>8/31052019/c1e8faeab5844013a0c3abff8fe5ba58.jpg</t>
  </si>
  <si>
    <t>BERLIN DINING TABLE</t>
  </si>
  <si>
    <t xml:space="preserve">1. (04-06-2019 13:11:02)
TD
</t>
  </si>
  <si>
    <t>b/18072019/f2d48288b7f1444f91c0fb7f29643b93.jpg</t>
  </si>
  <si>
    <t>45 FINISHED- Code: 20190531/TEC/000002/00000538/045</t>
  </si>
  <si>
    <t>20190531/TEC/000002/00000538/045</t>
  </si>
  <si>
    <t>e/03062019/98977427007148fcb4f27d87f911b4ea.jpg</t>
  </si>
  <si>
    <t>CATANIA DINING CHAIR</t>
  </si>
  <si>
    <t>7/25072019/3d27135f67f94c4aa9eda46791b8cb37.jpg</t>
  </si>
  <si>
    <t>10.2</t>
  </si>
  <si>
    <t>31 FINISHED- Code: 20190529/APO/000002/00000538/031</t>
  </si>
  <si>
    <t>20190529/APO/000002/00000538/031</t>
  </si>
  <si>
    <t>9/03062019/d8f8eb2d7039428b8f463f89cd5ecaa3.jpg</t>
  </si>
  <si>
    <t>4/25072019/9df10cec18b64b4a8735d3bef55830db.jpg</t>
  </si>
  <si>
    <t>23 FINISHED- Code: 20190529/APO/000002/00000538/023</t>
  </si>
  <si>
    <t>20190529/APO/000002/00000538/023</t>
  </si>
  <si>
    <t>1/07062019/785d3344b8fa40fa8d94548817ad2842.jpg</t>
  </si>
  <si>
    <t>CHICAGO DINING CHAIR</t>
  </si>
  <si>
    <t xml:space="preserve">1. (07-06-2019 13:03:00)
TD to follow.
Chair needs to be made that back is comfortable.
</t>
  </si>
  <si>
    <t>6/20072019/630eb5eec41f497aac4a8e26e5da1a21.jpg</t>
  </si>
  <si>
    <t>48 FINISHED- Code: 20190531/PAL/000002/00000538/048</t>
  </si>
  <si>
    <t>20190531/PAL/000002/00000538/048</t>
  </si>
  <si>
    <t>2/07062019/f374caf60e924b5ba1d90fd89ee6d0ce.jpg</t>
  </si>
  <si>
    <t>CHICAGO LOUNGE SET</t>
  </si>
  <si>
    <t xml:space="preserve">2. An Huyen Cao(27-06-2019 14:27:38)
TD + RENDERING CHICAGO LOUNGE SET
1. (07-06-2019 13:02:22)
Rendering LOUNGE SET &amp; TD will follow.
Set needs to be made that back is comfortable.
</t>
  </si>
  <si>
    <t>9/20072019/c16dde3f72514e4d9d5b12c101a511d4.jpg</t>
  </si>
  <si>
    <t>47 FINISHED- Code: 20190531/PAL/000002/00000538/047</t>
  </si>
  <si>
    <t>20190531/PAL/000002/00000538/047</t>
  </si>
  <si>
    <t>1/07062019/2252a31e59814f868a43dfc9ef1d886f.jpg</t>
  </si>
  <si>
    <t>CIREBON LOUNGE CHAIR</t>
  </si>
  <si>
    <t xml:space="preserve">1. (07-06-2019 13:14:33)
TD
The weaving should be more like LENCO; INTERGAMMA SAMPLE
</t>
  </si>
  <si>
    <t>7/28062019/dba6ef5c98f2403fa5d8ec143423ecf0.jpg</t>
  </si>
  <si>
    <t>3.7</t>
  </si>
  <si>
    <t>4.2</t>
  </si>
  <si>
    <t>27 FINISHED- Code: 20190529/APO/000002/00000538/027</t>
  </si>
  <si>
    <t>20190529/APO/000002/00000538/027</t>
  </si>
  <si>
    <t>f/04062019/ba3a9aeba6ef4def880c93f27aeb8081.jpg</t>
  </si>
  <si>
    <t>COSTA RICA LOUNGE CORNER SET</t>
  </si>
  <si>
    <t>LIGHT BROWN OLEFIN</t>
  </si>
  <si>
    <t xml:space="preserve">1. (04-06-2019 12:13:05)
TD's
</t>
  </si>
  <si>
    <t>4/02072019/b58f57be095c43b59e80c9613c8ad360.jpg</t>
  </si>
  <si>
    <t>160/160/75.5/100</t>
  </si>
  <si>
    <t>75/75/75.5/100</t>
  </si>
  <si>
    <t>71.5/71.5/71.5/28</t>
  </si>
  <si>
    <t>25.8/25.8/26.5/14</t>
  </si>
  <si>
    <t>30.5/30.5/30.5/16.7</t>
  </si>
  <si>
    <t>158.5/158.5/78.5/103</t>
  </si>
  <si>
    <t>74.5/74.5/74.5/103</t>
  </si>
  <si>
    <t>28.5/28.5/39.5/10.2</t>
  </si>
  <si>
    <t>39 FINISHED- Code: 20190531/DAN/000002/00000538/039</t>
  </si>
  <si>
    <t>20190531/DAN/000002/00000538/039</t>
  </si>
  <si>
    <t>a/31052019/5ef14df783bb473d9aecc36639ab4c0c.jpg</t>
  </si>
  <si>
    <t>CURACAO DINING TABLE 240CM</t>
  </si>
  <si>
    <t xml:space="preserve">1. (12-06-2019 18:23:58)
TD
</t>
  </si>
  <si>
    <t>1/12072019/fc275b904ab841ebbb371034b36c4008.jpg</t>
  </si>
  <si>
    <t>40 FINISHED- Code: 20190531/PAL/000002/00000538/040</t>
  </si>
  <si>
    <t>20190531/PAL/000002/00000538/040</t>
  </si>
  <si>
    <t>2/03062019/954d4f4f0ac54ca5ac9e69ae4aa11221.jpg</t>
  </si>
  <si>
    <t>DA VINCI DINING CHAIR</t>
  </si>
  <si>
    <t xml:space="preserve">3. An Huyen Cao(20-06-2019 16:25:52)
MAKE CUSHIONS IN SERVAL LIGHT BROWN TO SEND OUT TO EF
ADD EXTRA COVERS IN NATURAL SAND. CUSHION COVERS CAN BE SEND OUT LATER IF NEEDED BY AIRFREIGHT
2. (11-06-2019 16:02:45)
TD
1. (03-06-2019 18:06:19)
how seat should look
</t>
  </si>
  <si>
    <t>1/24072019/02658292736841979a1670dbf33c0c9f.jpg</t>
  </si>
  <si>
    <t>18 FINISHED- Code: 20190529/PAL/000002/00000538/018</t>
  </si>
  <si>
    <t>20190529/PAL/000002/00000538/018</t>
  </si>
  <si>
    <t>f/03062019/7e3988919567417aa26e5f989274078e.jpg</t>
  </si>
  <si>
    <t>DA VINCI LOUNGE SET</t>
  </si>
  <si>
    <t xml:space="preserve">2. An Huyen Cao(20-06-2019 16:25:52)
MAKE CUSHIONS IN SERVAL LIGHT BROWN TO SEND OUT TO EF
ADD EXTRA COVERS IN NATURAL SAND. CUSHION COVERS CAN BE SEND OUT LATER IF NEEDED BY AIRFREIGHT
1. An Huyen Cao(20-06-2019 15:07:41)
TD's DA VINCI LOUNGE SET
</t>
  </si>
  <si>
    <t>4/24072019/0901661f5ad0440a95327432355c5199.jpg</t>
  </si>
  <si>
    <t>17 FINISHED- Code: 20190529/PAL/000002/00000538/017</t>
  </si>
  <si>
    <t>20190529/PAL/000002/00000538/017</t>
  </si>
  <si>
    <t>1/03062019/ee49f17d87c9475291ebc7d986f30fe8.jpg</t>
  </si>
  <si>
    <t>DANAO LOUNGE SET</t>
  </si>
  <si>
    <t>SAND OLEFIN 240</t>
  </si>
  <si>
    <t xml:space="preserve">2. (06-06-2019 14:49:27)
follow these dimensions as Mancho advises
1. (03-06-2019 17:33:41)
make sure the seat construction is strong enough. we now make without cross underneath seats
note weaving.
</t>
  </si>
  <si>
    <t>f/16072019/e03d2571324145298bd96715563605a8.jpg</t>
  </si>
  <si>
    <t>81/81/60/80</t>
  </si>
  <si>
    <t>80/174//60/80</t>
  </si>
  <si>
    <t>78.5/78.5/33/25</t>
  </si>
  <si>
    <t>4.5/8.5/3/4.5</t>
  </si>
  <si>
    <t>9.5/23</t>
  </si>
  <si>
    <t>2/3</t>
  </si>
  <si>
    <t>90/99</t>
  </si>
  <si>
    <t>83/177</t>
  </si>
  <si>
    <t>58.5/53</t>
  </si>
  <si>
    <t>7 FINISHED- Code: 20190529/BIG/000002/00000538/007</t>
  </si>
  <si>
    <t>20190529/BIG/000002/00000538/007</t>
  </si>
  <si>
    <t>6/05072019/e399d7c033ea4c5d84fc52712e09f404.jpg</t>
  </si>
  <si>
    <t>DENVER COFFEE SET</t>
  </si>
  <si>
    <t xml:space="preserve">4. (05-07-2019 15:11:20)
RENDERING WITH CUSHION
3. An Huyen Cao(27-06-2019 14:27:38)
TD DENVER LOUNGE CHAIR
2. (07-06-2019 12:54:15)
WE WILL MAKE WITHOUT TABLE!
1. (06-06-2019 14:56:40)
TD
</t>
  </si>
  <si>
    <t>2/23072019/a1bda0a507e0401db13fc363259f8f33.jpg</t>
  </si>
  <si>
    <t>15 FINISHED- Code: 20190529/ROS/000002/00000538/015</t>
  </si>
  <si>
    <t>20190529/ROS/000002/00000538/015</t>
  </si>
  <si>
    <t>3/05072019/248eb77c146b49cca9b9175844901576.jpg</t>
  </si>
  <si>
    <t>DENVER DINING CHAIR</t>
  </si>
  <si>
    <t xml:space="preserve">1. An Huyen Cao(27-06-2019 14:27:38)
TD DENVER DINING CHAIR
</t>
  </si>
  <si>
    <t>e/23072019/1df6f6486bd5411f831c004c8ad1bfc6.jpg</t>
  </si>
  <si>
    <t>16 FINISHED- Code: 20190529/ROS/000002/00000538/016</t>
  </si>
  <si>
    <t>20190529/ROS/000002/00000538/016</t>
  </si>
  <si>
    <t>6/13062019/cca9c6efcf2d419aa86bb2f40da80334.jpg</t>
  </si>
  <si>
    <t>FIORANO DINING TABLE 220 CM</t>
  </si>
  <si>
    <t xml:space="preserve">2. An Huyen Cao(20-06-2019 15:15:31)
TD's FIORANO
1. (13-06-2019 13:33:13)
WAITING TD
</t>
  </si>
  <si>
    <t>7/24072019/91cb778d2980404480f98b34b90606c0.jpg</t>
  </si>
  <si>
    <t>41 FINISHED- Code: 20190531/PAL/000002/00000538/041</t>
  </si>
  <si>
    <t>20190531/PAL/000002/00000538/041</t>
  </si>
  <si>
    <t>7/01072019/7f6cd8e30a774ab28bd2cec7bd00ddc1.jpg</t>
  </si>
  <si>
    <t>LENCO DINING CHAIR</t>
  </si>
  <si>
    <t xml:space="preserve">1. (07-06-2019 13:14:33)
TD
</t>
  </si>
  <si>
    <t>c/19072019/9b988c3c4b03447ea16d774e51773ba8.jpg</t>
  </si>
  <si>
    <t>26 FINISHED- Code: 20190529/APO/000002/00000538/026</t>
  </si>
  <si>
    <t>20190529/APO/000002/00000538/026</t>
  </si>
  <si>
    <t>e/03062019/27ed1d917a7549ea8bdd28cab11aeb64.jpg</t>
  </si>
  <si>
    <t>CERAMIC</t>
  </si>
  <si>
    <t>ANTHRACITE OLEFIN 240</t>
  </si>
  <si>
    <t xml:space="preserve">2. (03-06-2019 16:49:13)
RENDERING FRAME
1. (31-05-2019 14:54:05)
"MAKE SET MDM MODULAR (TABLE AS MDM, CORNER, MIDDLE PIECE), BACK IN ALU I/O WOOD
TARGET FACTORY PRICE 400"
</t>
  </si>
  <si>
    <t>1/26072019/f92e37d06b9447d49cb729bbc06afcb0.jpg</t>
  </si>
  <si>
    <t>1 FINISHED- Code: 20190529/PAL/000002/00000538/001</t>
  </si>
  <si>
    <t>20190529/PAL/000002/00000538/001</t>
  </si>
  <si>
    <t>6/29052019/70c96466cba14276a60f30e000aaf253.jpg</t>
  </si>
  <si>
    <t>MACON DINING CHAIR</t>
  </si>
  <si>
    <t xml:space="preserve">1. (03-06-2019 17:47:45)
Like sample for client 1200. but please make without back cushions.
Adjust the angle of the back in such a way, that it feels good to sit in the chair without back cushions.
</t>
  </si>
  <si>
    <t>5/27062019/bc2f9780633e4bc685e279622f7f495c.jpg</t>
  </si>
  <si>
    <t>13 FINISHED- Code: 20190529/PAL/000002/00000538/013</t>
  </si>
  <si>
    <t>20190529/PAL/000002/00000538/013</t>
  </si>
  <si>
    <t>a/29052019/423bb6f72df94ce1aa8d0b2d9c8e055f.jpg</t>
  </si>
  <si>
    <t>3/27062019/773e3f95d61d460f9f82ed06e51b081b.jpg</t>
  </si>
  <si>
    <t>12 FINISHED- Code: 20190529/PAL/000002/00000538/012</t>
  </si>
  <si>
    <t>20190529/PAL/000002/00000538/012</t>
  </si>
  <si>
    <t>1/03062019/2be10e23ddd54a7f8b12c56b871b4870.jpg</t>
  </si>
  <si>
    <t>MACON LOUNGE SET</t>
  </si>
  <si>
    <t xml:space="preserve">2. An Huyen Cao(14-06-2019 13:31:20)
TD MACON TABLE
1. (03-06-2019 17:47:44)
Like sample for client 1200. but please make without back cushions.
Adjust the angle of the back in such a way, that it feels good to sit in the chair without back cushions.
</t>
  </si>
  <si>
    <t>7/16072019/0dbc15a8a6764d079e3596f38208b8ae.jpg</t>
  </si>
  <si>
    <t>71.5/71.5/100</t>
  </si>
  <si>
    <t>70.5/149.5/50</t>
  </si>
  <si>
    <t>73/73/45</t>
  </si>
  <si>
    <t>4.8/8/12.4</t>
  </si>
  <si>
    <t>14/27</t>
  </si>
  <si>
    <t>94/71.5</t>
  </si>
  <si>
    <t>78.5/150</t>
  </si>
  <si>
    <t>101.5/73</t>
  </si>
  <si>
    <t>11 FINISHED- Code: 20190529/PAL/000002/00000538/011</t>
  </si>
  <si>
    <t>20190529/PAL/000002/00000538/011</t>
  </si>
  <si>
    <t>e/29052019/dfa26bd294eb46c7a114a17b24551c10.jpg</t>
  </si>
  <si>
    <t>MALANG DINING CHAIR (CROSSWEAVE)</t>
  </si>
  <si>
    <t xml:space="preserve">3. (28-06-2019 15:06:45)
@Ngoc,
this is finished picture for vertical weaving. please move picture to correct sample.
2. (12-06-2019 18:17:35)
TD
1. (31-05-2019 11:57:53)
cross weave like in the picture
</t>
  </si>
  <si>
    <t>2/01072019/eb3e688457d34f129b8e12f9939f66c5.jpg</t>
  </si>
  <si>
    <t>29 FINISHED- Code: 20190529/BIG/000002/00000538/029</t>
  </si>
  <si>
    <t>20190529/BIG/000002/00000538/029</t>
  </si>
  <si>
    <t>9/31052019/ba4cabf3516245e6935ce3c2fe24133a.jpg</t>
  </si>
  <si>
    <t>MALANG DINING CHAIR (VERTICAL WEAVING)</t>
  </si>
  <si>
    <t xml:space="preserve">1. (12-06-2019 18:17:35)
TD
</t>
  </si>
  <si>
    <t>3/01072019/90aa78c37d3f408f9709736643391d6e.jpg</t>
  </si>
  <si>
    <t>49 FINISHED- Code: 20190531/BIG/000002/00000538/049</t>
  </si>
  <si>
    <t>20190531/BIG/000002/00000538/049</t>
  </si>
  <si>
    <t>4/04062019/eb72cdec83674370b6af4fb7b44cad6d.jpg</t>
  </si>
  <si>
    <t>MARRAKESH LOUNGE SET</t>
  </si>
  <si>
    <t>TERRACOTA</t>
  </si>
  <si>
    <t>ROYAL STONE BORDEAUX</t>
  </si>
  <si>
    <t xml:space="preserve">3. An Huyen Cao(18-06-2019 14:40:46)
TD MARRAKESH LOUNGE TABLE RECTANGULAR
2. (06-06-2019 14:56:40)
TD's
1. Laurens van Well(29-05-2019 17:25:12)
MAKE SURE TERRACOTA ROPE IS REAL TERRACOTA LIKE OTHER ROPE COLORS
</t>
  </si>
  <si>
    <t>0/11072019/dec9c19718fa40839ec798d1e384ee21.jpg</t>
  </si>
  <si>
    <t>93/93/93/120</t>
  </si>
  <si>
    <t>92/92/173/60</t>
  </si>
  <si>
    <t>69/69/69/25</t>
  </si>
  <si>
    <t>15/15/24/20.3</t>
  </si>
  <si>
    <t>20/20/53</t>
  </si>
  <si>
    <t>93/93/93</t>
  </si>
  <si>
    <t>93.5/93.5/174</t>
  </si>
  <si>
    <t>32 FINISHED- Code: 20190529/BIG/000002/00000538/032</t>
  </si>
  <si>
    <t>20190529/BIG/000002/00000538/032</t>
  </si>
  <si>
    <t>b/29052019/41053675c57b49b091690ab4363488ea.jpg</t>
  </si>
  <si>
    <t xml:space="preserve">2. An Huyen Cao(18-06-2019 14:40:45)
TD Marrakesh lounge table Rectangular.
1. (06-06-2019 14:56:40)
TD's
</t>
  </si>
  <si>
    <t>e/11072019/9dc1eaab36a949469372ff6c08b648cd.jpg</t>
  </si>
  <si>
    <t>8 FINISHED- Code: 20190529/BIG/000002/00000538/008</t>
  </si>
  <si>
    <t>20190529/BIG/000002/00000538/008</t>
  </si>
  <si>
    <t>6/31052019/30eadd688113407c8cc454f5e2974b15.jpg</t>
  </si>
  <si>
    <t>MARTINIQUE LOUNGE SET</t>
  </si>
  <si>
    <t>OLEFIN ANTHRACITE 240</t>
  </si>
  <si>
    <t xml:space="preserve">1. An Huyen Cao(27-06-2019 11:28:24)
TD MARTINIQUE
</t>
  </si>
  <si>
    <t>e/16072019/6ed18321c9b14d3bafb27daf3e3201e8.jpg</t>
  </si>
  <si>
    <t>80/80/80/110</t>
  </si>
  <si>
    <t>73/73/148/60</t>
  </si>
  <si>
    <t>66/66/66/31</t>
  </si>
  <si>
    <t>12/12/21/8</t>
  </si>
  <si>
    <t>15/15/26/9.5</t>
  </si>
  <si>
    <t>82.5/82.5/82.5/113</t>
  </si>
  <si>
    <t>75.5/75.5/151/64</t>
  </si>
  <si>
    <t>70/70/70/9</t>
  </si>
  <si>
    <t>37 FINISHED- Code: 20190531/ROS/000002/00000538/037</t>
  </si>
  <si>
    <t>20190531/ROS/000002/00000538/037</t>
  </si>
  <si>
    <t>a/04062019/89f63e09a1ec49dfb6b5f877ac8592ce.jpg</t>
  </si>
  <si>
    <t>MAUI LOUNGE CORNER SET</t>
  </si>
  <si>
    <t>4,5 MM</t>
  </si>
  <si>
    <t xml:space="preserve">2. (12-06-2019 18:17:35)
TD's
1. (05-06-2019 09:33:29)
Change the seat to braided outdoor (i/o textilene) to save cost and easily in mass production.
Keep the braided outdoor in color from the rendering.
</t>
  </si>
  <si>
    <t>3/24072019/11ad849c2abb4a8288ff7cdd96cc697b.jpg</t>
  </si>
  <si>
    <t>30 FINISHED- Code: 20190529/TEC/000002/00000538/030</t>
  </si>
  <si>
    <t>20190529/TEC/000002/00000538/030</t>
  </si>
  <si>
    <t>4/04062019/e64ac6d190ef49fc93d899f30a66d4df.jpg</t>
  </si>
  <si>
    <t>NATURAL SAND</t>
  </si>
  <si>
    <t xml:space="preserve">4. An Huyen Cao(20-06-2019 16:25:52)
MAKE CUSHIONS IN SERVAL LIGHT BROWN TO SEND OUT TO EF
ADD EXTRA COVERS IN NATURAL SAND. CUSHION COVERS CAN BE SEND OUT LATER IF NEEDED BY AIRFREIGHT
3. (12-06-2019 18:17:34)
TD's
2. (05-06-2019 09:33:29)
Change the seat to braided outdoor (i/o textilene) to save cost and easily in mass production.
Keep the braided outdoor in color from the rendering.
1. (03-06-2019 17:47:44)
with textilene seat.
table should have 5cm overlap on the sides.
</t>
  </si>
  <si>
    <t>3/24072019/a0f200137029427990156f67cb1bd9f8.jpg</t>
  </si>
  <si>
    <t>10 FINISHED- Code: 20190529/TEC/000002/00000538/010</t>
  </si>
  <si>
    <t>20190529/TEC/000002/00000538/010</t>
  </si>
  <si>
    <t>3/13062019/d34fcd2a53f1428db592ffa23fcb8fa0.jpg</t>
  </si>
  <si>
    <t>MELVERTON WOODEN LOUNGE CORNER SET</t>
  </si>
  <si>
    <t xml:space="preserve">3. An Huyen Cao(20-06-2019 15:04:49)
TD'S MELVERTON LOUNGE CORNER SET
2. (13-06-2019 12:28:58)
waiting TD
1. (31-05-2019 14:54:05)
alu seat frame of standard MELVERTON will change to INTO A WOODEN FRAME. KEEP LEGS IN ALU.
</t>
  </si>
  <si>
    <t>3/17072019/215aa936edbb4bada92155eb2c102f1e.jpg</t>
  </si>
  <si>
    <t>2 FINISHED- Code: 20190529/PAL/000002/00000538/002</t>
  </si>
  <si>
    <t>20190529/PAL/000002/00000538/002</t>
  </si>
  <si>
    <t>5/03062019/f7d6749a85a444b79da7817ed054f661.jpg</t>
  </si>
  <si>
    <t>c/23072019/8a080e1d94c1453793377628e75b1967.jpg</t>
  </si>
  <si>
    <t>19 FINISHED- Code: 20190529/PAL/000002/00000538/019</t>
  </si>
  <si>
    <t>20190529/PAL/000002/00000538/019</t>
  </si>
  <si>
    <t>6/03062019/1d6645d57d19408dbb89057deaf4b15f.jpg</t>
  </si>
  <si>
    <t>1/23072019/c765b7fb32d143bebac88045fa006732.jpg</t>
  </si>
  <si>
    <t>22 FINISHED- Code: 20190529/PAL/000002/00000538/022</t>
  </si>
  <si>
    <t>20190529/PAL/000002/00000538/022</t>
  </si>
  <si>
    <t>0/03062019/9e1d1bc4681e49b5b5e3321e89159fa3.jpg</t>
  </si>
  <si>
    <t>e/23072019/bbd73da3d8ca49bda136a992ff1efca3.jpg</t>
  </si>
  <si>
    <t>20 FINISHED- Code: 20190529/PAL/000002/00000538/020</t>
  </si>
  <si>
    <t>20190529/PAL/000002/00000538/020</t>
  </si>
  <si>
    <t>4/03062019/3a408c2ded3f4b6d83c04f61d0ce1f5c.jpg</t>
  </si>
  <si>
    <t>OKER CODE 5</t>
  </si>
  <si>
    <t>d/23072019/17696969d8d146c1b817d3b29ae76a16.jpg</t>
  </si>
  <si>
    <t>21 FINISHED- Code: 20190529/PAL/000002/00000538/021</t>
  </si>
  <si>
    <t>20190529/PAL/000002/00000538/021</t>
  </si>
  <si>
    <t>6/04062019/e6bf941b88b94360a14e29ac07dcdecc.jpg</t>
  </si>
  <si>
    <t>NEW TOPS FOR TABLES</t>
  </si>
  <si>
    <t xml:space="preserve">1. (04-06-2019 13:11:02)
CERAMIC INFO TO FOLLOW
</t>
  </si>
  <si>
    <t>3/20072019/0e454e90fa1a40f39e5659eeca62433e.jpg</t>
  </si>
  <si>
    <t>42 FINISHED- Code: 20190531/PAL/000002/00000538/042</t>
  </si>
  <si>
    <t>20190531/PAL/000002/00000538/042</t>
  </si>
  <si>
    <t>7/04062019/902e3665161d4f73a95130979e6ace7b.jpg</t>
  </si>
  <si>
    <t>OUTDOOR KITCHEN RANGE</t>
  </si>
  <si>
    <t xml:space="preserve">1. (06-06-2019 14:56:40)
TD
</t>
  </si>
  <si>
    <t>0/17072019/50caee5d5d7d4d8194caaad65219e322.jpg</t>
  </si>
  <si>
    <t>43 FINISHED- Code: 20190531/ROS/000002/00000538/043</t>
  </si>
  <si>
    <t>20190531/ROS/000002/00000538/043</t>
  </si>
  <si>
    <t>b/13062019/ef853d61fd34424cba21896d59cb7531.jpg</t>
  </si>
  <si>
    <t>PADUA DINING CHAIR</t>
  </si>
  <si>
    <t xml:space="preserve">3. An Huyen Cao(20-06-2019 16:25:52)
MAKE CUSHIONS IN SERVAL LIGHT BROWN TO SEND OUT TO EF
ADD EXTRA COVERS IN NATURAL SAND. CUSHION COVERS CAN BE SEND OUT LATER IF NEEDED BY AIRFREIGHT
2. (13-06-2019 12:45:20)
new TD
1. (03-06-2019 18:06:19)
extra rendering
</t>
  </si>
  <si>
    <t>f/10072019/1dc1122c9f1d4342a413629c23be112b.jpg</t>
  </si>
  <si>
    <t>14 FINISHED- Code: 20190529/BIG/000002/00000538/014</t>
  </si>
  <si>
    <t>20190529/BIG/000002/00000538/014</t>
  </si>
  <si>
    <t>3/13062019/8c40eaca0cdb48d786eb89f94509eb1f.jpg</t>
  </si>
  <si>
    <t>PADUA LOUNGE CHAIR</t>
  </si>
  <si>
    <t xml:space="preserve">3. An Huyen Cao(20-06-2019 16:25:52)
MAKE CUSHIONS IN SERVAL LIGHT BROWN TO SEND OUT TO EF
ADD EXTRA COVERS IN NATURAL SAND. CUSHION COVERS CAN BE SEND OUT LATER IF NEEDED BY AIRFREIGHT
2. (13-06-2019 12:45:21)
TD
1. (13-06-2019 12:45:21)
extra rendering
</t>
  </si>
  <si>
    <t>a/10072019/dfd91b7d477348d79d60172f09db758a.jpg</t>
  </si>
  <si>
    <t>46 FINISHED- Code: 20190531/BIG/000002/00000538/046</t>
  </si>
  <si>
    <t>20190531/BIG/000002/00000538/046</t>
  </si>
  <si>
    <t>1/12062019/6271dd917a9b49ecb4f75a81a8bc3186.jpg</t>
  </si>
  <si>
    <t>PORTIMAO LOUNGE BENCH + CHAIR</t>
  </si>
  <si>
    <t>PATTERN FLAT 7MM</t>
  </si>
  <si>
    <t xml:space="preserve">1. (12-06-2019 18:30:42)
TD's
</t>
  </si>
  <si>
    <t>3/23072019/fd10e96f3b29486ca8bfaed6b0a134cb.jpg</t>
  </si>
  <si>
    <t>24 FINISHED- Code: 20190529/PAL/000002/00000538/024</t>
  </si>
  <si>
    <t>20190529/PAL/000002/00000538/024</t>
  </si>
  <si>
    <t>1/31052019/338b9da260e44b06b540c84940a3334f.jpg</t>
  </si>
  <si>
    <t>REIMS LOUNGE SET CROSSWEAVE</t>
  </si>
  <si>
    <t xml:space="preserve">2. (12-06-2019 18:30:42)
TD's
1. (03-06-2019 17:33:41)
use attached weaving style
</t>
  </si>
  <si>
    <t>e/23072019/58cac4d7747e4dd38f9487642faff180.jpg</t>
  </si>
  <si>
    <t>3 FINISHED- Code: 20190529/PAL/000002/00000538/003</t>
  </si>
  <si>
    <t>20190529/PAL/000002/00000538/003</t>
  </si>
  <si>
    <t>2/11062019/1bf7a0d2533146f8b35bdc26e162a5fa.jpg</t>
  </si>
  <si>
    <t>REIMS LOUNGE SET THICK ROPE</t>
  </si>
  <si>
    <t>OVAL</t>
  </si>
  <si>
    <t xml:space="preserve">2. (12-06-2019 18:30:43)
TD's
1. (03-06-2019 17:33:42)
use attached weaving style
</t>
  </si>
  <si>
    <t>a/17072019/27d1c1b51d9d46da99ef5d0e10815ae4.jpg</t>
  </si>
  <si>
    <t>4 FINISHED- Code: 20190529/PAL/000002/00000538/004</t>
  </si>
  <si>
    <t>20190529/PAL/000002/00000538/004</t>
  </si>
  <si>
    <t>b/13062019/e06142fe035d4b6dba2e1f8819f9afe3.jpg</t>
  </si>
  <si>
    <t>SAN DIEGO LOUNGE CORNER SET</t>
  </si>
  <si>
    <t xml:space="preserve">3. An Huyen Cao(26-06-2019 14:43:17)
TD SAN DIEGO TABLE 80x80CM
2. An Huyen Cao(25-06-2019 17:12:31)
TD's SAN DIEGO LOUNGE CORNER SET
1. (13-06-2019 12:28:58)
WAITING TD
</t>
  </si>
  <si>
    <t>a/23072019/afa968561543449b88054aab3187eb03.jpg</t>
  </si>
  <si>
    <t>5 FINISHED- Code: 20190529/PAL/000002/00000538/005</t>
  </si>
  <si>
    <t>20190529/PAL/000002/00000538/005</t>
  </si>
  <si>
    <t>f/04062019/7915875ded66442c98c995b806d765fd.jpg</t>
  </si>
  <si>
    <t>SERANG LOUNGE SET</t>
  </si>
  <si>
    <t xml:space="preserve">2. An Huyen Cao(20-06-2019 15:10:37)
TD's SERANG BENCH + CHAIR
1. (04-06-2019 13:11:02)
correct RENDERING
</t>
  </si>
  <si>
    <t>e/17072019/df9d6eddab92419c9608541ce3bf01bb.jpg</t>
  </si>
  <si>
    <t>35 FINISHED- Code: 20190531/PAL/000002/00000538/035</t>
  </si>
  <si>
    <t>20190531/PAL/000002/00000538/035</t>
  </si>
  <si>
    <t>f/29052019/42907c08c7eb42e79239b5dd426cf6e5.jpg</t>
  </si>
  <si>
    <t>SOERABAJA 2,5 SEATER + CHAIR</t>
  </si>
  <si>
    <t>SAND OLEFIN</t>
  </si>
  <si>
    <t xml:space="preserve">1. An Huyen Cao(26-06-2019 13:21:14)
TD SOERABAJA BENCH + CHAIR
</t>
  </si>
  <si>
    <t>c/11072019/29031b54ebf14ddcb67b15313df284a7.jpg</t>
  </si>
  <si>
    <t>65/150</t>
  </si>
  <si>
    <t>9.2/9.2/16.3</t>
  </si>
  <si>
    <t>11.2/11.2/20.3</t>
  </si>
  <si>
    <t>67/152</t>
  </si>
  <si>
    <t>28 FINISHED- Code: 20190529/BIG/000002/00000538/028</t>
  </si>
  <si>
    <t>20190529/BIG/000002/00000538/028</t>
  </si>
  <si>
    <t>a/29052019/aaa01cff28fc430284945a018da35715.jpg</t>
  </si>
  <si>
    <t>TAHITI RANGE WITH LENCO WEAVING</t>
  </si>
  <si>
    <t xml:space="preserve">1. (12-06-2019 18:30:43)
TD's
</t>
  </si>
  <si>
    <t>2/11072019/35c692c7e97c4f9bb1093f5291906edb.jpg</t>
  </si>
  <si>
    <t>77.5/77.5/50</t>
  </si>
  <si>
    <t>66/122/100</t>
  </si>
  <si>
    <t>87/87/40</t>
  </si>
  <si>
    <t>4.3/4.3/7.5/7.6</t>
  </si>
  <si>
    <t>6.5/6.5/10.5/10</t>
  </si>
  <si>
    <t>79.5/79.5/52</t>
  </si>
  <si>
    <t>68/124/102</t>
  </si>
  <si>
    <t>89/89/42</t>
  </si>
  <si>
    <t>25 FINISHED- Code: 20190529/APO/000002/00000538/025</t>
  </si>
  <si>
    <t>20190529/APO/000002/00000538/025</t>
  </si>
  <si>
    <t>f/04062019/74f310e60b27481ba23731db6673d98f.jpg</t>
  </si>
  <si>
    <t>TEXAS HOCKER</t>
  </si>
  <si>
    <t xml:space="preserve">1. (06-06-2019 14:58:28)
TD
</t>
  </si>
  <si>
    <t>9/12072019/0c96369b50a64503b14ab8d73b6fec56.jpg</t>
  </si>
  <si>
    <t>44 FINISHED- Code: 20190531/PAL/000002/00000538/044</t>
  </si>
  <si>
    <t>20190531/PAL/000002/00000538/044</t>
  </si>
  <si>
    <t>a/29052019/d39407b23d2745e4b9797af720f7fa93.jpg</t>
  </si>
  <si>
    <t>VERONA LOUNGE SET</t>
  </si>
  <si>
    <t xml:space="preserve">1. (03-06-2019 17:47:44)
TD
</t>
  </si>
  <si>
    <t>1/17072019/60fb96384e9441bbaabab932ae62df31.jpg</t>
  </si>
  <si>
    <t>9 FINISHED- Code: 20190529/PAL/000002/00000538/009</t>
  </si>
  <si>
    <t>20190529/PAL/000002/00000538/009</t>
  </si>
  <si>
    <t>KWA RUSSIA</t>
  </si>
  <si>
    <t>1 CREATED- Code: 20190603/XXX/001284/00000540/001</t>
  </si>
  <si>
    <t>20190603/XXX/001284/00000540/001</t>
  </si>
  <si>
    <t>SEAT/BACK FOR DIRECTORY CHAIR</t>
  </si>
  <si>
    <t>2 CREATED- Code: 20190603/XXX/001284/00000540/002</t>
  </si>
  <si>
    <t>20190603/XXX/001284/00000540/002</t>
  </si>
  <si>
    <t>a/04062019/b815563b44c145459c7ac29e3e71947b.jpg</t>
  </si>
  <si>
    <t>2019-06-18</t>
  </si>
  <si>
    <t>DELHI LOUNGE CHAIR K.D PATTERN WEAVE</t>
  </si>
  <si>
    <t>PATTERN WEAVE</t>
  </si>
  <si>
    <t>7/19062019/e437ffbd165343ffb85b28533ae4bbd7.jpg</t>
  </si>
  <si>
    <t>2019-06-15</t>
  </si>
  <si>
    <t>HARTMAN PACIFIC PTY LTD</t>
  </si>
  <si>
    <t>6 FINISHED- Code: 20190604/PAL/001682/00000541/006</t>
  </si>
  <si>
    <t>20190604/PAL/001682/00000541/006</t>
  </si>
  <si>
    <t>1/21092016/3bbe007cbe5d4214b1e86197a39595a5.jpg</t>
  </si>
  <si>
    <t>GROSETTO KITCHEN PART BIG FOR FRIDGE</t>
  </si>
  <si>
    <t>GRANITE</t>
  </si>
  <si>
    <t>0/21062019/60e1eb15d3374bf691b78fa7b2dc226e.jpg</t>
  </si>
  <si>
    <t>8 FINISHED- Code: 20190604/ROS/001682/00000541/008</t>
  </si>
  <si>
    <t>20190604/ROS/001682/00000541/008</t>
  </si>
  <si>
    <t>1/21092016/3b17109cbfb84a3cbcdc00176cdd8276.jpg</t>
  </si>
  <si>
    <t>GROSETTO KITCHEN PART LOW BIG WITH TWO DOORS</t>
  </si>
  <si>
    <t>f/21062019/6e2dfeec68744eea8493107d3ab30fac.jpg</t>
  </si>
  <si>
    <t>9 FINISHED- Code: 20190604/ROS/001682/00000541/009</t>
  </si>
  <si>
    <t>20190604/ROS/001682/00000541/009</t>
  </si>
  <si>
    <t>c/04062019/fa4e5114bdae418f9bbf5485a51ae9aa.jpg</t>
  </si>
  <si>
    <t>MELUN 4-SEATER SET TABLE 90x90x75 CM</t>
  </si>
  <si>
    <t xml:space="preserve">1. Ngo Duy Hung(04-06-2019 11:08:57)
MAKE AS MELUN 4-SEATER SET SQUARE TABLE SHIPPED TO ID 1682
</t>
  </si>
  <si>
    <t>10 ISSUED- Code: 20190604/TEC/001682/00000541/010</t>
  </si>
  <si>
    <t>20190604/TEC/001682/00000541/010</t>
  </si>
  <si>
    <t>0/04062019/9f26577ccf5e4596bb6285d3e5c13b96.jpg</t>
  </si>
  <si>
    <t>MELUN 6-SEATER SET TABLE 150x90x75 CM</t>
  </si>
  <si>
    <t xml:space="preserve">1. Ngo Duy Hung(04-06-2019 11:08:57)
MAKE AS MELUN 6-SEATER SET TABLE SHIPPED TO ID 1682
</t>
  </si>
  <si>
    <t>11 ISSUED- Code: 20190604/TEC/001682/00000541/011</t>
  </si>
  <si>
    <t>20190604/TEC/001682/00000541/011</t>
  </si>
  <si>
    <t>1/05062019/b3627ea312e94dc3a1956694b9c0099a.jpg</t>
  </si>
  <si>
    <t>MELUN FOLDING CHAIR TIMBER SEAT</t>
  </si>
  <si>
    <t xml:space="preserve">1. Ngo Duy Hung(05-06-2019 05:09:52)
SEATING IN WOOD ACACIA
</t>
  </si>
  <si>
    <t>13 ISSUED- Code: 20190605/TEC/001682/00000541/013</t>
  </si>
  <si>
    <t>20190605/TEC/001682/00000541/013</t>
  </si>
  <si>
    <t>d/04062019/34315d0f79fa44649ac6d16d4371501f.jpg</t>
  </si>
  <si>
    <t>MELUN FOLDING SET TIMBER SEATING 1682</t>
  </si>
  <si>
    <t xml:space="preserve">2. An Huyen Cao(05-06-2019 17:31:36)
FACTORY TARGET PRICE $50 --&gt; HOW DO REVISE MODEL TO CATCH THIS TARGET?
1. Ngo Duy Hung(04-06-2019 06:32:54)
SEATING IN WOOD ACACIA
</t>
  </si>
  <si>
    <t>1 ISSUED- Code: 20190604/TEC/001682/00000541/001</t>
  </si>
  <si>
    <t>20190604/TEC/001682/00000541/001</t>
  </si>
  <si>
    <t>b/30032018/3612de3d4c7c4f2fb14ebbd68ffae369.jpg</t>
  </si>
  <si>
    <t>TREVISO OUTDOOR KITCHEN, PART BIG OPEN WITH ONE DOOR</t>
  </si>
  <si>
    <t>e/21062019/7ef216b0028b4ec399b53b5e22328cca.jpg</t>
  </si>
  <si>
    <t>7 FINISHED- Code: 20190604/ROS/001682/00000541/007</t>
  </si>
  <si>
    <t>20190604/ROS/001682/00000541/007</t>
  </si>
  <si>
    <t>YATE HOCKER</t>
  </si>
  <si>
    <t>SAND OLEFIN 240 FIR (FOR SAMPLE USE SERVAL SAND)</t>
  </si>
  <si>
    <t>b/19062019/d5f4d81af794483b8df455688ed84e8f.jpg</t>
  </si>
  <si>
    <t>9.8</t>
  </si>
  <si>
    <t>11.3</t>
  </si>
  <si>
    <t>5 FINISHED- Code: 20190604/APO/001682/00000541/005</t>
  </si>
  <si>
    <t>20190604/APO/001682/00000541/005</t>
  </si>
  <si>
    <t>YATE LOUNGE BENCH (OPEN WEAVE SEATING)</t>
  </si>
  <si>
    <t xml:space="preserve">1. Ngo Duy Hung(04-06-2019 11:08:57)
SEATING IN OPEN WEAVE
PLEASE ENSURE SAMPLE PASSING EUROPEAN STANDARD
</t>
  </si>
  <si>
    <t>b/19062019/d0bce980f7d6444086165ea082059590.jpg</t>
  </si>
  <si>
    <t>227</t>
  </si>
  <si>
    <t>2 FINISHED- Code: 20190604/APO/001682/00000541/002</t>
  </si>
  <si>
    <t>20190604/APO/001682/00000541/002</t>
  </si>
  <si>
    <t>YATE LOUNGE CHAIR (OPEN WEAVE SEATING)</t>
  </si>
  <si>
    <t>8/19062019/9447c29c8e7d4c88acce2999f1271ba0.jpg</t>
  </si>
  <si>
    <t>29.5</t>
  </si>
  <si>
    <t>3 FINISHED- Code: 20190604/APO/001682/00000541/003</t>
  </si>
  <si>
    <t>20190604/APO/001682/00000541/003</t>
  </si>
  <si>
    <t>c/04102018/2fd8fa754abc42ae9ba4779cc773f2c1.jpg</t>
  </si>
  <si>
    <t>YATE LOUNGE TABLE</t>
  </si>
  <si>
    <t>d/19062019/dcf83fd5d0be41b581425dbb5d15dc27.jpg</t>
  </si>
  <si>
    <t>23.2</t>
  </si>
  <si>
    <t>25.2</t>
  </si>
  <si>
    <t>4 FINISHED- Code: 20190604/APO/001682/00000541/004</t>
  </si>
  <si>
    <t>20190604/APO/001682/00000541/004</t>
  </si>
  <si>
    <t>SANT MIGUEL DINING SET</t>
  </si>
  <si>
    <t>1 CREATED- Code: 20190604/XXX/909901/00000542/001</t>
  </si>
  <si>
    <t>20190604/XXX/909901/00000542/001</t>
  </si>
  <si>
    <t>0/05062019/e0aa05f0144e46edb794cf6c15961e4d.jpg</t>
  </si>
  <si>
    <t>DELHI LOUNGE CHAIR K.D WITH ARMREST BLACK &amp; WHITE</t>
  </si>
  <si>
    <t>7/25062019/aa770cc95ac24c47b77d73939df3dcf4.jpg</t>
  </si>
  <si>
    <t>PI 42371VN</t>
  </si>
  <si>
    <t>1 FINISHED- Code: 20190605/PAL/001260/00000543/001</t>
  </si>
  <si>
    <t>20190605/PAL/001260/00000543/001</t>
  </si>
  <si>
    <t>0/07052019/85553c83986e44f9a9e3222945c9fd5f.jpg</t>
  </si>
  <si>
    <t>2019-08-02</t>
  </si>
  <si>
    <t xml:space="preserve">ABLIST NESTING  TABLES (SET OF 3) (1071)</t>
  </si>
  <si>
    <t xml:space="preserve">1. (18-07-2019 07:15:48)
+ 1 SET FOR TRANSIT TEST, COMPLETE PACKAGING ISTA 1C BEFORE SENDING TO AVT SHOWROOM
+ 1 SET FOR QUALITY TEST
+  FACTORY TO CHECK THE LATEST CALL OUT AS ATTACHED AND FOLLOW STRICTLY BEFORE SENDING SAMPLE TO SHOWROOM FOR TESTING
</t>
  </si>
  <si>
    <t>b/23082019/6091894ffbbc46c980afea69ee401b74.jpg</t>
  </si>
  <si>
    <t>2019-06-20</t>
  </si>
  <si>
    <t>AVT SHOWROOM</t>
  </si>
  <si>
    <t>24 FINISHED- Code: 20190718/PAL/001071/00000544/024</t>
  </si>
  <si>
    <t>20190718/PAL/001071/00000544/024</t>
  </si>
  <si>
    <t>5/31072019/32662440110148e8be0cb696ac3b6e3f.jpg</t>
  </si>
  <si>
    <t>BERN DINING CHAIR (1071)</t>
  </si>
  <si>
    <t xml:space="preserve">1. (18-07-2019 06:38:45)
+ 2PC FOR TRANSIT TEST, COMPLETE PACKAGING ISTA 1C BEFORE SENDING TO AVT SHOWROOM
+ 1PC FOR QUALITY TEST
+ SAMPLE TO IMPROVE THE CALLS-OUT AS CLIENT'S REPORT ATTACHED.
</t>
  </si>
  <si>
    <t>d/12092019/d338e0ff9e5d4a55833d36ac8a5d43d0.jpg</t>
  </si>
  <si>
    <t>16 ISSUED- Code: 20190718/PAI/001071/00000544/016</t>
  </si>
  <si>
    <t>20190718/PAI/001071/00000544/016</t>
  </si>
  <si>
    <t>e/06062019/b9bf6c92cb0d4552a12f9fb105dd89ee.jpg</t>
  </si>
  <si>
    <t>BETIS LOUNGE BENCH 2 SEATER KD (1071)</t>
  </si>
  <si>
    <t xml:space="preserve">1. (06-06-2019 11:03:56)
+ 1PC FOR TRANSIT TEST, PACKING REMAINS AS SS 18/19.
+ 1PC FOR QUALITY TEST.
</t>
  </si>
  <si>
    <t>6/21062019/1123baf9d0c14f52bffffcef92817df8.jpg</t>
  </si>
  <si>
    <t>14 FINISHED- Code: 20190606/PAI/001071/00000544/014</t>
  </si>
  <si>
    <t>20190606/PAI/001071/00000544/014</t>
  </si>
  <si>
    <t>5/06062019/980ed3d589b54a57bbb838c09d0ead43.jpg</t>
  </si>
  <si>
    <t>BETIS LOUNGE CHAIR KD (1071)</t>
  </si>
  <si>
    <t xml:space="preserve">1. (06-06-2019 10:52:55)
+ 1PC FOR TRANSIT TEST, PACKAGING AS SS 18/19
</t>
  </si>
  <si>
    <t>5/11062019/75894777bb7943319702533eca3676b9.jpg</t>
  </si>
  <si>
    <t>13 FINISHED- Code: 20190606/PAL/001071/00000544/013</t>
  </si>
  <si>
    <t>20190606/PAL/001071/00000544/013</t>
  </si>
  <si>
    <t>7/06062019/d48a1717f95842bba8f6c6af51709549.jpg</t>
  </si>
  <si>
    <t>BETIS LOUNGE CORNER KD (1071)</t>
  </si>
  <si>
    <t xml:space="preserve">1. (06-06-2019 11:08:01)
+ 1PC FOR TRANSIT TEST, PACKING REMAINS AS SS 18/19
</t>
  </si>
  <si>
    <t>0/11062019/6e91a27736e149cbae29328f1354ddbe.jpg</t>
  </si>
  <si>
    <t>15 FINISHED- Code: 20190606/PAL/001071/00000544/015</t>
  </si>
  <si>
    <t>20190606/PAL/001071/00000544/015</t>
  </si>
  <si>
    <t>b/06062019/2eef43c144ae420ca40fccad57ceee69.jpg</t>
  </si>
  <si>
    <t>BETIS LOUNGE TABLE (1071)</t>
  </si>
  <si>
    <t xml:space="preserve">1. (06-06-2019 11:14:25)
+ 1PC FOR TRANSIT TEST, PACKING REMAINS AS SS 18/19
</t>
  </si>
  <si>
    <t>2/11062019/cf86af4edbe346b79660fa5001627767.jpg</t>
  </si>
  <si>
    <t>16 FINISHED- Code: 20190606/PAL/001071/00000544/016</t>
  </si>
  <si>
    <t>20190606/PAL/001071/00000544/016</t>
  </si>
  <si>
    <t>6/29012019/6b0f1e7529fc4515b65143c9d567f6a9.jpg</t>
  </si>
  <si>
    <t xml:space="preserve">CANNA DINING CHAIR  (1071)</t>
  </si>
  <si>
    <t>OYSTER</t>
  </si>
  <si>
    <t xml:space="preserve">1. (18-07-2019 06:42:49)
+ 1PC FOR TRANSIT TEST, COMPLETE PACKAGING ISTA 1C BEFORE SENDING TO AVT SHOWROOM. PACK CAREFULLY TO PREVENT DAMAGE WHEN ARRIVED AVT.
+ 1 PC FOR QUALITY TEST
+ SAMPLE TO IMPROVE THE CALLS-OUT AS CLIENT'S REPORT ATTACHED.
</t>
  </si>
  <si>
    <t>17 ISSUED- Code: 20190718/APO/001071/00000544/017</t>
  </si>
  <si>
    <t>20190718/APO/001071/00000544/017</t>
  </si>
  <si>
    <t>9/06062019/b294c6c0375b4658a8b0e51c9b86f2e0.jpg</t>
  </si>
  <si>
    <t>CERVO CORNER PIECE (1071)</t>
  </si>
  <si>
    <t>AS LATEST RETAINED SAMPLE</t>
  </si>
  <si>
    <t xml:space="preserve">1. (06-06-2019 07:15:08)
+ 1PC FOR TRANSIT TEST, COMPLETE PACKING ISTA-1C BEFORE SENDING TO AVT.
+ 1PC FOR QUALITY TEST.
+ 2PCS SEAT CUSHION 28.5 X 28.5" FOR AIRFREIGHT TO U.S.
+ FOR PPM, LATEST RETAINED SAMPLE CAN BE USED.
</t>
  </si>
  <si>
    <t>5 ISSUED- Code: 20190606/APO/001071/00000544/005</t>
  </si>
  <si>
    <t>20190606/APO/001071/00000544/005</t>
  </si>
  <si>
    <t>7/06062019/ece5f653dfe84b078b0325852ceae8c2.jpg</t>
  </si>
  <si>
    <t>CERVO HOCKER (1071)</t>
  </si>
  <si>
    <t>SERVAL ANTRACITE 240</t>
  </si>
  <si>
    <t xml:space="preserve">1. (06-06-2019 07:03:52)
+ 1PC FOR TRANSIT TEST, COMPLETE PACKING ISTA-1C BEFORE SENDING TO AVT.
+ 1PC FOR QUALITY TEST.
+ 2PCS SEAT CUSHION FOR AIRFREIGHT TO U.S. ADJUST OVERALL HEIGHT TO BE SAME AS CORNER &amp; MIDDLE CHAIR.
</t>
  </si>
  <si>
    <t>3 ISSUED- Code: 20190606/APO/001071/00000544/003</t>
  </si>
  <si>
    <t>20190606/APO/001071/00000544/003</t>
  </si>
  <si>
    <t>a/06062019/0ec485253b03420c86f3f06b9b62bfb6.jpg</t>
  </si>
  <si>
    <t>CERVO MIDDLE PIECE (1071)</t>
  </si>
  <si>
    <t xml:space="preserve">1. (06-06-2019 06:56:30)
+ 1PC FOR TRANSIT TEST, COMPLETE PACKING ISTA-1C BEFORE SENDING TO AVT.
+ 1PC FOR QUALITY TEST.
+ 2PCS SEAT CUSHION 28.5 X 28.5" FOR AIRFREIGHT TO U.S
+ FOR PPM, LATEST RETAINED SAMPLE CAN BE USED.
</t>
  </si>
  <si>
    <t>2 ISSUED- Code: 20190606/APO/001071/00000544/002</t>
  </si>
  <si>
    <t>20190606/APO/001071/00000544/002</t>
  </si>
  <si>
    <t>1/06062019/991c5b81a99640808706f53089f56528.jpg</t>
  </si>
  <si>
    <t>DELHI DINING ARMCHAIR CHUNKY LEG (1071)</t>
  </si>
  <si>
    <t>ROUNDED FLAT 7MM</t>
  </si>
  <si>
    <t>WIRE BRUSHED BROWN WASH 1071</t>
  </si>
  <si>
    <t xml:space="preserve">1. (06-06-2019 07:39:34)
+ 2PCS FOR TRANSIT TEST, COMPLETE PACKING ISTA-1C BEFORE SENDING TO AVT.
+ 1PC FOR QUALITY TEST.
+ FOR PPM, LATEST RETAINED SAMPLE CAN BE USED.
</t>
  </si>
  <si>
    <t>f/19062019/4d734ddfa53b4a76afb73055542d7b9d.jpg</t>
  </si>
  <si>
    <t>8 FINISHED- Code: 20190606/PAL/001071/00000544/008</t>
  </si>
  <si>
    <t>20190606/PAL/001071/00000544/008</t>
  </si>
  <si>
    <t>9/06062019/7495bec9b3ba492799800a4a92903119.jpg</t>
  </si>
  <si>
    <t>DELHI LOUNGE CHAIR STRAP CHARCOAL 1071 (SWATCH ONLY)</t>
  </si>
  <si>
    <t xml:space="preserve">1. (06-06-2019 09:57:04)
WICKER SWATCH: STRAP 25MM CHARCOAL 30.5X30.5CM FOR CHEMICAL TEST &amp; FOR BUYER - 9PCS
</t>
  </si>
  <si>
    <t>7/11062019/6027984d3a4e4f1d89fb42e6c05b6c63.jpg</t>
  </si>
  <si>
    <t>9 FINISHED- Code: 20190606/TEC/001071/00000544/009</t>
  </si>
  <si>
    <t>20190606/TEC/001071/00000544/009</t>
  </si>
  <si>
    <t>1/06062019/2925f9c8c70142818df06397c0fc17e0.jpg</t>
  </si>
  <si>
    <t>DELHI LOUNGE CHAIR STRAP WHITE 1071</t>
  </si>
  <si>
    <t xml:space="preserve">1. (06-06-2019 07:20:08)
+ 1 PC FOR FULL QUALITY TEST
+ 2PCS FOR TRANSIT TEST (PACKING ISTA 1C AS SIMILAR PRODUCTION ITEM BEFORE SENDING SAMPLE TO SHOWROOM)
+ WICKER SWATCH: STRAP WHITE 25MM 30.5X30.5CM FOR CHEMICAL TEST &amp; FOR BUYER - 9PCS-DONE
+ ACACIA SWATCH: TEAK LOOK 30.5X30.5CM FOR CHEMICAL TEST &amp; FOR BUYER - 9PCS-DONE
</t>
  </si>
  <si>
    <t>4/11062019/5de355cda1564d8bb020a38792d66eb0.jpg</t>
  </si>
  <si>
    <t>6 FINISHED- Code: 20190606/TEC/001071/00000544/006</t>
  </si>
  <si>
    <t>20190606/TEC/001071/00000544/006</t>
  </si>
  <si>
    <t>c/18072019/3ab1773142f64134a0c42aa8f8940048.jpg</t>
  </si>
  <si>
    <t>LENCO LOUNGE CHAIR (1071) + 2M OF FABRIC + 30 ZIPPER HEAD + 30 ZIPPER CHAIN</t>
  </si>
  <si>
    <t xml:space="preserve">LIGHT  BAMBOO</t>
  </si>
  <si>
    <t xml:space="preserve">1. (18-07-2019 06:00:25)
+ 1 PC FOR TRANSIT TEST, COMPLETE PACKAGING ISTA 1C BEFORE SENDING TO AVT SHOWROOM. PACK CAREFULLY TO PREVENT DAMAGE WHEN ARRIVED AVT. 
+ 1 PC FOR QUALITY TEST
+ 30 ZIPPER HEAD, 30 ZIPPER CHAIN, 2 METERS OF ROYAL RIBBON ECRU FABRIC FOR TESTING
+ SAMPLE TO IMPROVE CALLS-OUT AS CLIENT'S REPORT ATTACHED.
</t>
  </si>
  <si>
    <t>16 ISSUED- Code: 20190718/APO/001071/00000544/016</t>
  </si>
  <si>
    <t>20190718/APO/001071/00000544/016</t>
  </si>
  <si>
    <t>b/25072019/4924e3adea0242528651c96a42ade718.jpg</t>
  </si>
  <si>
    <t>2019-07-30</t>
  </si>
  <si>
    <t>MELTON LOUNGE BENCH-KD (1071) + 1 FULL SET CUSHION + 30 ZIPPER HEAD + 30 ZIPPER CHAIN + 2M OF FABRIC</t>
  </si>
  <si>
    <t>STEEL MATTE WHITE</t>
  </si>
  <si>
    <t>LIGHT GREY W193, NTP SUPPLIER</t>
  </si>
  <si>
    <t xml:space="preserve">1. (18-07-2019 07:06:50)
+ 1PC FOR TRANSIT TEST, COMPLETE PACKAGING ISTA 1C BEFORE SENDING TO AVT SHOWROOM
+ 1PC FOR QUALITY TEST
+ 30 ZIPPER HEAD, 30 ZIPPER CHAIN, 2 METERS OF FABRIC FOR TESTING
+ 1 FULL SET OF CUSHION (BACK AND SEAT) TO SEND CLIENT CHECKING
+ FACTORY TO CHECK CLIENT LATEST CALL OUT AS ATTACHED AND STRICTLY FOLLOW BEFORE SENDING SAMPLE FOR TESTING.
</t>
  </si>
  <si>
    <t>3/23082019/172a31729c6641cbadea7d0f3cf74e57.jpg</t>
  </si>
  <si>
    <t>22 FINISHED- Code: 20190718/PAL/001071/00000544/022</t>
  </si>
  <si>
    <t>20190718/PAL/001071/00000544/022</t>
  </si>
  <si>
    <t>3/31072019/5458fc038d7241cdac5952ca5f438d6d.jpg</t>
  </si>
  <si>
    <t>MELTON LOUNGE CHAIR-KD (1071) + 1 FULL SET OF CUSHION + 30 ZIPPER HEAD + 30 ZIPPER CHAIN + 2M OF FABRIC</t>
  </si>
  <si>
    <t xml:space="preserve">1. (18-07-2019 07:06:50)
+ 1PC FOR TRANSIT TEST, COMPLETE PACKAGING ISTA 1C BEFORE SENDING AVT SHOWROOM
+ 1PC FOR QUALITY TEST
+ 30 ZIPPER HEAD, 30 ZIPPER CHAIN, 2 METERS OF FABRIC FOR TESTING
+ FULL SET OF CUSHION (SEAT AND BACK CUSHION) SENDING SHOWROOM TO SEND CLIENT
+ FACTORY TO CHECK CLIENT LATEST CALL OUT AS ATTACHED AND STRICTLY FOLLOW BEFORE SENDING SAMPLE FOR TESTING.
</t>
  </si>
  <si>
    <t>d/23082019/d18aa1cc2f674d79959a4937a08a7a5b.jpg</t>
  </si>
  <si>
    <t>21 FINISHED- Code: 20190718/PAI/001071/00000544/021</t>
  </si>
  <si>
    <t>20190718/PAI/001071/00000544/021</t>
  </si>
  <si>
    <t>c/12042019/fa1d412cb0994ad494c4507160a48e46.jpg</t>
  </si>
  <si>
    <t>MELTON LOUNGE TABLE-KD (1071)</t>
  </si>
  <si>
    <t xml:space="preserve">1. (18-07-2019 07:15:48)
+ 1PC FOR TRANSIT TEST, COMPLETE PACKAGING ISTA 1C BEFORE SENDING TO AVT SHOWROOM
+ 1PC FOR QUALITY TEST
+ FACTORY TO CHECK CLIENT LATEST CALL OUT AS ATTACHED AND STRICTLY FOLLOW BEFORE SENDING SAMPLE FOR TESTING.
</t>
  </si>
  <si>
    <t>7/23082019/dece84b5973342df926f33c04aaa7671.jpg</t>
  </si>
  <si>
    <t>23 FINISHED- Code: 20190718/PAI/001071/00000544/023</t>
  </si>
  <si>
    <t>20190718/PAI/001071/00000544/023</t>
  </si>
  <si>
    <t>a/22032018/65676bc310bc438f9d804f58cf2a2d6e.jpg</t>
  </si>
  <si>
    <t>PONTE DINING CHAIR WOODEN LEGS 67X55X86 CM (1071)</t>
  </si>
  <si>
    <t>HR 7MM &amp; ROUND 5MM</t>
  </si>
  <si>
    <t>KOBO GREY</t>
  </si>
  <si>
    <t xml:space="preserve">1. (18-07-2019 09:59:40)
+ 1PC FOR TRANSIT TEST, COMPLETE PACKAGING ISTA 1C AS LAST SEASON BEFORE SENDING AVT SHOWROOM
+ 1PC FOR QUALITY TEST
</t>
  </si>
  <si>
    <t>8/19082019/8d19183cd4564045ba6dcd1adc2e7895.jpg</t>
  </si>
  <si>
    <t>29 FINISHED- Code: 20190718/ROS/001071/00000544/029</t>
  </si>
  <si>
    <t>20190718/ROS/001071/00000544/029</t>
  </si>
  <si>
    <t>a/07082019/92262725b0fc45c9ab24a955bf4b1d8e.jpg</t>
  </si>
  <si>
    <t>TANANARIVE DINING CHAIR (1071)</t>
  </si>
  <si>
    <t>BLACK / OFF WHITE</t>
  </si>
  <si>
    <t>WILL PROVIDE LATER</t>
  </si>
  <si>
    <t xml:space="preserve">1. (18-07-2019 06:49:55)
+ 1PC FOR TRANSIT TEST, COMPLETE PACKAGING ISTA1C BEFORE SENDING AVT SHOWROOM
+ 1PC FOR QUALITY TEST
+ PLEASE CHECK ATTACHED FOR CLIENT CALL-OUT AND FOLLOW, FOR LEG FINISHING, WILL SEND TO PAL FINISH AFTER CLIENT APPROVED THE SWATCH
</t>
  </si>
  <si>
    <t>b/23082019/7320b71ac9ac440e80bcd3ffd675e695.jpg</t>
  </si>
  <si>
    <t>20 FINISHED- Code: 20190718/PAL/001071/00000544/020</t>
  </si>
  <si>
    <t>20190718/PAL/001071/00000544/020</t>
  </si>
  <si>
    <t>9/29012019/5f704916979a4f1d9541dfdbac6f75d2.jpg</t>
  </si>
  <si>
    <t>2019-07-31</t>
  </si>
  <si>
    <t>VELTIS DINING BENCH (1071)</t>
  </si>
  <si>
    <t xml:space="preserve">1. (18-07-2019 06:46:54)
+ 1PC FOR TRANSIT TEST, COMPLETE PACKAGING 1C BEFORE SENDING TO AVT SHOWROOM
+ 1PC FOR QUALITY TEST
+ PLEASE CHECK ATTACHED FOR LATEST RECAP AND FOLLOW ACCORDINGLY
</t>
  </si>
  <si>
    <t>a/09082019/ab2a6a8086c24a428524b1451f18d76a.jpg</t>
  </si>
  <si>
    <t>19 ISSUED- Code: 20190718/APH/001071/00000544/019</t>
  </si>
  <si>
    <t>20190718/APH/001071/00000544/019</t>
  </si>
  <si>
    <t>a/29012019/17fa7ed626f4487292832a25e4acb200.jpg</t>
  </si>
  <si>
    <t>VELTIS DINING TABLE (1071)</t>
  </si>
  <si>
    <t xml:space="preserve">1. (18-07-2019 06:46:54)
+ 1PC FOR TRANSIT TEST, COMPLETE PACKAGING ISTA 1C BEFORE SENDING TO AVT SHOWROOM
+ 1PC FOR QUALITY TEST
+ PLEASE CHECK THE ATTACHED FOR LATEST CALL OUT AND FOLLOW ACCORDINGLY
</t>
  </si>
  <si>
    <t>8/09082019/2988e2a8889f4ddaa321729d36113616.jpg</t>
  </si>
  <si>
    <t>18 ISSUED- Code: 20190718/APH/001071/00000544/018</t>
  </si>
  <si>
    <t>20190718/APH/001071/00000544/018</t>
  </si>
  <si>
    <t>VITERBO SQUARED PLANTERS (ZINC SWATCH ONLY - SIZED 30.5 X 30.5CM)</t>
  </si>
  <si>
    <t>ZINC</t>
  </si>
  <si>
    <t>FULL PANEL</t>
  </si>
  <si>
    <t xml:space="preserve">1. (18-07-2019 09:49:36)
+ PREPARE 8 SWATCHES FOR LEAD TEST &amp; FOR CLIENT'S APPROVAL (SIZE: 30.5 X 30.5CM)
</t>
  </si>
  <si>
    <t>26 ISSUED- Code: 20190718/PAL/001071/00000544/026</t>
  </si>
  <si>
    <t>20190718/PAL/001071/00000544/026</t>
  </si>
  <si>
    <t>9/07062019/5e4b37a63d304aeaa1bf4bda88d4e3f6.jpg</t>
  </si>
  <si>
    <t>6/20062019/401113fe50c74b399cf1cce3996e82fc.jpg</t>
  </si>
  <si>
    <t>2019-06-24</t>
  </si>
  <si>
    <t>LEEN BAKKER NEDERLAND B.V.</t>
  </si>
  <si>
    <t>6 FINISHED- Code: 20190607/APO/000902/00000545/006</t>
  </si>
  <si>
    <t>20190607/APO/000902/00000545/006</t>
  </si>
  <si>
    <t>8/11062019/eab6f9f1d28c45b191581cb5a732adfb.jpg</t>
  </si>
  <si>
    <t>Bolzano adjustable lounge chair modern version</t>
  </si>
  <si>
    <t>b/22062019/8a5bc40546754628abb579a1f10a1540.jpg</t>
  </si>
  <si>
    <t>12 FINISHED- Code: 20190611/PAL/000902/00000545/012</t>
  </si>
  <si>
    <t>20190611/PAL/000902/00000545/012</t>
  </si>
  <si>
    <t>f/11062019/6bb4edbf45a64fe080e920f499b10528.jpg</t>
  </si>
  <si>
    <t>Bolzano lounge chair modern version</t>
  </si>
  <si>
    <t>0/22062019/cf9653ba105041ada4f6ab4dffc350ec.jpg</t>
  </si>
  <si>
    <t>11 FINISHED- Code: 20190611/PAL/000902/00000545/011</t>
  </si>
  <si>
    <t>20190611/PAL/000902/00000545/011</t>
  </si>
  <si>
    <t>1/07062019/6cef61943c234b6ba7889c42f8551ece.jpg</t>
  </si>
  <si>
    <t>CAPRI HIGH SKIRT</t>
  </si>
  <si>
    <t>5/22062019/2a0e8256b6e5488e8e4cacc0b55a7f0f.jpg</t>
  </si>
  <si>
    <t>10 FINISHED- Code: 20190607/PAL/000902/00000545/010</t>
  </si>
  <si>
    <t>20190607/PAL/000902/00000545/010</t>
  </si>
  <si>
    <t>c/07062019/37574b7809104446b7e38ba7019f6f60.jpg</t>
  </si>
  <si>
    <t>CERABON LOUNGE SET</t>
  </si>
  <si>
    <t>LIGHT BAMBOO LOOK</t>
  </si>
  <si>
    <t xml:space="preserve">2. An Huyen Cao(13-06-2019 16:54:18)
TD CERABON CHAIR
1. An Huyen Cao(13-06-2019 16:54:18)
TD CERABON LOUNGE BENCH 2.5 SEATER
</t>
  </si>
  <si>
    <t>e/21062019/aa0b517890c546a5b060c7c607f24aed.jpg</t>
  </si>
  <si>
    <t>78.5/78.5/100</t>
  </si>
  <si>
    <t>65/151/50</t>
  </si>
  <si>
    <t>89.5/89.5/41</t>
  </si>
  <si>
    <t>4/7.4/7.3</t>
  </si>
  <si>
    <t>4.5/8.4/7.8</t>
  </si>
  <si>
    <t>79.5/79.5/101</t>
  </si>
  <si>
    <t>66/152/51</t>
  </si>
  <si>
    <t>91/91/42</t>
  </si>
  <si>
    <t>8 FINISHED- Code: 20190607/APO/000902/00000545/008</t>
  </si>
  <si>
    <t>20190607/APO/000902/00000545/008</t>
  </si>
  <si>
    <t>f/07062019/2b8102681b3e40f7bef2151337844459.jpg</t>
  </si>
  <si>
    <t>CURACAO DINING TABLE 240x100</t>
  </si>
  <si>
    <t>POWER COATED</t>
  </si>
  <si>
    <t>c/22062019/624c08d142254d488b24d9aaa7190129.jpg</t>
  </si>
  <si>
    <t>9 FINISHED- Code: 20190607/PAL/000902/00000545/009</t>
  </si>
  <si>
    <t>20190607/PAL/000902/00000545/009</t>
  </si>
  <si>
    <t>c/07062019/2929996356de43c691a8fa1bde7fd3db.jpg</t>
  </si>
  <si>
    <t>MALANG DINING CHAIR</t>
  </si>
  <si>
    <t>b/21062019/80c2e044f65742d9a83a4c560305f534.jpg</t>
  </si>
  <si>
    <t>7 FINISHED- Code: 20190607/BIG/000902/00000545/007</t>
  </si>
  <si>
    <t>20190607/BIG/000902/00000545/007</t>
  </si>
  <si>
    <t>d/07062019/f2331890a2884daab5590ef1d7dbd502.jpg</t>
  </si>
  <si>
    <t>BMW-66-VHM</t>
  </si>
  <si>
    <t>OREGON LOUNGE SET PROMO</t>
  </si>
  <si>
    <t xml:space="preserve">1. Reinhard Jolie(07-06-2019 16:00:48)
Produce this set at Factory BMW. As they have similar set to ours.
</t>
  </si>
  <si>
    <t>o/20062019/2f481c4c099d453b84f57ad7e9a9daa2.jpeg</t>
  </si>
  <si>
    <t>8 ISSUED- Code: 20190607/BMW/000902/00000545/008</t>
  </si>
  <si>
    <t>20190607/BMW/000902/00000545/008</t>
  </si>
  <si>
    <t>e/17062019/b794df613642438d9282b15461a3fa2e.jpg</t>
  </si>
  <si>
    <t>PARLA STACKABLE LOUNGE CHAIR</t>
  </si>
  <si>
    <t xml:space="preserve">1. Vo Thi My Dieu(17-06-2019 12:55:43)
COLOR 'S FRAME SHOULD BE MATCHED WITH COLOR OF WICKER
</t>
  </si>
  <si>
    <t>7/20062019/8beee8628ede41ae91f5bcf540979b1a.jpg</t>
  </si>
  <si>
    <t>13 FINISHED- Code: 20190617/PAL/000902/00000545/013</t>
  </si>
  <si>
    <t>20190617/PAL/000902/00000545/013</t>
  </si>
  <si>
    <t>0/07062019/3e0654895f324542bb889683b9a9d5af.jpg</t>
  </si>
  <si>
    <t>SAFI CHAIR</t>
  </si>
  <si>
    <t xml:space="preserve">1. Reinhard Jolie(07-06-2019 16:00:48)
The original chair has been brought from the Netherlands. you can copy this chair one on one.
</t>
  </si>
  <si>
    <t>c/22062019/5cae37a6beaa4ce6b7629ed783bf1c79.jpg</t>
  </si>
  <si>
    <t>4 FINISHED- Code: 20190607/PAL/000902/00000545/004</t>
  </si>
  <si>
    <t>20190607/PAL/000902/00000545/004</t>
  </si>
  <si>
    <t>0/07062019/7382ecb8db2b496ba27c8778f42743dc.jpg</t>
  </si>
  <si>
    <t>TUNIS DINING CHAIR</t>
  </si>
  <si>
    <t xml:space="preserve">1. Reinhard Jolie(07-06-2019 15:25:12)
Original rattan chair has been brought by Pepijn from The Netherlands. You can copy this chair one on one.
</t>
  </si>
  <si>
    <t>4/20062019/49430d0ae5594371b91e8220072839ba.jpg</t>
  </si>
  <si>
    <t>5 FINISHED- Code: 20190607/PAL/000902/00000545/005</t>
  </si>
  <si>
    <t>20190607/PAL/000902/00000545/005</t>
  </si>
  <si>
    <t>c/07062019/f2006041b4534cd59db19a56b52f94b8.jpg</t>
  </si>
  <si>
    <t>WATES 2.0</t>
  </si>
  <si>
    <t xml:space="preserve">1. Reinhard Jolie(07-06-2019 15:25:12)
Original rattan chair has been brought from The Netherlands. You can copy this chair one on one.
</t>
  </si>
  <si>
    <t>9/20062019/15e9c7a5cf3c4642b1d07149b00ebec5.jpg</t>
  </si>
  <si>
    <t>6 FINISHED- Code: 20190607/PAL/000902/00000545/006</t>
  </si>
  <si>
    <t>20190607/PAL/000902/00000545/006</t>
  </si>
  <si>
    <t>1/07062019/845ed648016c48438ec708f670979094.jpg</t>
  </si>
  <si>
    <t>YATE BENCH + HOCKER</t>
  </si>
  <si>
    <t>4/22062019/4eed92dead1b4662ae8a68cf9748d5ad.jpg</t>
  </si>
  <si>
    <t>7 FINISHED- Code: 20190607/PAL/000902/00000545/007</t>
  </si>
  <si>
    <t>20190607/PAL/000902/00000545/007</t>
  </si>
  <si>
    <t>8/03052019/12233e520d114e41bc47c39ecac96267.jpg</t>
  </si>
  <si>
    <t>BILBAO ADJUSTABLE LOUNGE CHAIR (901101)</t>
  </si>
  <si>
    <t xml:space="preserve">1. (10-06-2019 12:07:12)
+ FOLLOW MEETING RECAP ATTACHED, ENSURE TO QUALIFY CONSTRUCTION TEST OF U.S MARKET.
</t>
  </si>
  <si>
    <t>U.S.A</t>
  </si>
  <si>
    <t>78.9</t>
  </si>
  <si>
    <t>78.4</t>
  </si>
  <si>
    <t>2 ISSUED- Code: 20190610/APO/901101/00000546/002</t>
  </si>
  <si>
    <t>20190610/APO/901101/00000546/002</t>
  </si>
  <si>
    <t>d/10062019/e5caf45d316b4787a396ccd3a0f2bf31.jpg</t>
  </si>
  <si>
    <t>DELHI ARMCHAIR KD (901101)</t>
  </si>
  <si>
    <t>BLACK AND WHITE WEAVING PATTERN (901101)</t>
  </si>
  <si>
    <t xml:space="preserve">1. (10-06-2019 12:29:09)
SAMPLE AVAILABLE AT AVT
</t>
  </si>
  <si>
    <t>4 CREATED- Code: 20190610/PAL/901101/00000546/004</t>
  </si>
  <si>
    <t>20190610/PAL/901101/00000546/004</t>
  </si>
  <si>
    <t>1/03052019/6fac5fca4add4956a9fecb630163f040.jpg</t>
  </si>
  <si>
    <t>LENCO PROMO SET WITH MELFORT NESTED TABLES (901101)</t>
  </si>
  <si>
    <t>LGIHT BAMBOO</t>
  </si>
  <si>
    <t xml:space="preserve">1. (10-06-2019 11:58:23)
+ LENCO SET INCLUDES: 1 LOUNGE BENCH + 2 LOUNGE CHAIRS.
+ MELFORT TABLES: SMALL SIZE DIA. 54 X H35CM / BIG SIZE DIA. 59 X H40CM. ENSURE TO QUALIFY U.S CONSTRUCTION TEST (CONTACT MANCHO / THINH FOR PROTOCOL).
+ 1 SET FOR AIRFREIGHT &amp; 1 SET FOR RETAIN.
</t>
  </si>
  <si>
    <t>b/18062019/42a6e00762684916b60ed12284bfbc83.jpg</t>
  </si>
  <si>
    <t>1 SET PER BOX</t>
  </si>
  <si>
    <t>171</t>
  </si>
  <si>
    <t>1 FINISHED- Code: 20190610/APO/901101/00000546/001</t>
  </si>
  <si>
    <t>20190610/APO/901101/00000546/001</t>
  </si>
  <si>
    <t>6/03052019/2c870550092842e58ece3833e836ba93.jpg</t>
  </si>
  <si>
    <t>TAHITI ROCKING CHAIR (901101)</t>
  </si>
  <si>
    <t xml:space="preserve">1. (10-06-2019 12:29:09)
SAMPLE AVAILABLE IN AVT
</t>
  </si>
  <si>
    <t>3 CREATED- Code: 20190610/BIG/901101/00000546/003</t>
  </si>
  <si>
    <t>20190610/BIG/901101/00000546/003</t>
  </si>
  <si>
    <t>2019-06-30</t>
  </si>
  <si>
    <t>d/17072019/f92d1eeccb944e26b16b970c4271567e.jpg</t>
  </si>
  <si>
    <t>SPOGA (CURRENT COLLECTION)</t>
  </si>
  <si>
    <t>SPOGA 2019</t>
  </si>
  <si>
    <t>10 FINISHED- Code: 20190613/APO/000002/00000547/010</t>
  </si>
  <si>
    <t>20190613/APO/000002/00000547/010</t>
  </si>
  <si>
    <t>b/25122018/9b8708bdf0204e8abc0c2cbbb75366b1.jpg</t>
  </si>
  <si>
    <t>ANTIGUA DINING TABLE 250X100X78CM</t>
  </si>
  <si>
    <t xml:space="preserve">1. (14-06-2019 13:55:08)
AS LESS POSSIBLE LAMINATION ON TOP
</t>
  </si>
  <si>
    <t>2/28062019/ecaa2386abcd45d8916861d709953312.jpg</t>
  </si>
  <si>
    <t>80 FINISHED- Code: 20190614/ROS/000002/00000547/080</t>
  </si>
  <si>
    <t>20190614/ROS/000002/00000547/080</t>
  </si>
  <si>
    <t xml:space="preserve">1. (14-06-2019 13:47:34)
MAKE LEGS SMALLER/ROUNDED
</t>
  </si>
  <si>
    <t>5/23072019/a406557681844586ab2e0c1130376121.jpg</t>
  </si>
  <si>
    <t>54 FINISHED- Code: 20190614/PAL/000002/00000547/054</t>
  </si>
  <si>
    <t>20190614/PAL/000002/00000547/054</t>
  </si>
  <si>
    <t>3/04072019/20225f0974564a8b93fd8d6c68b7c126.jpg</t>
  </si>
  <si>
    <t>95 FINISHED- Code: 20190614/DAN/000002/00000547/095</t>
  </si>
  <si>
    <t>20190614/DAN/000002/00000547/095</t>
  </si>
  <si>
    <t>8/19122018/ddda189b717b4288a91615c45b13977c.jpg</t>
  </si>
  <si>
    <t>POWDER COATED OKER</t>
  </si>
  <si>
    <t xml:space="preserve">1. (14-06-2019 09:17:52)
NO WICKER ROPE ON ARM
</t>
  </si>
  <si>
    <t>7/15072019/74edee5ed35c4b5083508cf394bf1e3c.jpg</t>
  </si>
  <si>
    <t>23 FINISHED- Code: 20190614/PAL/000002/00000547/023</t>
  </si>
  <si>
    <t>20190614/PAL/000002/00000547/023</t>
  </si>
  <si>
    <t>POWDER COATED TERRACOTTA</t>
  </si>
  <si>
    <t>5/15072019/6d44663232f4465eb10ecf0abde41925.jpg</t>
  </si>
  <si>
    <t>24 FINISHED- Code: 20190614/PAL/000002/00000547/024</t>
  </si>
  <si>
    <t>20190614/PAL/000002/00000547/024</t>
  </si>
  <si>
    <t>o/21062019/fd608974f5554e2abae8edff8a509a49.JPEG</t>
  </si>
  <si>
    <t>14.2</t>
  </si>
  <si>
    <t>94 FINISHED- Code: 20190614/DAN/000002/00000547/094</t>
  </si>
  <si>
    <t>20190614/DAN/000002/00000547/094</t>
  </si>
  <si>
    <t>7/13062019/40c9657abcff424286072b3c3d06f2e4.jpg</t>
  </si>
  <si>
    <t>BARBADOS LOUNGE CORNER SET 3PCS (LEFT ARM, RIGHT ARM, CORNER TABLE 83X83X24CM)</t>
  </si>
  <si>
    <t>8/17072019/afe3bf8559c34d119abbe4182328a562.jpg</t>
  </si>
  <si>
    <t>1 FINISHED- Code: 20190613/PAL/000002/00000547/001</t>
  </si>
  <si>
    <t>20190613/PAL/000002/00000547/001</t>
  </si>
  <si>
    <t>2/28032018/8f05887ae43945838f883e8a3c131a38.jpg</t>
  </si>
  <si>
    <t>BARCELONA LOUNGE SET 3PCS (2X CHAIR, 1X LOUNGE TABLE 100X100X35CM)</t>
  </si>
  <si>
    <t>9/09072019/86fa6e45f77d472f972f816387a78695.jpg</t>
  </si>
  <si>
    <t>71 FINISHED- Code: 20190614/ROS/000002/00000547/071</t>
  </si>
  <si>
    <t>20190614/ROS/000002/00000547/071</t>
  </si>
  <si>
    <t>b/13062019/2ccd2f051a7f4912a4a8bca067ecedf6.jpg</t>
  </si>
  <si>
    <t>BETIS LOUNGE CORNER SET 5 PCS (CHAIR, BENCH, CORNER, 2X TABLE 80X80X42CM)</t>
  </si>
  <si>
    <t>8/10072019/ad6fdaabfb414fbe9c42e429e610a115.jpg</t>
  </si>
  <si>
    <t>5 FINISHED- Code: 20190613/PAL/000002/00000547/005</t>
  </si>
  <si>
    <t>20190613/PAL/000002/00000547/005</t>
  </si>
  <si>
    <t>1/25122018/cead5aed65a5415686fe550f9b97046f.jpg</t>
  </si>
  <si>
    <t>BILBAO ADJUSTABLE DINING CHAIR</t>
  </si>
  <si>
    <t>6/28062019/eb9874960c614a2fb786fe96ea652133.jpg</t>
  </si>
  <si>
    <t>64 FINISHED- Code: 20190614/PAL/000002/00000547/064</t>
  </si>
  <si>
    <t>20190614/PAL/000002/00000547/064</t>
  </si>
  <si>
    <t>9/25062019/cd1243f2fe9840e39e9dea4bdfa1dd38.jpg</t>
  </si>
  <si>
    <t>BILBAO ADJUSTABLE LOUNGE CORNER SET 4 PCS (1X ADJUSTABLE LEFT ARM, 1X ADJUSTABLE RIGHT ARM, 1X CORNER, 1X COLUMN TABLE 110X110X70 CM)</t>
  </si>
  <si>
    <t>b/28062019/2658b888794d4a62b5cff2495e38527e.jpg</t>
  </si>
  <si>
    <t>83/104/110</t>
  </si>
  <si>
    <t>132/173/110</t>
  </si>
  <si>
    <t>99/99/70</t>
  </si>
  <si>
    <t>42/20/24</t>
  </si>
  <si>
    <t>43.5/21.5/25</t>
  </si>
  <si>
    <t>84/105/111</t>
  </si>
  <si>
    <t>133/174/111</t>
  </si>
  <si>
    <t>101/101/22</t>
  </si>
  <si>
    <t>44 FINISHED- Code: 20190614/BIG/000002/00000547/044</t>
  </si>
  <si>
    <t>20190614/BIG/000002/00000547/044</t>
  </si>
  <si>
    <t>1/10102018/bfc04bd3a5cf4de4ba806535e91831ca.jpg</t>
  </si>
  <si>
    <t>BLAKES DINING TABLE 180X90X77CM</t>
  </si>
  <si>
    <t>4/02072019/97432062bcc840de8808d779b20314d9.jpg</t>
  </si>
  <si>
    <t>77 FINISHED- Code: 20190614/APH/000002/00000547/077</t>
  </si>
  <si>
    <t>20190614/APH/000002/00000547/077</t>
  </si>
  <si>
    <t>8/30032018/cc8fd857eb9341d195dcd672dd38a942.jpg</t>
  </si>
  <si>
    <t>BREST BUTLERTRAY 776 (62,5 X 40 CM)</t>
  </si>
  <si>
    <t>5/09072019/64cb6bd5171a4256bb6e0dbec5de2119.jpg</t>
  </si>
  <si>
    <t>110 FINISHED- Code: 20190614/ROS/000002/00000547/110</t>
  </si>
  <si>
    <t>20190614/ROS/000002/00000547/110</t>
  </si>
  <si>
    <t>8/10072019/6a084c6d7c764872a2e85e49f302dcce.jpg</t>
  </si>
  <si>
    <t>53 FINISHED- Code: 20190614/PAL/000002/00000547/053</t>
  </si>
  <si>
    <t>20190614/PAL/000002/00000547/053</t>
  </si>
  <si>
    <t>4/13062019/6c5bf93cd2bd4508aac3d406b98d090a.jpg</t>
  </si>
  <si>
    <t>CASABLANCA LOUNGE SET (1X LEFT ARM, 1X RIGHT ARM, 2X HOCKER 80X60X26CM)</t>
  </si>
  <si>
    <t>POWDER COATED MATT BLACK</t>
  </si>
  <si>
    <t xml:space="preserve">1. (13-06-2019 14:03:10)
CUSHION: NO STITCHING !
</t>
  </si>
  <si>
    <t>4/11072019/3189e1fee4024c99ab0082ea09af16f1.jpg</t>
  </si>
  <si>
    <t>12 FINISHED- Code: 20190613/APO/000002/00000547/012</t>
  </si>
  <si>
    <t>20190613/APO/000002/00000547/012</t>
  </si>
  <si>
    <t>b/10072019/8e40df6897d04f87b7daad626fe802b8.jpg</t>
  </si>
  <si>
    <t>95.5/95.5/100</t>
  </si>
  <si>
    <t>158/95.5/100</t>
  </si>
  <si>
    <t>74/74/49</t>
  </si>
  <si>
    <t>42.5/29/8</t>
  </si>
  <si>
    <t>93/44</t>
  </si>
  <si>
    <t>98.5/100</t>
  </si>
  <si>
    <t>181.5/100</t>
  </si>
  <si>
    <t>110/123</t>
  </si>
  <si>
    <t>42 FINISHED- Code: 20190614/BIG/000002/00000547/042</t>
  </si>
  <si>
    <t>20190614/BIG/000002/00000547/042</t>
  </si>
  <si>
    <t>CERVO LOUNGE SET (2X CHAIR, 3 SEATER BENCH, TABLE)</t>
  </si>
  <si>
    <t>3/10072019/8c4d9a8bd3c54cb38339d53b5c5f99ef.jpg</t>
  </si>
  <si>
    <t>40.5/29/8</t>
  </si>
  <si>
    <t>98/103</t>
  </si>
  <si>
    <t>181/103</t>
  </si>
  <si>
    <t>41 FINISHED- Code: 20190614/BIG/000002/00000547/041</t>
  </si>
  <si>
    <t>20190614/BIG/000002/00000547/041</t>
  </si>
  <si>
    <t>4/04072019/4d4d0c6087ff486eb5362249d15e7ea1.jpg</t>
  </si>
  <si>
    <t>53/58</t>
  </si>
  <si>
    <t>38/58</t>
  </si>
  <si>
    <t>82/73</t>
  </si>
  <si>
    <t>3 items ( 1 set)/ box</t>
  </si>
  <si>
    <t>1 set/box</t>
  </si>
  <si>
    <t>86 FINISHED- Code: 20190614/DAN/000002/00000547/086</t>
  </si>
  <si>
    <t>20190614/DAN/000002/00000547/086</t>
  </si>
  <si>
    <t xml:space="preserve">1. (14-06-2019 13:47:34)
"WOODEN FRAME LESS VISIBLE UNDER TOP
LEGS MORE STRAIGHT"
</t>
  </si>
  <si>
    <t>c/02072019/f1068a4b705940a1ae6957340c34dd3a.jpg</t>
  </si>
  <si>
    <t>76 FINISHED- Code: 20190614/APH/000002/00000547/076</t>
  </si>
  <si>
    <t>20190614/APH/000002/00000547/076</t>
  </si>
  <si>
    <t>2/31082018/c6427b5a6dff4929b68d4185514e2127.jpg</t>
  </si>
  <si>
    <t>COSTA RICA LOUNGE SET 5PCS (CHAIR 2X, BENCH, MELFORT TABLE 60CM, MELFORT TABLE 40CM)</t>
  </si>
  <si>
    <t>b/02072019/4b00691df977400daf4c6c97f27728a1.jpg</t>
  </si>
  <si>
    <t>75/75/75/60/40</t>
  </si>
  <si>
    <t>160/75.5/75.5/60/40</t>
  </si>
  <si>
    <t>71.5/71.5/71.5/40/40</t>
  </si>
  <si>
    <t>26.2/13.7/4.4/2.4</t>
  </si>
  <si>
    <t>30.4/17.1/5.5/3</t>
  </si>
  <si>
    <t>158.5/78.5/78.5/63/43</t>
  </si>
  <si>
    <t>74.5/74.5/74.5/62/42</t>
  </si>
  <si>
    <t>28.5/34.5/34.5/9.7/9.7</t>
  </si>
  <si>
    <t>73 FINISHED- Code: 20190614/DAN/000002/00000547/073</t>
  </si>
  <si>
    <t>20190614/DAN/000002/00000547/073</t>
  </si>
  <si>
    <t>3/08082018/0e328685f79d4bacb8e3af94067fe540.jpg</t>
  </si>
  <si>
    <t>CUBA DINING TABLE 220CM</t>
  </si>
  <si>
    <t>ANTHRACITE - BLACK</t>
  </si>
  <si>
    <t xml:space="preserve">1. (14-06-2019 13:55:08)
IF POSSIBLE CERAMIC TOP
</t>
  </si>
  <si>
    <t>9/02072019/4a8a6f4809ee4b20aa292abfe49d61d6.jpg</t>
  </si>
  <si>
    <t>78 FINISHED- Code: 20190614/APH/000002/00000547/078</t>
  </si>
  <si>
    <t>20190614/APH/000002/00000547/078</t>
  </si>
  <si>
    <t>2/14062019/14bc1f893ec94ac6ae036c6d25056860.jpg</t>
  </si>
  <si>
    <t>DARWIN ADJUSTABLE DINING CHAIR</t>
  </si>
  <si>
    <t>HORIZONTAL STITCHING AND FLAT PIPING</t>
  </si>
  <si>
    <t>7/28062019/53fd9af4807248cf860a40e1801132a1.jpg</t>
  </si>
  <si>
    <t>63 FINISHED- Code: 20190614/PAL/000002/00000547/063</t>
  </si>
  <si>
    <t>20190614/PAL/000002/00000547/063</t>
  </si>
  <si>
    <t>9/20032018/25d2535624104dbcb48b9dbb59a4e7d2.jpg</t>
  </si>
  <si>
    <t>DELHI LOUNGE CHAIR</t>
  </si>
  <si>
    <t>9/04072019/122f1d010c8046d59432308a3460c2fb.jpg</t>
  </si>
  <si>
    <t>37 FINISHED- Code: 20190614/ROS/000002/00000547/037</t>
  </si>
  <si>
    <t>20190614/ROS/000002/00000547/037</t>
  </si>
  <si>
    <t>PATTERN WEAVING BLACK/OLIVE GREEN</t>
  </si>
  <si>
    <t>c/09072019/ca981174791f4bffacbad96c593f4959.jpg</t>
  </si>
  <si>
    <t>38 FINISHED- Code: 20190614/ROS/000002/00000547/038</t>
  </si>
  <si>
    <t>20190614/ROS/000002/00000547/038</t>
  </si>
  <si>
    <t>9/04102018/9868f473582d4d27bbbb9e4ac8cd45b8.jpg</t>
  </si>
  <si>
    <t>DOMINO DINING CHAIR</t>
  </si>
  <si>
    <t>RATTAN BROWN NATURAL</t>
  </si>
  <si>
    <t xml:space="preserve">2. An Huyen Cao(20-06-2019 16:28:03)
MAKE CUSHIONS IN SERVAL LIGHT BROWN TO SEND OUT TO EF
ADD EXTRA COVERS IN NATURAL SAND. CUSHION COVERS CAN BE SEND OUT LATER IF NEEDED BY AIRFREIGHT
1. (14-06-2019 13:47:34)
BACKLEGS ARE TOO MUCH BACKWARDS
</t>
  </si>
  <si>
    <t>5/28062019/946bbce9fd9246abba17cd945f0a9b85.jpg</t>
  </si>
  <si>
    <t>55 FINISHED- Code: 20190614/BIG/000002/00000547/055</t>
  </si>
  <si>
    <t>20190614/BIG/000002/00000547/055</t>
  </si>
  <si>
    <t>3/27082019/6f6dad375d6a4afc85209cc0c07a00b0.jpg</t>
  </si>
  <si>
    <t>EMPOLI ADJUSTABLE NEW</t>
  </si>
  <si>
    <t>ANTRACITE OLEFIN 240</t>
  </si>
  <si>
    <t>b/11072019/e5701ebc90964a7a93ca5fca297d9581.jpg</t>
  </si>
  <si>
    <t>65 FINISHED- Code: 20190614/APO/000002/00000547/065</t>
  </si>
  <si>
    <t>20190614/APO/000002/00000547/065</t>
  </si>
  <si>
    <t>5/27032018/c304021a1636495e85843e33ddb52e6d.jpg</t>
  </si>
  <si>
    <t>FLAMINGO DINING CHAIR</t>
  </si>
  <si>
    <t xml:space="preserve">1. (14-06-2019 13:47:34)
MAKE STACKABLE
</t>
  </si>
  <si>
    <t>5/10072019/27e8756159cd4407a55e3d80668a4795.jpg</t>
  </si>
  <si>
    <t>57 FINISHED- Code: 20190614/PAL/000002/00000547/057</t>
  </si>
  <si>
    <t>20190614/PAL/000002/00000547/057</t>
  </si>
  <si>
    <t>b/27032018/ee0c8605b2f04474aef65fef4d7325c7.jpg</t>
  </si>
  <si>
    <t>FLAMINGO DINING CHAIR WITH ARMREST</t>
  </si>
  <si>
    <t>4/10072019/4f0b35c634174e649e61dcc6dc8ac55a.jpg</t>
  </si>
  <si>
    <t>56 FINISHED- Code: 20190614/PAL/000002/00000547/056</t>
  </si>
  <si>
    <t>20190614/PAL/000002/00000547/056</t>
  </si>
  <si>
    <t>0/27032018/fdfd0a8af08b439d8f15af19705105c4.jpg</t>
  </si>
  <si>
    <t>FREDRIKSTAD DINING CHAIR</t>
  </si>
  <si>
    <t>0/27062019/19e9e3e648fd4989a7f9121a82fdbeda.jpg</t>
  </si>
  <si>
    <t>84 FINISHED- Code: 20190614/PAL/000002/00000547/084</t>
  </si>
  <si>
    <t>20190614/PAL/000002/00000547/084</t>
  </si>
  <si>
    <t>7/27062019/4e6dbec3b2e9483ba8d24d7d2bccca24.jpg</t>
  </si>
  <si>
    <t>82 FINISHED- Code: 20190614/PAL/000002/00000547/082</t>
  </si>
  <si>
    <t>20190614/PAL/000002/00000547/082</t>
  </si>
  <si>
    <t>7/27062019/fe7a6943a302466a9212bec9b59cd46c.jpg</t>
  </si>
  <si>
    <t>83 FINISHED- Code: 20190614/PAL/000002/00000547/083</t>
  </si>
  <si>
    <t>20190614/PAL/000002/00000547/083</t>
  </si>
  <si>
    <t xml:space="preserve">1. An Huyen Cao(20-06-2019 16:28:03)
MAKE CUSHIONS IN SERVAL LIGHT BROWN TO SEND OUT TO EF
ADD EXTRA COVERS IN NATURAL SAND. CUSHION COVERS CAN BE SEND OUT LATER IF NEEDED BY AIRFREIGHT
</t>
  </si>
  <si>
    <t>6/09072019/3bd0a860c70c426f82e644174c9956d7.jpg</t>
  </si>
  <si>
    <t>49 FINISHED- Code: 20190614/PAL/000002/00000547/049</t>
  </si>
  <si>
    <t>20190614/PAL/000002/00000547/049</t>
  </si>
  <si>
    <t xml:space="preserve">1. (14-06-2019 09:17:52)
CHECK COMFORTABLE BACK AS 1263 BACK
</t>
  </si>
  <si>
    <t>7/12072019/8d02a928735f412389f5aa02e3c55a1d.jpg</t>
  </si>
  <si>
    <t>28 FINISHED- Code: 20190614/PAL/000002/00000547/028</t>
  </si>
  <si>
    <t>20190614/PAL/000002/00000547/028</t>
  </si>
  <si>
    <t>e/12072019/bc75e6612d3f4fc181a4a72388b9cfb3.jpg</t>
  </si>
  <si>
    <t>27 FINISHED- Code: 20190614/PAL/000002/00000547/027</t>
  </si>
  <si>
    <t>20190614/PAL/000002/00000547/027</t>
  </si>
  <si>
    <t>4/09102018/113bb50938224380a32ec4ee67125d57.jpg</t>
  </si>
  <si>
    <t>IBIZA LOUNGE CORNER SET 4 PCS (1X ADJUSTABLE LEFT ARM, 1X ADJUSTABLE RIGHT ARM, 1X CORNER, 1X COLUMN TABLE 140X80X70CM)</t>
  </si>
  <si>
    <t>e/11072019/ba3ceb1d323d4121b2cc90eeb3b58390.jpg</t>
  </si>
  <si>
    <t>46 FINISHED- Code: 20190614/APO/000002/00000547/046</t>
  </si>
  <si>
    <t>20190614/APO/000002/00000547/046</t>
  </si>
  <si>
    <t>8/29082018/389babd71be540f689790d5e897856b3.jpg</t>
  </si>
  <si>
    <t>IBIZA LOUNGE SET 4 PCS (2X ADJUSTABLE CHAIR, 1X ADJUSTABLE 2 SEATER BENCH, 1X COLUMN TABLE 120X80X70 CM)</t>
  </si>
  <si>
    <t>c/11072019/5ad7223ecdb84991911b29ce6b4cf89b.jpg</t>
  </si>
  <si>
    <t>45 FINISHED- Code: 20190614/APO/000002/00000547/045</t>
  </si>
  <si>
    <t>20190614/APO/000002/00000547/045</t>
  </si>
  <si>
    <t>5/03072019/cb1367be8e2e4bee80c9bf916afb0a8e.jpg</t>
  </si>
  <si>
    <t>10.7</t>
  </si>
  <si>
    <t>12.4</t>
  </si>
  <si>
    <t>90 FINISHED- Code: 20190614/DAN/000002/00000547/090</t>
  </si>
  <si>
    <t>20190614/DAN/000002/00000547/090</t>
  </si>
  <si>
    <t>e/25122018/e48293a5da9e4c2a89aa0e842a1663df.jpg</t>
  </si>
  <si>
    <t>KENT LOUNGE BENCH 90X120X69,5CM</t>
  </si>
  <si>
    <t>ROYAL STONE GREEN 240</t>
  </si>
  <si>
    <t>3/10072019/ce46970e7b5b4f479273d7dd308f049c.jpg</t>
  </si>
  <si>
    <t>68 FINISHED- Code: 20190614/TEC/000002/00000547/068</t>
  </si>
  <si>
    <t>20190614/TEC/000002/00000547/068</t>
  </si>
  <si>
    <t>6/15102018/2adce8a0599c4cb7a540c24b8a294a80.jpg</t>
  </si>
  <si>
    <t>KENT LOUNGE CORNER SET 6PCS (2X CHAIR, CORNER, 2X HOCKER, TABLE ROUND BIG)</t>
  </si>
  <si>
    <t xml:space="preserve">1. (14-06-2019 13:47:34)
HOCKER, WOOD SAME HEIGHT AS SEAT BENCH
</t>
  </si>
  <si>
    <t>1/10072019/749d7e032345457893f1db5df03cbc61.jpg</t>
  </si>
  <si>
    <t>70 FINISHED- Code: 20190614/TEC/000002/00000547/070</t>
  </si>
  <si>
    <t>20190614/TEC/000002/00000547/070</t>
  </si>
  <si>
    <t>f/10072019/72108e7b43a942ccb375af32f32f90b6.jpg</t>
  </si>
  <si>
    <t>69 FINISHED- Code: 20190614/TEC/000002/00000547/069</t>
  </si>
  <si>
    <t>20190614/TEC/000002/00000547/069</t>
  </si>
  <si>
    <t>0/25122018/27443f668ed345eeb7e7cd2da6fc40be.jpg</t>
  </si>
  <si>
    <t>KRISTIANSTAD DINING CHAIR</t>
  </si>
  <si>
    <t>6/27062019/b7a52052ef3d4ac9b42d3e7c4d0b331c.jpg</t>
  </si>
  <si>
    <t>85 FINISHED- Code: 20190614/PAL/000002/00000547/085</t>
  </si>
  <si>
    <t>20190614/PAL/000002/00000547/085</t>
  </si>
  <si>
    <t>8/27032018/623df93e9abb4237997f5b32bf357483.jpg</t>
  </si>
  <si>
    <t>LARISSA DINING CHAIR</t>
  </si>
  <si>
    <t>3/17072019/be140b1131924ce7a0e6b8c6ba9138c6.jpg</t>
  </si>
  <si>
    <t>60 FINISHED- Code: 20190614/PAL/000002/00000547/060</t>
  </si>
  <si>
    <t>20190614/PAL/000002/00000547/060</t>
  </si>
  <si>
    <t>b/10102018/f53204e938414751b6a30073afde32a1.jpg</t>
  </si>
  <si>
    <t>0/12072019/7efaacf7bb5742208c80d27ce756210b.jpg</t>
  </si>
  <si>
    <t>43 FINISHED- Code: 20190614/PAL/000002/00000547/043</t>
  </si>
  <si>
    <t>20190614/PAL/000002/00000547/043</t>
  </si>
  <si>
    <t>e/04102018/a3d1e7c07d284ae6b85d4736239a40f5.jpg</t>
  </si>
  <si>
    <t>9/11072019/508beaa7beaa465cbf820e279c42363e.jpg</t>
  </si>
  <si>
    <t>34 FINISHED- Code: 20190614/APO/000002/00000547/034</t>
  </si>
  <si>
    <t>20190614/APO/000002/00000547/034</t>
  </si>
  <si>
    <t>2/04102018/48e622a2e5324871a699a80759bff871.jpg</t>
  </si>
  <si>
    <t>LORETTO DINING CHAIR</t>
  </si>
  <si>
    <t xml:space="preserve">1. An Huyen Cao(20-06-2019 16:28:02)
MAKE CUSHIONS IN SERVAL LIGHT BROWN TO SEND OUT TO EF
ADD EXTRA COVERS IN NATURAL SAND. CUSHION COVERS CAN BE SEND OUT LATER IF NEEDED BY AIRFREIGHT
</t>
  </si>
  <si>
    <t>6/14072019/e60e4a20100648ff9e36934dfe385026.jpg</t>
  </si>
  <si>
    <t>18 FINISHED- Code: 20190613/PAL/000002/00000547/018</t>
  </si>
  <si>
    <t>20190613/PAL/000002/00000547/018</t>
  </si>
  <si>
    <t>ROYAL BORDEAUX</t>
  </si>
  <si>
    <t>9/14072019/967c5cff9d644b6cbf33e46633a72ee8.jpg</t>
  </si>
  <si>
    <t>19 FINISHED- Code: 20190613/PAL/000002/00000547/019</t>
  </si>
  <si>
    <t>20190613/PAL/000002/00000547/019</t>
  </si>
  <si>
    <t>0/14072019/cbde4b6c165c4d859924303138cd22b9.jpg</t>
  </si>
  <si>
    <t>17 FINISHED- Code: 20190613/PAL/000002/00000547/017</t>
  </si>
  <si>
    <t>20190613/PAL/000002/00000547/017</t>
  </si>
  <si>
    <t>f/07102015/857da6ca0ea34322be0daf47500eec78.jpg</t>
  </si>
  <si>
    <t>LORIENT BENCH</t>
  </si>
  <si>
    <t>c/04072019/474667046ead43e19a5f6b6e0e7fb99f.jpg</t>
  </si>
  <si>
    <t>214</t>
  </si>
  <si>
    <t>218.5</t>
  </si>
  <si>
    <t>93 FINISHED- Code: 20190614/DAN/000002/00000547/093</t>
  </si>
  <si>
    <t>20190614/DAN/000002/00000547/093</t>
  </si>
  <si>
    <t>3/29032018/a9122248b88f486cbafe977587498783.jpg</t>
  </si>
  <si>
    <t>MARSEILLE DINING TABLE 180X90X76 CM</t>
  </si>
  <si>
    <t>3/09072019/45ae99e2b8f24492bb28736ee9c90af6.jpg</t>
  </si>
  <si>
    <t>79 FINISHED- Code: 20190614/ROS/000002/00000547/079</t>
  </si>
  <si>
    <t>20190614/ROS/000002/00000547/079</t>
  </si>
  <si>
    <t>a/13062019/e6be4d5cd5f24f0a9c596e519b3f0477.jpg</t>
  </si>
  <si>
    <t xml:space="preserve">2. An Huyen Cao(20-06-2019 16:28:02)
MAKE CUSHIONS IN SERVAL LIGHT BROWN TO SEND OUT TO EF
ADD EXTRA COVERS IN NATURAL SAND. CUSHION COVERS CAN BE SEND OUT LATER IF NEEDED BY AIRFREIGHT
1. (13-06-2019 14:03:10)
"IMPROVE CONNECTION LEGS (NOT VISIBLE + STABLE)
MAKE LEGS 3 CM SHORTER"
</t>
  </si>
  <si>
    <t>8/19072019/6f735655d0f3450db58917182eae56f5.jpg</t>
  </si>
  <si>
    <t>11 FINISHED- Code: 20190613/PAL/000002/00000547/011</t>
  </si>
  <si>
    <t>20190613/PAL/000002/00000547/011</t>
  </si>
  <si>
    <t>a/13062019/0179ad10553947ed8e4f9b9b01d96164.jpg</t>
  </si>
  <si>
    <t>MELBOURNE DINING SET 4 PCS (2X CHAIR, BENCH 180CM, TABLE 210X100X78CM)</t>
  </si>
  <si>
    <t>3/12072019/bed538fc6ca445499e6e8307e88ee22d.jpg</t>
  </si>
  <si>
    <t>8 FINISHED- Code: 20190613/PAL/000002/00000547/008</t>
  </si>
  <si>
    <t>20190613/PAL/000002/00000547/008</t>
  </si>
  <si>
    <t>2/30032018/ed25e79a63b94aad8146f4a693896cab.jpg</t>
  </si>
  <si>
    <t>MELFORT SIDE TABLE 40X40X40CM</t>
  </si>
  <si>
    <t>9/02072019/91c7a0dfbfa743bfa9c919f4aa2c2c61.jpg</t>
  </si>
  <si>
    <t>101 FINISHED- Code: 20190614/DAN/000002/00000547/101</t>
  </si>
  <si>
    <t>20190614/DAN/000002/00000547/101</t>
  </si>
  <si>
    <t>2/04102018/e59f7f593b9041bc982a6a7ae3eed119.jpg</t>
  </si>
  <si>
    <t>MELFORT SIDE TABLE 40X40X56CM</t>
  </si>
  <si>
    <t>7/02072019/1018231c342b4e5086b6d83e16ff9a28.jpg</t>
  </si>
  <si>
    <t>102 FINISHED- Code: 20190614/DAN/000002/00000547/102</t>
  </si>
  <si>
    <t>20190614/DAN/000002/00000547/102</t>
  </si>
  <si>
    <t>a/02072019/7da1bcc0bb8642d8a3f8f0e03da763b2.jpg</t>
  </si>
  <si>
    <t>100 FINISHED- Code: 20190614/DAN/000002/00000547/100</t>
  </si>
  <si>
    <t>20190614/DAN/000002/00000547/100</t>
  </si>
  <si>
    <t>8/02072019/a888dec27244414ea5bf5ed49c8d44bb.jpg</t>
  </si>
  <si>
    <t>99 FINISHED- Code: 20190614/DAN/000002/00000547/099</t>
  </si>
  <si>
    <t>20190614/DAN/000002/00000547/099</t>
  </si>
  <si>
    <t>1/13062019/c2b6386eda1a4b1faf01166217081e3f.jpg</t>
  </si>
  <si>
    <t>MELTON LOUNGE CORNER SET 3 PCS (LEFT ARM, RIGHT ARM, HIGH CORNER TABLE 140X80X72CM)</t>
  </si>
  <si>
    <t>6/12072019/135d9592faa843e7a6bf062baeafeb54.jpg</t>
  </si>
  <si>
    <t>3 FINISHED- Code: 20190613/PAL/000002/00000547/003</t>
  </si>
  <si>
    <t>20190613/PAL/000002/00000547/003</t>
  </si>
  <si>
    <t>6/13062019/4e1fc62d29d84adcaf3671292c084859.jpg</t>
  </si>
  <si>
    <t>MELTON LOUNGE SET 4PCS (2X CHAIR, 3-SEATER BENCH 193CM, TABLE 140X80X37,5CM)</t>
  </si>
  <si>
    <t>a/17072019/ba68665ed46c4c94bb4aefc24f946ab4.jpg</t>
  </si>
  <si>
    <t>2 FINISHED- Code: 20190613/PAL/000002/00000547/002</t>
  </si>
  <si>
    <t>20190613/PAL/000002/00000547/002</t>
  </si>
  <si>
    <t>0/29032018/ab8d6cdb338944ed9dbf1a6d44a11c8b.jpg</t>
  </si>
  <si>
    <t>MELUN FOLDING SET 3PCS (2X CHAIR, 1X TABLE 58X58X73CM)</t>
  </si>
  <si>
    <t>c/11072019/74c1f86bfdd0440493246efcff2f4864.jpg</t>
  </si>
  <si>
    <t>87 FINISHED- Code: 20190614/PAL/000002/00000547/087</t>
  </si>
  <si>
    <t>20190614/PAL/000002/00000547/087</t>
  </si>
  <si>
    <t>a/29032018/1613afdd809d4ea886b01fe071e31070.jpg</t>
  </si>
  <si>
    <t xml:space="preserve">1. (14-06-2019 14:12:05)
CHECK BACKREST  FOR COMFORT
</t>
  </si>
  <si>
    <t>0/11072019/714b2f4251f84fff813d46767a45332f.jpg</t>
  </si>
  <si>
    <t>88 FINISHED- Code: 20190614/PAL/000002/00000547/088</t>
  </si>
  <si>
    <t>20190614/PAL/000002/00000547/088</t>
  </si>
  <si>
    <t>b/11072019/01b7163df1774853953bd18b36dfad47.jpg</t>
  </si>
  <si>
    <t>89 FINISHED- Code: 20190614/PAL/000002/00000547/089</t>
  </si>
  <si>
    <t>20190614/PAL/000002/00000547/089</t>
  </si>
  <si>
    <t xml:space="preserve">1. (14-06-2019 13:47:34)
ADJUSTED LEGS, SHOULD BE 5CM MORE TO THE INSIDE
</t>
  </si>
  <si>
    <t>c/02072019/0f53f4a48b9f42c4a081c6ebb8c616e8.jpg</t>
  </si>
  <si>
    <t>75 FINISHED- Code: 20190614/APH/000002/00000547/075</t>
  </si>
  <si>
    <t>20190614/APH/000002/00000547/075</t>
  </si>
  <si>
    <t>8/12072019/6e362f9fb22b4f40a719382d4504026b.jpg</t>
  </si>
  <si>
    <t>59 FINISHED- Code: 20190614/PAL/000002/00000547/059</t>
  </si>
  <si>
    <t>20190614/PAL/000002/00000547/059</t>
  </si>
  <si>
    <t>d/30032018/059e8451050045a88d2575be6fc7fbe1.jpg</t>
  </si>
  <si>
    <t>MIRA SIDE TABLE SET 3PCS (1X TABLE 25X25X35CM, 1X TABLE 35X35X45CM, 1X TABLE 40X40X55CM)</t>
  </si>
  <si>
    <t>b/09072019/28ed72314d4e4816af5ac534f8e986da.jpg</t>
  </si>
  <si>
    <t>103 FINISHED- Code: 20190614/ROS/000002/00000547/103</t>
  </si>
  <si>
    <t>20190614/ROS/000002/00000547/103</t>
  </si>
  <si>
    <t>5/13062019/e397c53602d744ddaea49a7550fde885.jpg</t>
  </si>
  <si>
    <t>MISSOURI DINING TABLE 180X90X78CM</t>
  </si>
  <si>
    <t>f/10072019/7717ae76da7748068fc38d5a8e53a180.jpg</t>
  </si>
  <si>
    <t>9 FINISHED- Code: 20190613/PAL/000002/00000547/009</t>
  </si>
  <si>
    <t>20190613/PAL/000002/00000547/009</t>
  </si>
  <si>
    <t>8/29032018/923e56c506144bf794da62d8c6dd347d.jpg</t>
  </si>
  <si>
    <t>MODENA DINING TABLE 165X90X76CM</t>
  </si>
  <si>
    <t>5/09072019/350e661d908c4def85a1f0978c07bf56.jpg</t>
  </si>
  <si>
    <t>81 FINISHED- Code: 20190614/ROS/000002/00000547/081</t>
  </si>
  <si>
    <t>20190614/ROS/000002/00000547/081</t>
  </si>
  <si>
    <t>d/28032018/df81ad7a9e774fde8f2335d89af96fc8.jpg</t>
  </si>
  <si>
    <t>NARVIK LOUNGE SET 4PCS (2X CHAIR, 1X BENCH 151CM, 1X LOUNGE TABLE 110X60X40CM)</t>
  </si>
  <si>
    <t>a/09072019/e0cdfe4783ca48c48a2d14ea2d4109e7.jpg</t>
  </si>
  <si>
    <t>72 FINISHED- Code: 20190614/ROS/000002/00000547/072</t>
  </si>
  <si>
    <t>20190614/ROS/000002/00000547/072</t>
  </si>
  <si>
    <t>3/16102018/3cc8f9272fa0401486baf90699b74d82.jpg</t>
  </si>
  <si>
    <t>NESTING SIDE TABLES SET (3PCS)</t>
  </si>
  <si>
    <t>9/11072019/b6c6e9ad17634cc89f8e491f46911124.jpg</t>
  </si>
  <si>
    <t>111 FINISHED- Code: 20190614/AKI/000002/00000547/111</t>
  </si>
  <si>
    <t>20190614/AKI/000002/00000547/111</t>
  </si>
  <si>
    <t>6/27032018/31697d19805c4abcbe044a0ba684252f.jpg</t>
  </si>
  <si>
    <t>NEW COVENTRY CHAIR</t>
  </si>
  <si>
    <t>LIGHT BROWN OLEFIN 240</t>
  </si>
  <si>
    <t>2/11072019/f9391505092548668f4fcbae5a366cde.jpg</t>
  </si>
  <si>
    <t>62 FINISHED- Code: 20190614/APO/000002/00000547/062</t>
  </si>
  <si>
    <t>20190614/APO/000002/00000547/062</t>
  </si>
  <si>
    <t>9/30032018/626666d28d7b41138bc3e99c9876b46a.jpg</t>
  </si>
  <si>
    <t>a/02072019/0f0c57ad0d5e4d43b6a99045904bdcc5.jpg</t>
  </si>
  <si>
    <t>97 FINISHED- Code: 20190614/DAN/000002/00000547/097</t>
  </si>
  <si>
    <t>20190614/DAN/000002/00000547/097</t>
  </si>
  <si>
    <t>PILLOW 40X40</t>
  </si>
  <si>
    <t>cushions</t>
  </si>
  <si>
    <t>o/17072019/89b341110dd540178f48780ce973f3d4.JPEG</t>
  </si>
  <si>
    <t>98 FINISHED- Code: 20190614/PAL/000002/00000547/098</t>
  </si>
  <si>
    <t>20190614/PAL/000002/00000547/098</t>
  </si>
  <si>
    <t>d/27082019/82e7b837d5a4450bb5bf89b933f1657e.jpg</t>
  </si>
  <si>
    <t>PONTE DINING CHAIR WOODEN LEGS</t>
  </si>
  <si>
    <t>4/28062019/bd5313c8f03c4862a7a08e4846ae3763.jpg</t>
  </si>
  <si>
    <t>61 FINISHED- Code: 20190614/BIG/000002/00000547/061</t>
  </si>
  <si>
    <t>20190614/BIG/000002/00000547/061</t>
  </si>
  <si>
    <t>9/10072019/508af9a5946f4cf486c9b7d0911845cb.jpg</t>
  </si>
  <si>
    <t>29 FINISHED- Code: 20190614/PAL/000002/00000547/029</t>
  </si>
  <si>
    <t>20190614/PAL/000002/00000547/029</t>
  </si>
  <si>
    <t>2/16102018/b0312899ac6249b4a3cb15d648c584db.jpg</t>
  </si>
  <si>
    <t>REIMS STACKABLE CORNER SET 3PCS (LEFT ARM, RIGHT ARM, TABLE 75X75X34CM)</t>
  </si>
  <si>
    <t>5/10072019/51935fa56b8d474aa8edd569df78e522.jpg</t>
  </si>
  <si>
    <t>15 FINISHED- Code: 20190613/PAL/000002/00000547/015</t>
  </si>
  <si>
    <t>20190613/PAL/000002/00000547/015</t>
  </si>
  <si>
    <t>1/13062019/f427e36144e645e38aba5b418a79e9a4.jpg</t>
  </si>
  <si>
    <t>2/10072019/27f5edd4250a4adba5d27bdfbb6ca9b9.jpg</t>
  </si>
  <si>
    <t>14 FINISHED- Code: 20190613/PAL/000002/00000547/014</t>
  </si>
  <si>
    <t>20190613/PAL/000002/00000547/014</t>
  </si>
  <si>
    <t>e/10072019/21c73690aa774809a440ade86601cbe3.jpg</t>
  </si>
  <si>
    <t>30 FINISHED- Code: 20190614/PAL/000002/00000547/030</t>
  </si>
  <si>
    <t>20190614/PAL/000002/00000547/030</t>
  </si>
  <si>
    <t>5/30032018/2c6a0e1a85cf457e854dcd27fcf73cc5.jpg</t>
  </si>
  <si>
    <t>RIOZZO SIDE TABLE ROUND 40CM WITH WOODEN LEGS</t>
  </si>
  <si>
    <t>9/02072019/ced83264b6144a1dbbca387fc0a3e7c5.jpg</t>
  </si>
  <si>
    <t>107 FINISHED- Code: 20190614/APH/000002/00000547/107</t>
  </si>
  <si>
    <t>20190614/APH/000002/00000547/107</t>
  </si>
  <si>
    <t>4/30032018/59ba1fb24e3445acabb955171ccc0c1c.jpg</t>
  </si>
  <si>
    <t>RIOZZO SIDE TABLE ROUND 60CM WITH WOODEN LEGS</t>
  </si>
  <si>
    <t>4/02072019/6ba56caff33f4e0aa7f65ae7a37c3a5f.jpg</t>
  </si>
  <si>
    <t>106 FINISHED- Code: 20190614/APH/000002/00000547/106</t>
  </si>
  <si>
    <t>20190614/APH/000002/00000547/106</t>
  </si>
  <si>
    <t>f/27082018/ba3c55926dea4c9199604f7bae49ca9b.jpg</t>
  </si>
  <si>
    <t>RIOZZO SIDE TABLES 80CM WITH WOODEN LEGS</t>
  </si>
  <si>
    <t>0/02072019/c7df24e6d0e74a609ddf6b1c4ac3387a.jpg</t>
  </si>
  <si>
    <t>105 FINISHED- Code: 20190614/APH/000002/00000547/105</t>
  </si>
  <si>
    <t>20190614/APH/000002/00000547/105</t>
  </si>
  <si>
    <t>c/19032018/0eef1790c3da42a08b1790567d83a059.jpg</t>
  </si>
  <si>
    <t>ROCHEFORT TABLE BIG 100X100X55CM</t>
  </si>
  <si>
    <t>0/10072019/5acc4f9b824940afacd2e15cc83196ba.jpg</t>
  </si>
  <si>
    <t>108 FINISHED- Code: 20190614/APH/000002/00000547/108</t>
  </si>
  <si>
    <t>20190614/APH/000002/00000547/108</t>
  </si>
  <si>
    <t>9/19032018/b29acc1f33c44d8b842d0ec0bebdc3a6.jpg</t>
  </si>
  <si>
    <t>ROCHEFORT TABLE SMALL 54X54X45CM</t>
  </si>
  <si>
    <t>6/10072019/c8a8a8eea8ac4688aec54567cf721d96.jpg</t>
  </si>
  <si>
    <t>109 FINISHED- Code: 20190614/APH/000002/00000547/109</t>
  </si>
  <si>
    <t>20190614/APH/000002/00000547/109</t>
  </si>
  <si>
    <t>0/26032018/d937a3a531124a59a043fccf54643303.jpg</t>
  </si>
  <si>
    <t>ROMA LOUNGE CORNER SET 4 PCS (1X LEFT ARM, 1X RIGHT ARM, 1X CORNER, 1X LOUNGE TABLE 70X70X30CM)</t>
  </si>
  <si>
    <t>e/10072019/2205ae500f0e4164839ef2b822d72aa6.jpg</t>
  </si>
  <si>
    <t>48 FINISHED- Code: 20190614/PAL/000002/00000547/048</t>
  </si>
  <si>
    <t>20190614/PAL/000002/00000547/048</t>
  </si>
  <si>
    <t>POWDER COATED GREEN</t>
  </si>
  <si>
    <t xml:space="preserve">1. (14-06-2019 09:17:52)
WITH BACK CUSHION IN THE BACK
</t>
  </si>
  <si>
    <t>a/10072019/d1f6a4fd0842477984af58fcb83ad780.jpg</t>
  </si>
  <si>
    <t>25 FINISHED- Code: 20190614/PAL/000002/00000547/025</t>
  </si>
  <si>
    <t>20190614/PAL/000002/00000547/025</t>
  </si>
  <si>
    <t>0/10072019/d6c6b3ac710a4fa2b75bba0f876e428d.jpg</t>
  </si>
  <si>
    <t>26 FINISHED- Code: 20190614/PAL/000002/00000547/026</t>
  </si>
  <si>
    <t>20190614/PAL/000002/00000547/026</t>
  </si>
  <si>
    <t>1/22092017/db871a483bbf4bf4bdd60a9f7f741e56.jpg</t>
  </si>
  <si>
    <t>SAN JOSE SIDE TABLES SET 3 TABLES ( 1X SIDE TABLE 30 CM, 1X SIDE TABLE 40 CM, 1X SIDE TABLE 50 CM)</t>
  </si>
  <si>
    <t>1/09072019/77cfe30d10fd4f63a41fb977660a4bde.jpg</t>
  </si>
  <si>
    <t>104 FINISHED- Code: 20190614/ROS/000002/00000547/104</t>
  </si>
  <si>
    <t>20190614/ROS/000002/00000547/104</t>
  </si>
  <si>
    <t>6/07102015/032d509465f647abb68c8018133a5fe5.jpg</t>
  </si>
  <si>
    <t>SAN MARINO LOUNGE CORNER SET 3 PCS (1X ADJ. LEFT ARM, 1X ADJ. RIGHT ARM, 1X COLUMN TABLE 146X84,5X66,5CM)</t>
  </si>
  <si>
    <t>0/10072019/9aeb69b8d8b443e2b416676162d125a2.jpg</t>
  </si>
  <si>
    <t>50 FINISHED- Code: 20190614/PAL/000002/00000547/050</t>
  </si>
  <si>
    <t>20190614/PAL/000002/00000547/050</t>
  </si>
  <si>
    <t>f/13062019/e9168314d0414932858ea8a8e212ad97.jpg</t>
  </si>
  <si>
    <t>SANT MIGUEL DINING CHAIR (KD)</t>
  </si>
  <si>
    <t xml:space="preserve">1. (13-06-2019 14:03:10)
MAKE KD
</t>
  </si>
  <si>
    <t>a/23072019/1ccf501af9664e08a2a3f92a98ae7666.jpg</t>
  </si>
  <si>
    <t>6 FINISHED- Code: 20190613/PAL/000002/00000547/006</t>
  </si>
  <si>
    <t>20190613/PAL/000002/00000547/006</t>
  </si>
  <si>
    <t>d/13062019/a8d3c98a261548759feac49ec9a4946e.jpg</t>
  </si>
  <si>
    <t>SANT MIGUEL DINING TABLE 196x90x77CM (KD)</t>
  </si>
  <si>
    <t>9/25072019/7284ca1206814a1f9e32d64402f8d610.jpg</t>
  </si>
  <si>
    <t>7 FINISHED- Code: 20190613/PAL/000002/00000547/007</t>
  </si>
  <si>
    <t>20190613/PAL/000002/00000547/007</t>
  </si>
  <si>
    <t>VINTAGE LIGHT TEAK LOOK</t>
  </si>
  <si>
    <t>3/02072019/6e5d562568c7482a9df8b7814d239dde.jpg</t>
  </si>
  <si>
    <t>16.8</t>
  </si>
  <si>
    <t>15.7</t>
  </si>
  <si>
    <t>92 FINISHED- Code: 20190614/DAN/000002/00000547/092</t>
  </si>
  <si>
    <t>20190614/DAN/000002/00000547/092</t>
  </si>
  <si>
    <t>1/09072019/73b946c6fc3441c8a477af6b6515755d.jpg</t>
  </si>
  <si>
    <t>96 FINISHED- Code: 20190614/ROS/000002/00000547/096</t>
  </si>
  <si>
    <t>20190614/ROS/000002/00000547/096</t>
  </si>
  <si>
    <t>f/16102018/54145bc75f9a42b8a27ad0732f75d13b.jpg</t>
  </si>
  <si>
    <t>SESTO LOUNGE CHAIR</t>
  </si>
  <si>
    <t>b/04072019/1d7ed1ad56c44d09902738029ad96743.jpg</t>
  </si>
  <si>
    <t>36 FINISHED- Code: 20190614/ROS/000002/00000547/036</t>
  </si>
  <si>
    <t>20190614/ROS/000002/00000547/036</t>
  </si>
  <si>
    <t>7/16102018/4747443f1f854f24a280c62bb3d70d44.jpg</t>
  </si>
  <si>
    <t>SESTO LOUNGE CHAIR WITH ARMS</t>
  </si>
  <si>
    <t>f/04072019/af012bb4d6ef48f782855ef345f75480.jpg</t>
  </si>
  <si>
    <t>39 FINISHED- Code: 20190614/ROS/000002/00000547/039</t>
  </si>
  <si>
    <t>20190614/ROS/000002/00000547/039</t>
  </si>
  <si>
    <t>3/30032018/2646308f32ee4bd7972d1a7b747ca94c.jpg</t>
  </si>
  <si>
    <t>SHEFFIELD FOLDING SET 3PCS (2X FOLDING CHAIR, 1X SQUARE FOLDING TABLE 60X60X73 CM)</t>
  </si>
  <si>
    <t>6/02072019/35bbc198a0b241b78618d9a0807aed73.jpg</t>
  </si>
  <si>
    <t>91 FINISHED- Code: 20190614/AKI/000002/00000547/091</t>
  </si>
  <si>
    <t>20190614/AKI/000002/00000547/091</t>
  </si>
  <si>
    <t>8/02072019/ff545ad57a0c4cb7b4e729a1bb970fdd.jpg</t>
  </si>
  <si>
    <t>31 FINISHED- Code: 20190614/BIG/000002/00000547/031</t>
  </si>
  <si>
    <t>20190614/BIG/000002/00000547/031</t>
  </si>
  <si>
    <t>1/02072019/6bb09bb71d3d4caab269f48e69c02bae.jpg</t>
  </si>
  <si>
    <t>33 FINISHED- Code: 20190614/BIG/000002/00000547/033</t>
  </si>
  <si>
    <t>20190614/BIG/000002/00000547/033</t>
  </si>
  <si>
    <t>POWDER COATED OLIVE GREEN</t>
  </si>
  <si>
    <t>7/02072019/af53a4fb33114b57b77bccf0aaba3728.jpg</t>
  </si>
  <si>
    <t>32 FINISHED- Code: 20190614/BIG/000002/00000547/032</t>
  </si>
  <si>
    <t>20190614/BIG/000002/00000547/032</t>
  </si>
  <si>
    <t>6/11072019/b146264fd051437bac7050d1678572bf.jpg</t>
  </si>
  <si>
    <t>58 FINISHED- Code: 20190614/APO/000002/00000547/058</t>
  </si>
  <si>
    <t>20190614/APO/000002/00000547/058</t>
  </si>
  <si>
    <t>c/13062019/e07303fd9a4e410b9f7e43f62d7ba536.jpg</t>
  </si>
  <si>
    <t>TENERIFE LOUNGE CORNER SET (WITHOUT MIDDLE PIECE)</t>
  </si>
  <si>
    <t xml:space="preserve">1. (13-06-2019 14:03:10)
"PLOFF FOR BACKCUSHION
NO MIDDLE PIECE
NO HIGHER BACKREST (BACK SHOULD BE SAME HEIGHT AS ARM)"
</t>
  </si>
  <si>
    <t>6/12072019/22da5b94e00048f5a26d0d3006fed821.jpg</t>
  </si>
  <si>
    <t>13 FINISHED- Code: 20190613/PAL/000002/00000547/013</t>
  </si>
  <si>
    <t>20190613/PAL/000002/00000547/013</t>
  </si>
  <si>
    <t>c/10072019/b37135b74f3f4a159e57f8d3512e2908.jpg</t>
  </si>
  <si>
    <t>21 FINISHED- Code: 20190614/PAL/000002/00000547/021</t>
  </si>
  <si>
    <t>20190614/PAL/000002/00000547/021</t>
  </si>
  <si>
    <t>f/04102018/177a20e8d27d48c3a296827d4808a846.jpg</t>
  </si>
  <si>
    <t>TONGA DINING TABLE 170X90X75 CM</t>
  </si>
  <si>
    <t>a/10072019/3b38fbce82434f95b03a65f380ec75aa.jpg</t>
  </si>
  <si>
    <t>22 FINISHED- Code: 20190614/PAL/000002/00000547/022</t>
  </si>
  <si>
    <t>20190614/PAL/000002/00000547/022</t>
  </si>
  <si>
    <t>0/04102018/8f2bc2e407d74552b5dcf72f234237fe.jpg</t>
  </si>
  <si>
    <t>TONGA LOUNGE SET 4PCS (2 X CHAIR + 1 X BENCH + 1 X TABLE)</t>
  </si>
  <si>
    <t>7/21072019/2a3588295fce4f29a5ca3d90d5cd60aa.jpg</t>
  </si>
  <si>
    <t>20 FINISHED- Code: 20190613/PAL/000002/00000547/020</t>
  </si>
  <si>
    <t>20190613/PAL/000002/00000547/020</t>
  </si>
  <si>
    <t>a/13062019/a5aa2ee34f464c3684d2c68dc370b04d.jpg</t>
  </si>
  <si>
    <t>VALONGO LOUNGE SET PROMO SET AS 705</t>
  </si>
  <si>
    <t xml:space="preserve">1. (13-06-2019 14:03:09)
MAKE PROMO VERSION AS 705
</t>
  </si>
  <si>
    <t>1/18072019/a4b4b444e8224e6bae1ed21a2046654e.jpg</t>
  </si>
  <si>
    <t>4 FINISHED- Code: 20190613/PAL/000002/00000547/004</t>
  </si>
  <si>
    <t>20190613/PAL/000002/00000547/004</t>
  </si>
  <si>
    <t>5/16102018/08dc60d5631e4f92906831e971b89ede.jpg</t>
  </si>
  <si>
    <t>VASTO CHAIR</t>
  </si>
  <si>
    <t>PATTERN WEAVING RATTAN GREY</t>
  </si>
  <si>
    <t>c/27062019/cb12f6db4b664fbab4c7520b0c8793c7.jpg</t>
  </si>
  <si>
    <t>35 FINISHED- Code: 20190614/PAL/000002/00000547/035</t>
  </si>
  <si>
    <t>20190614/PAL/000002/00000547/035</t>
  </si>
  <si>
    <t>d/28032018/cfd237c92a93428bb81bfbf2ea3d30ef.jpg</t>
  </si>
  <si>
    <t>VELTIS DINING TABLE 250X100X77CM</t>
  </si>
  <si>
    <t>2/02072019/86830c4a71534264af112ff55516524c.jpg</t>
  </si>
  <si>
    <t>74 FINISHED- Code: 20190614/APH/000002/00000547/074</t>
  </si>
  <si>
    <t>20190614/APH/000002/00000547/074</t>
  </si>
  <si>
    <t>4/19122018/83711680b7374a1ba26dec51f1be0fda.jpg</t>
  </si>
  <si>
    <t>VERONA LOUNGE CORNER 2PCS (1X LEFT ARM + 1X RIGHT ARM)</t>
  </si>
  <si>
    <t>a/10072019/8be872219d824c1ca04ebc5f2936fc4a.jpg</t>
  </si>
  <si>
    <t>16 FINISHED- Code: 20190613/PAL/000002/00000547/016</t>
  </si>
  <si>
    <t>20190613/PAL/000002/00000547/016</t>
  </si>
  <si>
    <t>2/04102018/e644c3848f0c417889787d147369016e.jpg</t>
  </si>
  <si>
    <t>VITERBO SQUARED PLANTER 38X38X62CM</t>
  </si>
  <si>
    <t>b/10072019/870b9438b3174ad0b5cae586112aa3d0.jpg</t>
  </si>
  <si>
    <t>112 FINISHED- Code: 20190614/TEC/000002/00000547/112</t>
  </si>
  <si>
    <t>20190614/TEC/000002/00000547/112</t>
  </si>
  <si>
    <t>6/04102019/9565e6a20f3c44c3a309971b0bf7f04d.jpg</t>
  </si>
  <si>
    <t>VITERBO SQUARED PLANTER 38X38X92CM</t>
  </si>
  <si>
    <t>9/10072019/0b68442a651748bbaad4dbe3c587c418.jpg</t>
  </si>
  <si>
    <t>113 FINISHED- Code: 20190614/TEC/000002/00000547/113</t>
  </si>
  <si>
    <t>20190614/TEC/000002/00000547/113</t>
  </si>
  <si>
    <t>6/24122018/cb895e6245bb4cddbd2be14731bf755a.jpg</t>
  </si>
  <si>
    <t>WATES DINING CHAIR</t>
  </si>
  <si>
    <t>d/11072019/b3e2a5b91fc9490cbc4cff5415ba1f3c.jpg</t>
  </si>
  <si>
    <t>52 FINISHED- Code: 20190614/APO/000002/00000547/052</t>
  </si>
  <si>
    <t>20190614/APO/000002/00000547/052</t>
  </si>
  <si>
    <t>e/11072019/a320ff8f665d476dab9748cfec1627d2.jpg</t>
  </si>
  <si>
    <t>51 FINISHED- Code: 20190614/APO/000002/00000547/051</t>
  </si>
  <si>
    <t>20190614/APO/000002/00000547/051</t>
  </si>
  <si>
    <t>YATE LOUNGE SET HIGH BACK 4PCS (2X CHAIR, BENCH, TABLE)</t>
  </si>
  <si>
    <t xml:space="preserve">1. (14-06-2019 11:51:03)
USE HIGH BACK
</t>
  </si>
  <si>
    <t>5/11072019/a85009899619470eb56e0088e1883793.jpg</t>
  </si>
  <si>
    <t>40 FINISHED- Code: 20190614/APO/000002/00000547/040</t>
  </si>
  <si>
    <t>20190614/APO/000002/00000547/040</t>
  </si>
  <si>
    <t>1/18092018/b7a40f20cd9241d6820471bffcc3eff3.jpg</t>
  </si>
  <si>
    <t>BASTEN LOUNGE CORNER SET 3PCS (LEFT ARM, RIGHT ARM, TABLE)</t>
  </si>
  <si>
    <t>2019-07-07</t>
  </si>
  <si>
    <t>LEHNER VERSAND AG</t>
  </si>
  <si>
    <t>2 CREATED- Code: 20190620/XXX/001577/00000548/002</t>
  </si>
  <si>
    <t>20190620/XXX/001577/00000548/002</t>
  </si>
  <si>
    <t>3 CREATED- Code: 20190620/XXX/001577/00000548/003</t>
  </si>
  <si>
    <t>20190620/XXX/001577/00000548/003</t>
  </si>
  <si>
    <t>TWO TONE GREY</t>
  </si>
  <si>
    <t>ROYAL RIBBON GREY 240</t>
  </si>
  <si>
    <t>4 CREATED- Code: 20190620/XXX/001577/00000548/004</t>
  </si>
  <si>
    <t>20190620/XXX/001577/00000548/004</t>
  </si>
  <si>
    <t>5 CREATED- Code: 20190620/XXX/001577/00000548/005</t>
  </si>
  <si>
    <t>20190620/XXX/001577/00000548/005</t>
  </si>
  <si>
    <t>8/04102018/16804e0f4cee46ffb8015fc5c564b8a1.jpg</t>
  </si>
  <si>
    <t>SAINT LUCIA ADJUSTABLE LOUNGE CORNER SET PROMO (BILBAO)</t>
  </si>
  <si>
    <t>1 CREATED- Code: 20190620/XXX/001577/00000548/001</t>
  </si>
  <si>
    <t>20190620/XXX/001577/00000548/001</t>
  </si>
  <si>
    <t>d/06102015/b37e67fc84ef457a8a669481994d1537.jpg</t>
  </si>
  <si>
    <t>IBIZA HOCKER 40X40X45CM</t>
  </si>
  <si>
    <t>3/09072019/1a6bd4b5121d4585b498fcfbc3eab530.jpg</t>
  </si>
  <si>
    <t>SAMPLES SHOULD BE COMBINED IN SPOGA CONTAINER</t>
  </si>
  <si>
    <t>6 FINISHED- Code: 20190627/APO/001577/00000549/006</t>
  </si>
  <si>
    <t>20190627/APO/001577/00000549/006</t>
  </si>
  <si>
    <t>2/09072019/2fc4380e485b438ea9be8ce5ab940d03.jpg</t>
  </si>
  <si>
    <t>4 FINISHED- Code: 20190620/PAL/001577/00000549/004</t>
  </si>
  <si>
    <t>20190620/PAL/001577/00000549/004</t>
  </si>
  <si>
    <t>b/09072019/a6a8fcf9ffe94e75971ed218fbb55e3d.jpg</t>
  </si>
  <si>
    <t>5 FINISHED- Code: 20190620/PAL/001577/00000549/005</t>
  </si>
  <si>
    <t>20190620/PAL/001577/00000549/005</t>
  </si>
  <si>
    <t>0/10072019/fd97cbc4bd2d489ab9344f29dfac39b4.jpg</t>
  </si>
  <si>
    <t>1 FINISHED- Code: 20190620/APO/001577/00000549/001</t>
  </si>
  <si>
    <t>20190620/APO/001577/00000549/001</t>
  </si>
  <si>
    <t>6/24062019/ba24f439597c468b8779dd6982818376.jpg</t>
  </si>
  <si>
    <t>BETIS 621 HOCKER 80X80X41</t>
  </si>
  <si>
    <t>b/10072019/a8b8e4de088d4b058a41c2b9bacd2a6f.jpg</t>
  </si>
  <si>
    <t>9 FINISHED- Code: 20190624/PAL/000621/00000550/009</t>
  </si>
  <si>
    <t>20190624/PAL/000621/00000550/009</t>
  </si>
  <si>
    <t>c/24062019/5a1591a2a44a4a099625f6784fe1a500.jpg</t>
  </si>
  <si>
    <t>BETIS 621 TABLE 80X80X31</t>
  </si>
  <si>
    <t>2/10072019/adebfd19551b4b8bb5b44067f37de325.jpg</t>
  </si>
  <si>
    <t>10 FINISHED- Code: 20190624/PAL/000621/00000550/010</t>
  </si>
  <si>
    <t>20190624/PAL/000621/00000550/010</t>
  </si>
  <si>
    <t>f/24062019/8da35cdacabc4adb98c9dbc54beff902.jpg</t>
  </si>
  <si>
    <t>BETIS 621: CORNERPIECE</t>
  </si>
  <si>
    <t>c/10072019/471b988da6744afeb01d72cbf1e63029.jpg</t>
  </si>
  <si>
    <t>7 FINISHED- Code: 20190624/PAL/000621/00000550/007</t>
  </si>
  <si>
    <t>20190624/PAL/000621/00000550/007</t>
  </si>
  <si>
    <t>4/24062019/8cef88288fd74a1b8bf7329296e961b8.jpg</t>
  </si>
  <si>
    <t>BETIS 621: LEFT BENCH (WITH FIXED TABLE, LEG UNDER TABLE)</t>
  </si>
  <si>
    <t>b/10072019/07c5b1b90ef24d9e90abda5ac25b6c51.jpg</t>
  </si>
  <si>
    <t>5 FINISHED- Code: 20190624/PAL/000621/00000550/005</t>
  </si>
  <si>
    <t>20190624/PAL/000621/00000550/005</t>
  </si>
  <si>
    <t>9/24062019/8a97a758c6c14cc7a2ac6b776d235e1d.jpg</t>
  </si>
  <si>
    <t>BETIS 621: MIDDLE</t>
  </si>
  <si>
    <t>a/10072019/c85ccd545c5a4435af4f3cff768458b1.jpg</t>
  </si>
  <si>
    <t>8 FINISHED- Code: 20190624/PAL/000621/00000550/008</t>
  </si>
  <si>
    <t>20190624/PAL/000621/00000550/008</t>
  </si>
  <si>
    <t>b/24062019/b47344ed27b14c918c3ececb6822ad9b.jpg</t>
  </si>
  <si>
    <t>BETIS 621: RIGHT BENCH (WITH FIXED TABLE, LEG UNDER TABLE)</t>
  </si>
  <si>
    <t>b/10072019/177d78342cc641dda273d3328a27757d.jpg</t>
  </si>
  <si>
    <t>6 FINISHED- Code: 20190624/PAL/000621/00000550/006</t>
  </si>
  <si>
    <t>20190624/PAL/000621/00000550/006</t>
  </si>
  <si>
    <t>e/03072019/33ab735699dc4571b021d09a4623951b.jpg</t>
  </si>
  <si>
    <t>1 FINISHED- Code: 20190620/BIG/000621/00000550/001</t>
  </si>
  <si>
    <t>20190620/BIG/000621/00000550/001</t>
  </si>
  <si>
    <t>7/22072019/b458963c078842efafea4a41f0bc66e4.jpg</t>
  </si>
  <si>
    <t>2 FINISHED- Code: 20190620/BIG/000621/00000550/002</t>
  </si>
  <si>
    <t>20190620/BIG/000621/00000550/002</t>
  </si>
  <si>
    <t>1/07032019/75861212e02e4a20bc5af5ea33d19e86.jpg</t>
  </si>
  <si>
    <t>DOMINO DINING CHAIR 783</t>
  </si>
  <si>
    <t>2/22072019/0b91ae6d8d5a46bc8323e0e9e491e74a.jpg</t>
  </si>
  <si>
    <t>4 FINISHED- Code: 20190620/BIG/000621/00000550/004</t>
  </si>
  <si>
    <t>20190620/BIG/000621/00000550/004</t>
  </si>
  <si>
    <t>3/04072019/ea5382e09c154e28b2fda94d2925a75e.jpg</t>
  </si>
  <si>
    <t>3 FINISHED- Code: 20190620/BIG/000621/00000550/003</t>
  </si>
  <si>
    <t>20190620/BIG/000621/00000550/003</t>
  </si>
  <si>
    <t>2019-07-15</t>
  </si>
  <si>
    <t>d/12072019/35a038720e4843a9b4444523aaf74616.jpg</t>
  </si>
  <si>
    <t>SPOGA (ADDITIONAL ADDED CURRENT COLLECTION)</t>
  </si>
  <si>
    <t>1 FINISHED- Code: 20190621/PAL/000002/00000551/001</t>
  </si>
  <si>
    <t>20190621/PAL/000002/00000551/001</t>
  </si>
  <si>
    <t>1/17082019/e894c995a56e4df4ab8331c1603227c6.jpg</t>
  </si>
  <si>
    <t>ANDALUCIA LOUNGE SET 4 PCS (2X CHAIR. 1X BENCH 183CM, 1X LOUNGE TABLE 102X52X36CM)</t>
  </si>
  <si>
    <t>NO COLOR</t>
  </si>
  <si>
    <t>8/11072019/eab057383a32417aa6528274e61dd21b.jpg</t>
  </si>
  <si>
    <t>12 FINISHED- Code: 20190621/PAL/000002/00000551/012</t>
  </si>
  <si>
    <t>20190621/PAL/000002/00000551/012</t>
  </si>
  <si>
    <t>2/18082019/0d0d279c19b34b299bb8c2b45cb73ed6.jpg</t>
  </si>
  <si>
    <t>BARCELONA LOUNGE CORNER 4PCS (1X LEFT ARM, 1X RIGHT ARM, 1X CORNER, 1X CORNER TABLE 80X80X24CM)</t>
  </si>
  <si>
    <t>SEVERAL SAND</t>
  </si>
  <si>
    <t xml:space="preserve">1. (21-06-2019 11:14:01)
ONLY MATCHING BACKPILLOWS
3X ON EACH BENCH + 2X ON CORNER
</t>
  </si>
  <si>
    <t>e/16072019/2ee94c6dfbd746cb83614f3c2b47da48.jpg</t>
  </si>
  <si>
    <t>77/77/77/80</t>
  </si>
  <si>
    <t>77/179/179/80</t>
  </si>
  <si>
    <t>61/61/61/24</t>
  </si>
  <si>
    <t>15/25/25/8.5</t>
  </si>
  <si>
    <t>18/30/30/10.5</t>
  </si>
  <si>
    <t>79.5/182/182/82</t>
  </si>
  <si>
    <t>79.5/79.5/79.5/82</t>
  </si>
  <si>
    <t>43.5/43.5/43.5/27</t>
  </si>
  <si>
    <t>23 FINISHED- Code: 20190621/ROS/000002/00000551/023</t>
  </si>
  <si>
    <t>20190621/ROS/000002/00000551/023</t>
  </si>
  <si>
    <t>1/21062019/fec8c89e3c8446a395907978e3956dc6.jpg</t>
  </si>
  <si>
    <t>BETIS LOUNGE CORNER SET 5 PCS (CHAIR, BENCH, CORNER, TABLE 80X80X31CM, HOCKER)</t>
  </si>
  <si>
    <t>8/10072019/e2aad5d193cb4a72969e7707b21d920c.jpg</t>
  </si>
  <si>
    <t>3 FINISHED- Code: 20190621/PAL/000002/00000551/003</t>
  </si>
  <si>
    <t>20190621/PAL/000002/00000551/003</t>
  </si>
  <si>
    <t>f/19072019/0f9dad1ada6843b5ab4cdf3a9cbed308.jpg</t>
  </si>
  <si>
    <t>88/88/142</t>
  </si>
  <si>
    <t>71/195/82</t>
  </si>
  <si>
    <t>99/99/72</t>
  </si>
  <si>
    <t>16/44/24</t>
  </si>
  <si>
    <t>17/46/26</t>
  </si>
  <si>
    <t>89/89/143</t>
  </si>
  <si>
    <t>72/196/83</t>
  </si>
  <si>
    <t>18 FINISHED- Code: 20190621/APO/000002/00000551/018</t>
  </si>
  <si>
    <t>20190621/APO/000002/00000551/018</t>
  </si>
  <si>
    <t>BILBAO LOUNGE CORNER SET 4 PCS (1X LEFT ARM, 1X RIGHT ARM, 1X CORNER, 1X CORNER TABLE 113X113X57 CM)</t>
  </si>
  <si>
    <t>9/19072019/abbeb3b5bc2c4a768bdcc0de89d060ba.jpg</t>
  </si>
  <si>
    <t>83/104/113</t>
  </si>
  <si>
    <t>132/173/113</t>
  </si>
  <si>
    <t>99/99/62</t>
  </si>
  <si>
    <t>42/21/14</t>
  </si>
  <si>
    <t>43.5/22.5/16</t>
  </si>
  <si>
    <t>84/105/114</t>
  </si>
  <si>
    <t>133/174/114</t>
  </si>
  <si>
    <t>101/101/64</t>
  </si>
  <si>
    <t>17 FINISHED- Code: 20190621/APO/000002/00000551/017</t>
  </si>
  <si>
    <t>20190621/APO/000002/00000551/017</t>
  </si>
  <si>
    <t>BOLZANO ADJUSTABLE LOUNGE CORNER SET 3 PCS</t>
  </si>
  <si>
    <t>f/10072019/601149335afb4b5e866ec234b76172a2.jpg</t>
  </si>
  <si>
    <t>21 FINISHED- Code: 20190621/PAL/000002/00000551/021</t>
  </si>
  <si>
    <t>20190621/PAL/000002/00000551/021</t>
  </si>
  <si>
    <t>GIBSON LOUNGE CORNER SET 3 PCS (1X LEFT ARM, 1X RIGHT ARM, 1X HOCKER)</t>
  </si>
  <si>
    <t xml:space="preserve">1. (21-06-2019 11:14:01)
IF NOT ON TIME AVAIALBLE, USE SERVAL LIGHT BROWN
</t>
  </si>
  <si>
    <t>8/10072019/3ad194c28100426ba2c5e0e0fba52512.jpg</t>
  </si>
  <si>
    <t>22 FINISHED- Code: 20190621/PAL/000002/00000551/022</t>
  </si>
  <si>
    <t>20190621/PAL/000002/00000551/022</t>
  </si>
  <si>
    <t>7/15082019/128065fd6abd4faba0a3ab0773187edb.jpg</t>
  </si>
  <si>
    <t>HELSINKI LOUNGE SET (2X CHAIR, 1X BENCH 174CM, 1X TABLE 80X80X28CM)</t>
  </si>
  <si>
    <t xml:space="preserve">1. An Huyen Cao(21-06-2019 17:00:31)
IF SERVAL SAND FABRIC IS NOT AVAIALBLE ON TIME, USE SERVAL LIGHT BROWN
</t>
  </si>
  <si>
    <t>3/16072019/79813379706e4c12be8601d886b5b373.jpg</t>
  </si>
  <si>
    <t>77/77/174/80</t>
  </si>
  <si>
    <t>65.5/65.5/65.5/28</t>
  </si>
  <si>
    <t>19/19/32/9.5</t>
  </si>
  <si>
    <t>21.5/21.5/36/11</t>
  </si>
  <si>
    <t>82.5/82.5/166.5/82.5</t>
  </si>
  <si>
    <t>68/68/75.5/72</t>
  </si>
  <si>
    <t>46.5/46.5/38.5/13.5</t>
  </si>
  <si>
    <t>7 FINISHED- Code: 20190621/ROS/000002/00000551/007</t>
  </si>
  <si>
    <t>20190621/ROS/000002/00000551/007</t>
  </si>
  <si>
    <t>IBIZA ADJUSTABLE LOUNGE SET (Chair 2x + 3-seater bench + table 142x82x70)</t>
  </si>
  <si>
    <t>SEVERAL ANTHRACITE</t>
  </si>
  <si>
    <t>1/19072019/dec4aad5bf404e1697eb302d2e8b0701.jpg</t>
  </si>
  <si>
    <t>19 FINISHED- Code: 20190621/APO/000002/00000551/019</t>
  </si>
  <si>
    <t>20190621/APO/000002/00000551/019</t>
  </si>
  <si>
    <t>2 TONE GREY</t>
  </si>
  <si>
    <t>0/19072019/ceb6d8e5da224b51b931c5e3db2ed321.jpg</t>
  </si>
  <si>
    <t>14 FINISHED- Code: 20190621/PAL/000002/00000551/014</t>
  </si>
  <si>
    <t>20190621/PAL/000002/00000551/014</t>
  </si>
  <si>
    <t>2/17082019/e02b2d153bee42cd9120fccbc507759d.jpg</t>
  </si>
  <si>
    <t>LARISSA LOUNGE SET 4 PCS (2X CHAIR, 1X BENCH 157CM, 1X TABLE 90X60X34CM)</t>
  </si>
  <si>
    <t>d/19072019/10e93044464743a7bc61f40d39b7d231.jpg</t>
  </si>
  <si>
    <t>13 FINISHED- Code: 20190621/PAL/000002/00000551/013</t>
  </si>
  <si>
    <t>20190621/PAL/000002/00000551/013</t>
  </si>
  <si>
    <t>0/04102018/b9c55777878b455d858c096cc59df337.jpg</t>
  </si>
  <si>
    <t>7/12072019/036779cff2c849babf5e02249b95edba.jpg</t>
  </si>
  <si>
    <t>2 FINISHED- Code: 20190621/PAL/000002/00000551/002</t>
  </si>
  <si>
    <t>20190621/PAL/000002/00000551/002</t>
  </si>
  <si>
    <t>MIRA COFFEE CORNER LOUNGE SET (LEFT ARM, RIGHT ARM, COFFEE CORNER TABLE)</t>
  </si>
  <si>
    <t>f/17072019/e352d71b9f354f2e946289a7a671fe5b.jpg</t>
  </si>
  <si>
    <t>16 FINISHED- Code: 20190621/ROS/000002/00000551/016</t>
  </si>
  <si>
    <t>20190621/ROS/000002/00000551/016</t>
  </si>
  <si>
    <t>4/21032018/add21b51ee2840d4b0214a0a94efbeb1.jpg</t>
  </si>
  <si>
    <t>MIRA LOUNGE SET 4PCS (2X CHAIR, 1X 2-SEATER BENCH 151CM, 1X LOUNGE TABLE 90X60X32CM)</t>
  </si>
  <si>
    <t>9/09072019/8134e0496b304d52bbb2a58321e279a4.jpg</t>
  </si>
  <si>
    <t>86/86/86/80</t>
  </si>
  <si>
    <t>85.5/85.5/151.5/80</t>
  </si>
  <si>
    <t>73/73/73/40</t>
  </si>
  <si>
    <t>13/13/21/13</t>
  </si>
  <si>
    <t>18/18/27.5/15</t>
  </si>
  <si>
    <t>87/87/153/82.5</t>
  </si>
  <si>
    <t>87.5/87.5/87.5/84</t>
  </si>
  <si>
    <t>53/53/53/12</t>
  </si>
  <si>
    <t>15 FINISHED- Code: 20190621/PAL/000002/00000551/015</t>
  </si>
  <si>
    <t>20190621/PAL/000002/00000551/015</t>
  </si>
  <si>
    <t>d/21062019/95192d12cb5a4a5890fcf7ce9518e2be.jpg</t>
  </si>
  <si>
    <t>MONTREAL LOUNGE CORNER SET (LEFT ARM, RIGHT ARM, CORNER TABLE)</t>
  </si>
  <si>
    <t xml:space="preserve">1. (21-06-2019 11:14:01)
MIDDLE LEG UNDER THE SEAT, NOT IN FRONT
MAKE KD
</t>
  </si>
  <si>
    <t>b/16072019/20df78fb18044645a07b74d48af077df.jpg</t>
  </si>
  <si>
    <t>86/86/94</t>
  </si>
  <si>
    <t>243/158/94</t>
  </si>
  <si>
    <t>71/71/31</t>
  </si>
  <si>
    <t>47/30/11</t>
  </si>
  <si>
    <t>54/35/13</t>
  </si>
  <si>
    <t>234/151/92.5</t>
  </si>
  <si>
    <t>76.5/76.5/94</t>
  </si>
  <si>
    <t>42/42/11</t>
  </si>
  <si>
    <t>6 FINISHED- Code: 20190621/ROS/000002/00000551/006</t>
  </si>
  <si>
    <t>20190621/ROS/000002/00000551/006</t>
  </si>
  <si>
    <t>REIMS STACKABLE LOUNGE SET 4PCS (2X CHAIR, 2- SEATER BENCH, TABLE)</t>
  </si>
  <si>
    <t>b/10072019/427b088e2b4d4c13ab39d73f2f4fb8ae.jpg</t>
  </si>
  <si>
    <t>8 FINISHED- Code: 20190621/APO/000002/00000551/008</t>
  </si>
  <si>
    <t>20190621/APO/000002/00000551/008</t>
  </si>
  <si>
    <t>f/23032018/0e95e5a3f6e14c2a99419285af5e3e2a.jpg</t>
  </si>
  <si>
    <t>SAN FRANCISCO ADJUSTABLE LOUNGE SET 4 PCS (2X ADJ. CHAIR, 1X ADJ. 3-SEATER BENCH, 1X COLUMN TABLE 147X84.5X66.5 CM)</t>
  </si>
  <si>
    <t>20 ISSUED- Code: 20190621/PAL/000002/00000551/020</t>
  </si>
  <si>
    <t>20190621/PAL/000002/00000551/020</t>
  </si>
  <si>
    <t>f/19122018/ae013bc29c0843a699b0e92dcdf8a04e.jpg</t>
  </si>
  <si>
    <t>STAFFORD LOUNGE SET (2X CHAIR, 1X 3-SEATER BENCH 206CM, 1X TABLE 99X69X31,5CM)</t>
  </si>
  <si>
    <t xml:space="preserve">1. (21-06-2019 11:14:01)
FRONT BAR WITH ROPE
</t>
  </si>
  <si>
    <t>e/17072019/0b9df156dd254525b1b9aa1ce8d6c1f4.jpg</t>
  </si>
  <si>
    <t>4 FINISHED- Code: 20190621/PAL/000002/00000551/004</t>
  </si>
  <si>
    <t>20190621/PAL/000002/00000551/004</t>
  </si>
  <si>
    <t>6/16102018/33bbb0bb177d41a59ebffd405cf28bde.jpg</t>
  </si>
  <si>
    <t>TENERIFE LOUNGE CORNER SET 5 PCS (LEFT ARM, RIGHT ARM, CORNER, MIDDLE, TABLE)</t>
  </si>
  <si>
    <t xml:space="preserve">1. (21-06-2019 11:14:01)
PLOFF FOR BACKCUSHION
NO MIDDLE PIECE
NO HIGHER BACKREST (BACK SHOULD BE SAME HEIGHT AS ARM)
</t>
  </si>
  <si>
    <t>9/11072019/33e389ee20994a8fab4e094efd907ba0.jpg</t>
  </si>
  <si>
    <t>5 FINISHED- Code: 20190621/PAL/000002/00000551/005</t>
  </si>
  <si>
    <t>20190621/PAL/000002/00000551/005</t>
  </si>
  <si>
    <t>5/23072019/60c34e0108e445d0b0920325f16985f9.jpg</t>
  </si>
  <si>
    <t>10 FINISHED- Code: 20190621/PAL/000002/00000551/010</t>
  </si>
  <si>
    <t>20190621/PAL/000002/00000551/010</t>
  </si>
  <si>
    <t>a/17082019/92c088590d1f4eb6b8a0ae2ccf0d6532.jpg</t>
  </si>
  <si>
    <t>YORK LOUNGE CORNER SET 4 PCS (1X LEFT ARM, 1X RIGHT ARM, 1X CORNER, 1X TABLE 90X90X22.5CM)</t>
  </si>
  <si>
    <t xml:space="preserve">1. (21-06-2019 11:14:01)
PLOFF BACKPILLOW (1263)
ADJUST LEGS (1263)
</t>
  </si>
  <si>
    <t>b/26072019/5d30a02341544665bb82dee1549aa56b.jpg</t>
  </si>
  <si>
    <t>11 FINISHED- Code: 20190621/ROS/000002/00000551/011</t>
  </si>
  <si>
    <t>20190621/ROS/000002/00000551/011</t>
  </si>
  <si>
    <t>1/27062019/952181d44c914c33a3f6978c56e74b41.jpg</t>
  </si>
  <si>
    <t>2019-07-11</t>
  </si>
  <si>
    <t xml:space="preserve">1. Huynh Thi To Nga(27-06-2019 07:47:38)
Table is different  from our standard.  It will be horizontal slats. Please check TD for your ref. Thanks !
</t>
  </si>
  <si>
    <t>5/12072019/9e04609e68614b128f9e5f3b8a0699c6.jpg</t>
  </si>
  <si>
    <t>DENMARK</t>
  </si>
  <si>
    <t>1 FINISHED- Code: 20190627/TEC/001668/00000552/001</t>
  </si>
  <si>
    <t>20190627/TEC/001668/00000552/001</t>
  </si>
  <si>
    <t>8/31072019/bc762b6bbebe49f6aa357b8390390155.jpg</t>
  </si>
  <si>
    <t>2019-08-07</t>
  </si>
  <si>
    <t>TONGA LOUNGE TABLE (POLYSTONE TOP) 909357</t>
  </si>
  <si>
    <t xml:space="preserve">1. (31-07-2019 16:18:16)
- OVERALL DIMENSION 80x50x40CM
- POLYSTONE TOP
</t>
  </si>
  <si>
    <t>2/05082019/035b5f7922504e25a60b67d52781575e.jpg</t>
  </si>
  <si>
    <t>9 FINISHED- Code: 20190731/APH/909357/00000553/009</t>
  </si>
  <si>
    <t>20190731/APH/909357/00000553/009</t>
  </si>
  <si>
    <t>a/19072019/5b75a04553414a25af3b8d677159101f.jpg</t>
  </si>
  <si>
    <t>2019-08-01</t>
  </si>
  <si>
    <t>TULUM BENCH 909357</t>
  </si>
  <si>
    <t>TWISTED APO NATURAL (SEE INTERNAL REMARKS)</t>
  </si>
  <si>
    <t>LESS POINTY (SEE INTERNAL REMARKS)</t>
  </si>
  <si>
    <t xml:space="preserve">1. PEPIJN VAN DEN BRINK(19-07-2019 12:32:03)
-Frame diameter of last sample was 1,6cm. Request to change to diameter 2cm to be more substantial
-ADD 1 center back vertical bar into the back frame (integrated, so invisible). Keep same pitch as previous sample.
-Change the weaving to 4mm round natural color from APO (APO to send to PAL)
--&gt; APO to copy color as per 1st attachment and turn it into a 4mm round wicker.
-Back cushion to be reshaped to match better with the curve of the back (see 2nd attachment)
</t>
  </si>
  <si>
    <t>b/30072019/a005019ff32d4a3783c0cdbb1fb295ba.jpg</t>
  </si>
  <si>
    <t>8 FINISHED- Code: 20190719/PAL/909357/00000553/008</t>
  </si>
  <si>
    <t>20190719/PAL/909357/00000553/008</t>
  </si>
  <si>
    <t>d/02072019/5eadb6a3f7894fe18c9b04b4d3a4724d.jpg</t>
  </si>
  <si>
    <t>2019-07-14</t>
  </si>
  <si>
    <t>YATE LOUNGE BENCH (909357)</t>
  </si>
  <si>
    <t>CANVADA IN POLY SOLID IN NATURAL</t>
  </si>
  <si>
    <t xml:space="preserve">2. (12-07-2019 13:30:17)
- CANVADA FABRIC IN POLY SOLID IN NATURAL COLOR.
- FOAM D22/50.
- REMOVE FLANGE OF CUSHION (NO PIPING). PLEASE FIND THE ATT. PHOTOS
- FRAME SHOULD BE COATED.
1. (03-07-2019 04:47:05)
- PHOTOSHOOT SAMPLE
</t>
  </si>
  <si>
    <t>8/19072019/67057cbd991440e1b93f9e9fdf20ef81.jpg</t>
  </si>
  <si>
    <t>2 FINISHED- Code: 20190702/APO/909104/00000553/002</t>
  </si>
  <si>
    <t>20190702/APO/909104/00000553/002</t>
  </si>
  <si>
    <t>2019-07-27</t>
  </si>
  <si>
    <t>YATE LOUNGE BENCH 910104 (CUSHIONS ONLY)</t>
  </si>
  <si>
    <t>CANVADA POLY SOLID</t>
  </si>
  <si>
    <t xml:space="preserve">1. (16-07-2019 07:33:09)
- 1SET USE ROYAL SAND FABRIC
- 1 SET USE CANVADA POLY SOLID NATUAL FABRIC
</t>
  </si>
  <si>
    <t>6 ISSUED- Code: 20190716/APO/909357/00000553/006</t>
  </si>
  <si>
    <t>20190716/APO/909357/00000553/006</t>
  </si>
  <si>
    <t>4/02072019/c78d1d0779784686bc68661f09662147.jpg</t>
  </si>
  <si>
    <t>YATE LOUNGE CHAIR (909357)</t>
  </si>
  <si>
    <t xml:space="preserve">2. (12-07-2019 13:30:17)
- CANVADA FABRIC IN POLY SOLID IN NATURAL COLOR.
- FOAM D22/50.
- REMOVE FLANGE OF CUSHION (NO PIPING). PLEASE FIND THE ATT. PHOTOS
- FRAME SHOULD BE COATED.
1. (02-07-2019 14:15:54)
- PLEASE FOLLOW THE ATTACHED TD.
- PHOTOSHOOT SAMPLES
</t>
  </si>
  <si>
    <t>9/19072019/8094b52992a84bb395339d8c6487dec6.jpg</t>
  </si>
  <si>
    <t>1 FINISHED- Code: 20190702/APO/909104/00000553/001</t>
  </si>
  <si>
    <t>20190702/APO/909104/00000553/001</t>
  </si>
  <si>
    <t>YATE LOUNGE CHAIR 910104 (CUSHIONS ONLY)</t>
  </si>
  <si>
    <t>7 ISSUED- Code: 20190716/APO/909357/00000553/007</t>
  </si>
  <si>
    <t>20190716/APO/909357/00000553/007</t>
  </si>
  <si>
    <t>YATE LOUNGE COFFEE TABLE (CUSHON ONLY)</t>
  </si>
  <si>
    <t>5 ISSUED- Code: 20190716/APO/909357/00000553/005</t>
  </si>
  <si>
    <t>20190716/APO/909357/00000553/005</t>
  </si>
  <si>
    <t>2/02072019/61c19e67a78c4d23b492c02521a3e853.jpg</t>
  </si>
  <si>
    <t>YATE LOUNGE TABLE 130X70X30CM (CUSHION TOP)</t>
  </si>
  <si>
    <t>-</t>
  </si>
  <si>
    <t xml:space="preserve">2. (12-07-2019 13:30:17)
- CANVADA FABRIC IN POLY SOLID IN NATURAL COLOR
- REMOVE FLANGE OF CUSHION
- CONSTRUCTION OF CUSHION SAME AS CORONADO (D22)
- 4 METAL RINGS ON THE TOP OF WEAVEN. METAL RING LOCATION IS 2” FROM 2 SIDES OF CORNER. 
- THE RING SHOULD BE STAINLESS STEEL TO PREVENT RUSTING
- FRAME SHOULD BE COATED.
- VELCRO STRIP UNDERNEATH CUSHION, SO CUSHION WILL NOT MOVE OUT 
- PLEASE FIND THE ATTACHED PHOTOS
1. (02-07-2019 14:15:54)
- CUSHION ON TOP. NO GLASS 
- CUSHION THICKNESS: 2 INCH
- PHOTOSHOOT SAMPLES
</t>
  </si>
  <si>
    <t>6/19072019/b44356e90b2147f39bad00b5339f93fb.jpg</t>
  </si>
  <si>
    <t>3 FINISHED- Code: 20190702/APO/909104/00000553/003</t>
  </si>
  <si>
    <t>20190702/APO/909104/00000553/003</t>
  </si>
  <si>
    <t>5/03072019/5e536444cee34738b4458a000c94d9fb.jpg</t>
  </si>
  <si>
    <t>DELHI LOUNGE CHAIR &amp; FOOTREST 10104 OPT 1</t>
  </si>
  <si>
    <t>PANTONE 194345 TPG (IMPERIAL BLUE)</t>
  </si>
  <si>
    <t xml:space="preserve">2. PEPIJN VAN DEN BRINK(25-07-2019 17:25:17)
Please rework samples as instructed after client review + resubmit pictures when finished.
1. (03-07-2019 07:10:44)
- PLEASE FOLLOW ATTACHED DRAWING.
- X PATTERN AS THE ATTACHED PHOTO.
- SEAT IMPACT TEST 225LBS
- QUATITY: 1X CHAIR, 1X FOOTREST
- WICKER NO SHINY, BLUE COLOR IS UNDER DEVELOPMENT - WILL BE CONFIRMED LATER.
</t>
  </si>
  <si>
    <t>0/30072019/b1d5cdf56b684bf0842d56a8a08702cb.jpg</t>
  </si>
  <si>
    <t>WEST ELM</t>
  </si>
  <si>
    <t>3 FINISHED- Code: 20190703/PAL/910104/00000554/003</t>
  </si>
  <si>
    <t>20190703/PAL/910104/00000554/003</t>
  </si>
  <si>
    <t>f/03072019/0dadbf4cd6bb488b8e4d04164c250263.jpg</t>
  </si>
  <si>
    <t>DELHI LOUNGE CHAIR &amp; FOOTREST 10104 OPT 2</t>
  </si>
  <si>
    <t>BLACK &amp; WHITE (MATTE)</t>
  </si>
  <si>
    <t xml:space="preserve">2. PEPIJN VAN DEN BRINK(25-07-2019 17:25:17)
Please rework samples as instructed after client review + resubmit pictures when finished.
1. (03-07-2019 07:14:35)
- PLEASE FOLLOW THE ATTACHED DRAWING.
- SEAT IMPACT TEST 225LBS.
- QUANTITY: 1X CHAIR, 1X FOOTREST
</t>
  </si>
  <si>
    <t>f/30072019/74e6c4677eb449d8b93fefe1e84f1324.jpg</t>
  </si>
  <si>
    <t>4 FINISHED- Code: 20190703/PAL/910104/00000554/004</t>
  </si>
  <si>
    <t>20190703/PAL/910104/00000554/004</t>
  </si>
  <si>
    <t>1/03072019/650fbbdcba0249d4966e7e511decd302.jpg</t>
  </si>
  <si>
    <t>2019-07-16</t>
  </si>
  <si>
    <t>INDIA LOUNGE CHAIR + INDIA LOUNGE BENCH 10104</t>
  </si>
  <si>
    <t>COLONAL TEAK LOOK</t>
  </si>
  <si>
    <t xml:space="preserve">1. (03-07-2019 07:01:54)
- PLEASE FOLLOW ATTACHED DRAWING
- WOOD COLOR: COLONAL TEAK LOOK
- SEAT IMPACT TEST 225LBS
- QUANTITY: 1X CHAIR, 1X BENCH
</t>
  </si>
  <si>
    <t>b/31072019/83cf14d91e274843ae3548a26e8d2340.jpg</t>
  </si>
  <si>
    <t>2 FINISHED- Code: 20190703/TEC/910104/00000554/002</t>
  </si>
  <si>
    <t>20190703/TEC/910104/00000554/002</t>
  </si>
  <si>
    <t>1/03072019/34355280f7ab483c9196d4d44e96286f.jpg</t>
  </si>
  <si>
    <t>MANCHESTER LOUNGE SET (1 CHAIR/ 1 BENCH/ 1 TABLE) 10104</t>
  </si>
  <si>
    <t xml:space="preserve">2. PEPIJN VAN DEN BRINK(25-07-2019 17:25:17)
Please rework samples as instructed after client review + resubmit pictures when finished.
1. (03-07-2019 07:30:46)
- PLEASE FOLLOW THE ATTACHED DRAWING
- WOOD COLOR: VINTAGE LIGHT GREY (ATTACHED PHOTO)
- SEAT IMPACT TEST: 225LBS
- QUANTITY: 1X CHAIR, 1 BENCH, 1 TABLE.
- CUSHION: NO PIPING
</t>
  </si>
  <si>
    <t>0/31072019/0d5dd476751c4fc4be87863df5b79ba5.jpg</t>
  </si>
  <si>
    <t>6 FINISHED- Code: 20190703/TEC/910104/00000554/006</t>
  </si>
  <si>
    <t>20190703/TEC/910104/00000554/006</t>
  </si>
  <si>
    <t>8/03072019/7c96a77388104d56b8edd7930233071e.jpg</t>
  </si>
  <si>
    <t>NEW LENCO LOUNGE CHAIR 10104</t>
  </si>
  <si>
    <t xml:space="preserve">2. (16-07-2019 06:31:04)
PLEASE MOVE THE BOTTOM RAIL UP BY APPROXIMATELY 3/4". PLEASE FIND THE ATTACHED PHOTO FOR YOUR REFERENCE.
1. (03-07-2019 07:27:00)
- PLEASE FOLLOW ATTACHED DRAWING.
- FULLY WRAP ALU FRAME BY SMALLER WICKER (ATTACHED PHOTO).
- SEAT IMPACT TEST 225LBS
- VERTICAL AND HORIZONTAL HAVE TO BE WRAPPED.
</t>
  </si>
  <si>
    <t>1/19072019/21f64e61099c4b218664622f6671ef1e.jpg</t>
  </si>
  <si>
    <t>5 FINISHED- Code: 20190703/APO/910104/00000554/005</t>
  </si>
  <si>
    <t>20190703/APO/910104/00000554/005</t>
  </si>
  <si>
    <t>SWATCH WICKER DOUBLE ROUND 10MM LIGHT BAMBOO</t>
  </si>
  <si>
    <t xml:space="preserve">1. (05-07-2019 07:45:14)
DIMENSION: 25 X 25 CM
</t>
  </si>
  <si>
    <t>10 CREATED- Code: 20190705/APO/910104/00000554/010</t>
  </si>
  <si>
    <t>20190705/APO/910104/00000554/010</t>
  </si>
  <si>
    <t>SWATCH WICKER FLAT HALF MOON 7MM BLACK</t>
  </si>
  <si>
    <t>FLAT HALF MOON 7MM</t>
  </si>
  <si>
    <t>8 CREATED- Code: 20190705/PAL/910104/00000554/008</t>
  </si>
  <si>
    <t>20190705/PAL/910104/00000554/008</t>
  </si>
  <si>
    <t>SWATCH WICKER FLAT HALF MOON 7MM BLUE</t>
  </si>
  <si>
    <t>9 CREATED- Code: 20190705/PAL/910104/00000554/009</t>
  </si>
  <si>
    <t>20190705/PAL/910104/00000554/009</t>
  </si>
  <si>
    <t>SWATCH WICKER FLAT HALF MOON 7MM WHITE</t>
  </si>
  <si>
    <t>7 CREATED- Code: 20190705/PAL/910104/00000554/007</t>
  </si>
  <si>
    <t>20190705/PAL/910104/00000554/007</t>
  </si>
  <si>
    <t>a/03072019/afefa26dc39046e485d1613101f2a316.jpg</t>
  </si>
  <si>
    <t>TRINIDAD BAR TABLE + BARSTOOL</t>
  </si>
  <si>
    <t xml:space="preserve">3. PEPIJN VAN DEN BRINK(25-07-2019 17:25:17)
Please rework samples as instructed after client review + resubmit pictures when finished.
2. (25-07-2019 10:32:44)
Revised Cad of Trinidad Barstool.
1. (03-07-2019 06:45:34)
- PLEASE FOLLOW ATTACHED DRAWING.
- WOOD COLOR: COLONAL TEAK LOOK (ATTACHED PHOTO).
- SEAT IMPACT 225LBS.
- QUANTITY: 1X TABLES, 1X BARSTOOL
</t>
  </si>
  <si>
    <t>7/31072019/0d396d70a79b456d850762caebced491.jpg</t>
  </si>
  <si>
    <t>1 FINISHED- Code: 20190703/TEC/910104/00000554/001</t>
  </si>
  <si>
    <t>20190703/TEC/910104/00000554/001</t>
  </si>
  <si>
    <t>a/03072019/f21e676d18aa4b3ebf970d3b594ecf82.jpg</t>
  </si>
  <si>
    <t>2019-07-13</t>
  </si>
  <si>
    <t>8/12072019/a2226d1851fc4fd29a182848da827b49.jpg</t>
  </si>
  <si>
    <t>1 FINISHED- Code: 20190703/NIG/001260/00000555/001</t>
  </si>
  <si>
    <t>20190703/NIG/001260/00000555/001</t>
  </si>
  <si>
    <t>4/03072019/6dc9fcefbff649c1b260377742253fbe.jpg</t>
  </si>
  <si>
    <t>a/12072019/d71435cb49824da4a2cfecdc6f7333f1.jpg</t>
  </si>
  <si>
    <t>2 FINISHED- Code: 20190703/NIG/001260/00000555/002</t>
  </si>
  <si>
    <t>20190703/NIG/001260/00000555/002</t>
  </si>
  <si>
    <t>6/04072019/1a997cd570da47a59d8f4e0f335752ea.jpg</t>
  </si>
  <si>
    <t>2019-07-28</t>
  </si>
  <si>
    <t>AMALFI DINING CHAIR (1263) - 257302</t>
  </si>
  <si>
    <t xml:space="preserve">1. Tran Ngoc Nam Phuong(04-07-2019 10:29:07)
*SAMPLE QUANTITY: 2. 1PC FOR GOLDEN SAMPLE, 1PC WITH 1263 PACKING FOR ON SITE DROP TEST
*PLEASE NOTE BELOW MAIN CHANGES:
1) SEAT CUSHION WITHOUT PIPING
2) BOX WITHOUT HANDLES
*PLEASE ALSO FOLLOW OTHER REQUESTS IN 1263 TS QUALITY TAB AS ATTACHED
*1263 PACKING GUIDELINE ALSO ATTACHED
</t>
  </si>
  <si>
    <t>5/07082019/f613211e8d6e4dbc8392f4268b278fd8.jpg</t>
  </si>
  <si>
    <t>1 SAMPLE FOR SEAL &amp; 1 SAMPLE FOR PACKING CHECK (BOX WITHOUT HANDLE)</t>
  </si>
  <si>
    <t>3 FINISHED- Code: 20190704/TEC/001263/00000556/003</t>
  </si>
  <si>
    <t>20190704/TEC/001263/00000556/003</t>
  </si>
  <si>
    <t>7/04072019/1960bce3b3a44941ada1a39a756d359e.jpg</t>
  </si>
  <si>
    <t>AMALFI LOUNGE BENCH (1263) - 253530</t>
  </si>
  <si>
    <t xml:space="preserve">1. Tran Ngoc Nam Phuong(04-07-2019 10:29:07)
*SAMPLE QUANTITY: 2. 1PC FOR GOLDEN SAMPLE, 1PC WITH 1263 PACKING FOR ON SITE DROP TEST
*PLEASE NOTE BELOW MAIN CHANGES:
1) ADD 5 SUPPORT BRACKETS TO LINK THE FRONT HORIZONTAL BAR WITH THE MAIN STRUCTURE (SEE DETAIL IN TS)
2) MOVE FORWARD CENTRAL FOOT BY 10CM TO INCREASE FRONT SUPPORT (SEE DETAIL IN TS)
3) 1 BIG BACK CUSHION
4) BOX WITHOUT HANDLES
*PLEASE ALSO FOLLOW OTHER REQUESTS IN 1263 TS QUALITY TAB AS ATTACHED
*1263 PACKING GUIDELINE ALSO ATTACHED
</t>
  </si>
  <si>
    <t>5 ISSUED- Code: 20190704/TEC/001263/00000556/005</t>
  </si>
  <si>
    <t>20190704/TEC/001263/00000556/005</t>
  </si>
  <si>
    <t>a/04072019/d3a3c82f5476425f887c617871a7fb88.jpg</t>
  </si>
  <si>
    <t>AMALFI LOUNGE CHAIR (1263) - 253521</t>
  </si>
  <si>
    <t xml:space="preserve">1. Tran Ngoc Nam Phuong(04-07-2019 10:29:07)
*SAMPLE QUANTITY: 2. 1PC FOR GOLDEN SAMPLE, 1PC WITH 1263 PACKING FOR ON SITE DROP TEST
*PLEASE NOTE BELOW MAIN CHANGES:
1) ONLY BACK CUSHION, NO SIDE PILLOW
2) BOX WITHOUT HANDLES
*PLEASE ALSO FOLLOW OTHER REQUESTS IN 1263 TS QUALITY TAB AS ATTACHED
*1263 PACKING GUIDELINE ALSO ATTACHED
</t>
  </si>
  <si>
    <t>f/07082019/6a9ac595ea234da5bd998e06651e471e.jpg</t>
  </si>
  <si>
    <t>4 FINISHED- Code: 20190704/TEC/001263/00000556/004</t>
  </si>
  <si>
    <t>20190704/TEC/001263/00000556/004</t>
  </si>
  <si>
    <t>c/04072019/60768b0ca30f47c9b15297b53fc2b27d.jpg</t>
  </si>
  <si>
    <t>AMALFI LOUNGE TABLE (1263) - 253519</t>
  </si>
  <si>
    <t>GLASS TOP TERRACOTTA</t>
  </si>
  <si>
    <t xml:space="preserve">1. Tran Ngoc Nam Phuong(04-07-2019 10:29:07)
*SAMPLE QUANTITY: 3. 1PC FOR GOLDEN SAMPLE, 1PC WITH 1263 PACKING FOR ON SITE DROP TEST, 1PC FOR LAB TEST
*PLEASE NOTE BELOW MAIN CHANGES:
1) DOES NOT PASS STABILITY TEST: TO BE PASSED IT MUST NOT FALL UNDER 20KG. THE DIAMETER OF THE BASE SHOULD BE INCREASED
2) NEW SIZE: 80x80x44CM, PLEASE UPDATE INFO IN 1263 TS AFTER FINISHING SAMPLE
3) NO FRAME AROUND TOP, GLASS PLATE SHOULD BE ON TOP OF TOP
4) BOX WITHOUT HANDLES
*PLEASE ALSO FOLLOW OTHER REQUESTS IN 1263 TS QUALITY TAB AS ATTACHED, AND UPDATE TS AFTER FINISHING SAMPLE (OVERALL SIZE IN TS IS OLD)
*1263 PACKING GUIDELINE ALSO ATTACHED
</t>
  </si>
  <si>
    <t>b/04092019/6530882e46ca4b3fb0c9b36b6dd5a4e5.jpg</t>
  </si>
  <si>
    <t>6 ISSUED- Code: 20190704/TEC/001263/00000556/006</t>
  </si>
  <si>
    <t>20190704/TEC/001263/00000556/006</t>
  </si>
  <si>
    <t>c/02082019/7f881c0eb1e74385851057ba39147cf4.jpg</t>
  </si>
  <si>
    <t>2019-08-04</t>
  </si>
  <si>
    <t>BERN DINING CHAIR (1263) - 198807</t>
  </si>
  <si>
    <t xml:space="preserve">1. Ngo Duy Hung(02-08-2019 07:22:54)
*SAMPLE QUANTITY: 2. 1PC FOR GOLDEN SAMPLE, 1PC WITH 1263 PACKING FOR ON SITE DROP TEST
*PLEASE NOTE BELOW MAIN CHANGES:
1) ADD LEVELERS UNDER LEGS
2) LENGTH OF SEAT CUSHION TIE MUST BE 250MM
*PLEASE ALSO FOLLOW OTHER REQUESTS IN 1263 TS QUALITY TAB AS ATTACHED
*1263 PACKING GUIDELINE ALSO ATTACHED
</t>
  </si>
  <si>
    <t>9/08082019/65476db3ad834ff69b69a33d20cc02b8.jpg</t>
  </si>
  <si>
    <t>26 ISSUED- Code: 20190802/PAL/001263/00000556/026</t>
  </si>
  <si>
    <t>20190802/PAL/001263/00000556/026</t>
  </si>
  <si>
    <t>7/04072019/d4e97ea1b4cb42e3a015ed9b1aedac89.jpg</t>
  </si>
  <si>
    <t>BLAKES DINING TABLE 220CM (1263) - 248563</t>
  </si>
  <si>
    <t xml:space="preserve">1. Tran Ngoc Nam Phuong(05-07-2019 05:05:25)
*SAMPLE QUANTITY: 2. 1PC FOR GOLDEN SAMPLE, 1PC WITH 1263 PACKING FOR ON SITE DROP TEST
*PLEASE NOTE BELOW MAIN CHANGES:
1) ONLY OUR CURRENT TOP AND FINISHING
2) TOP THICKNESS 38MM
3) BOX WITHOUT HANDLES
*PLEASE ALSO FOLLOW OTHER REQUESTS IN 1263 TS QUALITY TAB AS ATTACHED
*1263 PACKING GUIDELINE ALSO ATTACHED
</t>
  </si>
  <si>
    <t>d/29072019/0eedbeb6ebee4616b33266ac30aea762.jpg</t>
  </si>
  <si>
    <t>10 FINISHED- Code: 20190704/APH/001263/00000556/010</t>
  </si>
  <si>
    <t>20190704/APH/001263/00000556/010</t>
  </si>
  <si>
    <t>2/04072019/45320c85f5e94b37b0df7e64ae95c4b3.jpg</t>
  </si>
  <si>
    <t>CANBERRA LOUNGE CORNER WITH KENT LOUNGE TABLE 80CM (1263) - 264054</t>
  </si>
  <si>
    <t xml:space="preserve">1. Tran Ngoc Nam Phuong(04-07-2019 11:06:55)
*SAMPLE QUANTITY: 2. 1PC FOR GOLDEN SAMPLE, 1PC WITH 1263 PACKING FOR ON SITE DROP TEST
*PLEASE NOTE BELOW MAIN CHANGES:
1) ADD CONNECTOR BETWEEN PARTS
2) BOX WITHOUT HANDLES
3) ONLY 1 KENT TABLE 80CM
*PLEASE ALSO FOLLOW OTHER REQUESTS IN 1263 TS QUALITY TAB AS ATTACHED
*1263 PACKING GUIDELINE ALSO ATTACHED
</t>
  </si>
  <si>
    <t>0/24072019/66f634e2371f4de7941511e00c92fa24.jpg</t>
  </si>
  <si>
    <t>11 FINISHED- Code: 20190704/ROS/001263/00000556/011</t>
  </si>
  <si>
    <t>20190704/ROS/001263/00000556/011</t>
  </si>
  <si>
    <t>9/24072019/4aaa8f3e73fb41fbbd97a4a046096253.jpg</t>
  </si>
  <si>
    <t>2019-08-03</t>
  </si>
  <si>
    <t>CUBA DINING TABLE 1263</t>
  </si>
  <si>
    <t xml:space="preserve">1. Ngo Duy Hung(24-07-2019 10:06:01)
MAKE AS SEAL SAMPLE FOR RE-SEALING, SEAL SAMPLE IS ALREADY BROKEN
</t>
  </si>
  <si>
    <t>25 ISSUED- Code: 20190724/APH/001263/00000556/025</t>
  </si>
  <si>
    <t>20190724/APH/001263/00000556/025</t>
  </si>
  <si>
    <t>4/04072019/a1c2b79041bc4b56b890995878bc2b23.jpg</t>
  </si>
  <si>
    <t>DELHI LOUNGE CHAIR FIXED NORTON PATTERN (1263) - 248530</t>
  </si>
  <si>
    <t xml:space="preserve">1. Ngo Duy Hung(11-07-2019 12:25:00)
*SAMPLE QUANTITY: 2. 1PC FOR GOLDEN SAMPLE, 1PC WITH 1263 PACKING FOR ON SITE DROP TEST
*PLEASE ALSO FOLLOW OTHER REQUESTS IN 1263 TS QUALITY TAB AS ATTACHED
*1263 PACKING GUIDELINE ALSO ATTACHED
</t>
  </si>
  <si>
    <t>1/24072019/ae5787fe6ab94a26b519a2629eb97c3f.jpg</t>
  </si>
  <si>
    <t>15 FINISHED- Code: 20190704/PAL/001263/00000556/015</t>
  </si>
  <si>
    <t>20190704/PAL/001263/00000556/015</t>
  </si>
  <si>
    <t>6/11072019/9ca59800fc654693be756ae6f1f955c0.jpg</t>
  </si>
  <si>
    <t>DELHI SUNBED (1263) - 246917</t>
  </si>
  <si>
    <t xml:space="preserve">1. Ngo Duy Hung(11-07-2019 12:25:00)
*SAMPLE QUANTITY: 2. 1PC FOR GOLDEN SAMPLE, 1PC WITH 1263 PACKING FOR ON SITE DROP TEST
*PLEASE NOTE BELOW MAIN CHANGES:
1) DIMENSION IN MDM TS: 195x65x63CM
2) BOX WITHOUT HANDLES
*PLEASE ALSO FOLLOW OTHER REQUESTS IN 1263 TS QUALITY TAB AS ATTACHED
*1263 PACKING GUIDELINE ALSO ATTACHED
</t>
  </si>
  <si>
    <t>0/24072019/1bb4eab782c94c6e8b299820b132bc0d.jpg</t>
  </si>
  <si>
    <t>16 FINISHED- Code: 20190704/ROS/001263/00000556/016</t>
  </si>
  <si>
    <t>20190704/ROS/001263/00000556/016</t>
  </si>
  <si>
    <t>0/04072019/afbdded788564141896af003ea4d5620.jpg</t>
  </si>
  <si>
    <t>HONOLULU LOUNGE BENCH (1263) - 248515</t>
  </si>
  <si>
    <t>LIGHT GREY (1200)</t>
  </si>
  <si>
    <t xml:space="preserve">1. Tran Ngoc Nam Phuong(04-07-2019 10:29:07)
*SAMPLE QUANTITY: 2. 1PC FOR GOLDEN SAMPLE, 1PC WITH 1263 PACKING FOR ON SITE DROP TEST
*PLEASE NOTE BELOW MAIN CHANGES:
1) FRONT BAR MUST BE COVERED BY ROPE TOO
2) WITH 5 SMAL BACK PILLOWS ONLY
3) BOX WITHOUT HANDLES
*PLEASE ALSO FOLLOW OTHER REQUESTS IN 1263 TS QUALITY TAB AS ATTACHED
*1263 PACKING GUIDELINE ALSO ATTACHED
</t>
  </si>
  <si>
    <t>8/08082019/5fc1de463e84497aaacee8031a2b4fc6.jpg</t>
  </si>
  <si>
    <t>2 FINISHED- Code: 20190704/PAL/001263/00000556/002</t>
  </si>
  <si>
    <t>20190704/PAL/001263/00000556/002</t>
  </si>
  <si>
    <t>6/11072019/b26419cafe3a4993a2b8ab11a185e500.jpg</t>
  </si>
  <si>
    <t>HONOLULU LOUNGE CHAIR (1263) - 248512</t>
  </si>
  <si>
    <t xml:space="preserve">1. Tran Ngoc Nam Phuong(04-07-2019 10:29:07)
*SAMPLE QUANTITY: 2. 1PC FOR GOLDEN SAMPLE, 1PC WITH 1263 PACKING FOR ON SITE DROP TEST
*PLEASE NOTE BELOW MAIN CHANGES:
1) FRONT BAR MUST BE COVERED BY ROPE TOO
2) THE ZIP SHOULD BE LONGER TO FACILITATE THE REMOVEING OF THE COVER. +10CM ON EACH SIDE. THE ZIP SHOULD BE 70CM
3) 1 BACK PILLOW ONLY.
4) BOX WITHOUT HANDLES
*PLEASE ALSO FOLLOW OTHER REQUESTS IN 1263 TS QUALITY TAB AS ATTACHED
*1263 PACKING GUIDELINE ALSO ATTACHED
</t>
  </si>
  <si>
    <t>4/08082019/509e5adc31cf45d7ac8f716ceaf8324c.jpg</t>
  </si>
  <si>
    <t>1 FINISHED- Code: 20190704/PAL/001263/00000556/001</t>
  </si>
  <si>
    <t>20190704/PAL/001263/00000556/001</t>
  </si>
  <si>
    <t>6/15072019/e78b8031487645feba01ef662ae0eca8.jpg</t>
  </si>
  <si>
    <t>HONOLULU ROUND BED (1263) - 248517</t>
  </si>
  <si>
    <t xml:space="preserve">2. Ngo Duy Hung(12-08-2019 05:58:24)
PLEASE REMAKE: Diameter of the item = 151 CM and Mattress thickness = 12CM, total seat height including mattress = 41cm
1. Ngo Duy Hung(15-07-2019 10:29:40)
*SAMPLE QUANTITY: 2. 1PC FOR GOLDEN SAMPLE, 1PC WITH 1263 PACKING FOR ON SITE DROP TEST
*PLEASE NOTE BELOW MAIN CHANGES:
1) INCREASE MATRESS DEPTH : 12CM 
2) HIGH SEAT LEVEL MUST DO 410 MM
3) WITH 4 BACK CUSHIONS 50x50 ONLY
4) ADD MIDDLE LEG WITH LEVELER
5) BOX WITHOUT HANDLES
*PLEASE ALSO FOLLOW OTHER REQUESTS IN 1263 TS QUALITY TAB AS ATTACHED
*1263 PACKING GUIDELINE ALSO ATTACHED
</t>
  </si>
  <si>
    <t>7/08082019/1b0e85c118c5491e9782e3d8ff5b58a0.jpg</t>
  </si>
  <si>
    <t>22 FINISHED- Code: 20190715/PAL/001263/00000556/022</t>
  </si>
  <si>
    <t>20190715/PAL/001263/00000556/022</t>
  </si>
  <si>
    <t>b/07092019/6d3bfa82d41b4327beedd282f6a0f478.jpg</t>
  </si>
  <si>
    <t>KRISTIANSTAD DINING CHAIR (1263)</t>
  </si>
  <si>
    <t xml:space="preserve">1. Ngo Duy Hung(12-07-2019 06:45:12)
4 CHAIRS NEED TO BE PACKED IN 1 BOX FOLLOWING 1263 PACKING REQUIREMENTS FOR DROP TEST AGAIN
ATTACHED THE PACKING MANUALS
</t>
  </si>
  <si>
    <t>21 ISSUED- Code: 20190712/PAL/001263/00000556/021</t>
  </si>
  <si>
    <t>20190712/PAL/001263/00000556/021</t>
  </si>
  <si>
    <t>5/04072019/d5d11286db30492f80b7e97f06a1b8bd.jpg</t>
  </si>
  <si>
    <t>LEONARDO LOUNGE BENCH PROMO (1263) - 248573</t>
  </si>
  <si>
    <t xml:space="preserve">1. Tran Ngoc Nam Phuong(04-07-2019 10:29:07)
*SAMPLE QUANTITY: 2. 1PC FOR GOLDEN SAMPLE, 1PC WITH 1263 PACKING FOR ON SITE DROP TEST
*PLEASE NOTE BELOW MAIN CHANGES:
1) SEAT HEIGHT : 40CM (+5CM FROM THE ORIGINAL SAMPLE, KEEP THE SAME MATRESS HEIGHT. RAISE THE STRUCTURE BY 5 CM.
2) 4 BACK CUSHIONS.
3) ADD 2 CROSS BAR UNDER THE SEAT
4) BOX WITH NO HANDLES
5) MOVE CENTRAL FEET 10CM FORWARD. 27.5CM FROM FRONT INSTEAD OF 37.5CM
*PLEASE ALSO FOLLOW OTHER REQUESTS IN 1263 TS QUALITY TAB AS ATTACHED
*1263 PACKING GUIDELINE ALSO ATTACHED
</t>
  </si>
  <si>
    <t>6/07082019/3cc04b715a7d4fc1bf744e4a8541da37.jpg</t>
  </si>
  <si>
    <t>7 FINISHED- Code: 20190704/PAL/001263/00000556/007</t>
  </si>
  <si>
    <t>20190704/PAL/001263/00000556/007</t>
  </si>
  <si>
    <t>2/04072019/d59cfc754bed49dc8e53f32110d2fd96.jpg</t>
  </si>
  <si>
    <t>LEONARDO LOUNGE CHAIR PROMO (1263) - 256912</t>
  </si>
  <si>
    <t xml:space="preserve">1. Tran Ngoc Nam Phuong(04-07-2019 10:29:07)
*SAMPLE QUANTITY: 2. 1PC FOR GOLDEN SAMPLE, 1PC WITH 1263 PACKING FOR ON SITE DROP TEST
*PLEASE NOTE BELOW MAIN CHANGES:
1) SEAT HEIGHT : 40CM (+5CM FROM THE ORIGINAL SAMPLE, KEEP THE SAME MATRESS HEIGHT. RAISE THE STRUCTURE BY 5 CM.
2) 2 BACK CUSHIONS.
3) ADD 2 CROSS BAR UNDER THE SEAT
4) BOX WITH NO HANDLES
*PLEASE ALSO FOLLOW OTHER REQUESTS IN 1263 TS QUALITY TAB AS ATTACHED
*1263 PACKING GUIDELINE ALSO ATTACHED
</t>
  </si>
  <si>
    <t>f/07082019/dd619dbf6fad40aa8fe425b45b626544.jpg</t>
  </si>
  <si>
    <t>8 FINISHED- Code: 20190704/PAL/001263/00000556/008</t>
  </si>
  <si>
    <t>20190704/PAL/001263/00000556/008</t>
  </si>
  <si>
    <t>2/11072019/ed448488d7404414a10c0be1e4e66acf.jpg</t>
  </si>
  <si>
    <t>LILLE DINING CHAIR (1263) - 262493</t>
  </si>
  <si>
    <t xml:space="preserve">3. Ngo Duy Hung(12-08-2019 05:58:24)
ARMREST SHOULD BE LOWER THAN 65CM
2. An Huyen Cao(11-07-2019 17:57:33)
NEW TARGET PRICE $62
1. Tran Ngoc Nam Phuong(04-07-2019 11:06:55)
*SAMPLE QUANTITY: 3. 1PC FOR GOLDEN SAMPLE, 1PC WITH 1263 PACKING FOR ON SITE DROP TEST, 1PC FOR LAB TEST
*PLEASE NOTE BELOW MAIN CHANGES:
1) MAKE LEGS AND BASE AS STAFFORD DINING CHAIR
2) STRAPS IN SEAT INSTEAD OF ROPE
3) SEAT CUSHION WITH TIE
4) BOX WITHOUT HANDLES
*1263 PACKING GUIDELINE ALSO ATTACHED
</t>
  </si>
  <si>
    <t>7/07082019/cb7ed72169484d77a699e5742f7fc442.jpg</t>
  </si>
  <si>
    <t>14 FINISHED- Code: 20190704/PAL/001263/00000556/014</t>
  </si>
  <si>
    <t>20190704/PAL/001263/00000556/014</t>
  </si>
  <si>
    <t>a/04072019/f9e577c9cfe14afba671987ec042e8cf.jpg</t>
  </si>
  <si>
    <t>LILLE LOUNGE BENCH (1263) - 248524</t>
  </si>
  <si>
    <t xml:space="preserve">1. Tran Ngoc Nam Phuong(04-07-2019 11:06:55)
*SAMPLE QUANTITY: 2. 1PC FOR GOLDEN SAMPLE, 1PC WITH 1263 PACKING FOR ON SITE DROP TEST
*PLEASE NOTE BELOW MAIN CHANGES:
1) NEW WIDTH 160CM I/O 175 TO LOWER THE PRICE, PLEASE UPDATE INFO IN 1263 TS SHEET (DIMENSION IN TS IS OLD)
2) STRAPS IN SEAT INSTEAD OF ROPE
3) THE SOFA AND THE ARMCHAIR SHOULD HAVE THE SAME DEPTH OF DOUBLE ROPE ON THE TOP CORNER (SEE DETAIL IN TS)
4) BOX WITHOUT HANDLES
*PLEASE ALSO FOLLOW OTHER REQUESTS IN 1263 TS QUALITY TAB AS ATTACHED, ALSO UPDATE INFO IN TS AFTER FINISHING SAMPLE.
*1263 PACKING GUIDELINE ALSO ATTACHED
*FOR FABRIC OLIVE GREEN PLS CONTACT THUY
</t>
  </si>
  <si>
    <t>b/30072019/0699efdc639d4a2db51561c4dbed5438.jpg</t>
  </si>
  <si>
    <t>13 ISSUED- Code: 20190704/ROS/001263/00000556/013</t>
  </si>
  <si>
    <t>20190704/ROS/001263/00000556/013</t>
  </si>
  <si>
    <t>3/04072019/a1d0186621374d4088e045da32647e80.jpg</t>
  </si>
  <si>
    <t>LILLE LOUNGE CHAIR (1263) - 248523</t>
  </si>
  <si>
    <t xml:space="preserve">1. Tran Ngoc Nam Phuong(04-07-2019 11:06:55)
*SAMPLE QUANTITY: 2. 1PC FOR GOLDEN SAMPLE, 1PC WITH 1263 PACKING FOR ON SITE DROP TEST
*PLEASE NOTE BELOW MAIN CHANGES:
1) STRAPS IN SEAT INSTEAD OF ROPE
2) THE SOFA AND THE ARMCHAIR SHOULD HAVE THE SAME DEPTH OF DOUBLE ROPE ON THE TOP CORNER (SEE DETAIL IN TS)
3) BOX WITHOUT HANDLES
*PLEASE ALSO FOLLOW OTHER REQUESTS IN 1263 TS QUALITY TAB AS ATTACHED
*1263 PACKING GUIDELINE ALSO ATTACHED
*FOR FABRIC OLIVE GREEN PLS CHECK WITH THUY
</t>
  </si>
  <si>
    <t>4/03082019/b30ec02e390f4acabc8a9b27b847abc4.jpg</t>
  </si>
  <si>
    <t>12 FINISHED- Code: 20190704/ROS/001263/00000556/012</t>
  </si>
  <si>
    <t>20190704/ROS/001263/00000556/012</t>
  </si>
  <si>
    <t>f/04072019/6b94eb41f5da4a738a9b6b5f0739dba5.jpg</t>
  </si>
  <si>
    <t>MANCHESTER SUNLOUNGER (1263) - 256894</t>
  </si>
  <si>
    <t xml:space="preserve">1. Tran Ngoc Nam Phuong(04-07-2019 11:06:55)
*SAMPLE QUANTITY: 3. 1PC FOR GOLDEN SAMPLE, 1PC WITH 1263 PACKING FOR ON SITE DROP TEST, 1PC FOR LAB TEST
*PLEASE NOTE BELOW MAIN CHANGES:
1) REMOVE CURVE AT HEAD, ONLY STRAIGHT SLAT (SEE ATTACHED PHOTO)
2) BOX WITHOUT HANDLES
3) IMPROVE THE GAP IN STRUCTURE TO AVOID FINGER STUCK ISSUE (SEE DETAILS IN TS SHEET)
4) BACKREST SLIDING SHOULD BE IMPROVED AS SAMOA SUNLOUNGER TO AVOID ACCIDENTAL FOLDING (SEE DETAILS IN TS)
5) NO HEAD CUSHION, STITCHING ALSO AT HEAD PART OF MATTRESS
*PLEASE ALSO FOLLOW OTHER REQUESTS IN 1263 TS QUALITY TAB AS ATTACHED
*1263 PACKING GUIDELINE ALSO ATTACHED
</t>
  </si>
  <si>
    <t>7/24072019/921dc973335b4185bb5ce251d3d6725d.jpg</t>
  </si>
  <si>
    <t>17 FINISHED- Code: 20190704/ROS/001263/00000556/017</t>
  </si>
  <si>
    <t>20190704/ROS/001263/00000556/017</t>
  </si>
  <si>
    <t>9/08082017/9472db5218cf448a944a02aa048a23ad.jpg</t>
  </si>
  <si>
    <t>STAFFORD LOUNGE BENCH 2-SEATER (1263)</t>
  </si>
  <si>
    <t xml:space="preserve">1. Ngo Duy Hung(12-07-2019 06:23:46)
SAMPLE WITH SEATING IN BRAIDED OUTDOOR.
SAMPLE FOR UPDATE GOLDEN SAMPLE
COLOR SWATCH:
7 X A4 FABRIC ROYAL STONE GREY 240 ILAN
</t>
  </si>
  <si>
    <t>e/07082019/c80c88060b034731adb74af09a14f992.jpg</t>
  </si>
  <si>
    <t>19 FINISHED- Code: 20190712/PAL/001263/00000556/019</t>
  </si>
  <si>
    <t>20190712/PAL/001263/00000556/019</t>
  </si>
  <si>
    <t>5/08082017/3eac0a47a05b4feba80f96c6b1081d9e.jpg</t>
  </si>
  <si>
    <t>STAFFORD LOUNGE BENCH 3-SEATER (1263)</t>
  </si>
  <si>
    <t xml:space="preserve">1. Ngo Duy Hung(12-07-2019 06:23:46)
SAMPLE WITH SEATING IN BRAIDED OUTDOOR.
SAMPLE FOR UPDATE GOLDEN SAMPLE
</t>
  </si>
  <si>
    <t>2/07082019/8d23219fd870467ea039974af4b35f34.jpg</t>
  </si>
  <si>
    <t>20 FINISHED- Code: 20190712/PAL/001263/00000556/020</t>
  </si>
  <si>
    <t>20190712/PAL/001263/00000556/020</t>
  </si>
  <si>
    <t>d/12102017/28ceee3436504397a2b8a874d65fc853.jpg</t>
  </si>
  <si>
    <t>STAFFORD LOUNGE CHAIR (1263)</t>
  </si>
  <si>
    <t>6/07082019/b17e0e37e31f498cb78a8689b8aa26a4.jpg</t>
  </si>
  <si>
    <t>18 FINISHED- Code: 20190712/PAL/001263/00000556/018</t>
  </si>
  <si>
    <t>20190712/PAL/001263/00000556/018</t>
  </si>
  <si>
    <t>6/11072019/48fb5c1f695348c5b36ff292df9f394c.jpg</t>
  </si>
  <si>
    <t>TENERIFE LOUNGE CORNER SET PROMO (1263) - 256899 &amp; 257197</t>
  </si>
  <si>
    <t xml:space="preserve">1. Tran Ngoc Nam Phuong(04-07-2019 10:29:07)
*SAMPLE QUANTITY: 2. 1PC FOR GOLDEN SAMPLE, 1PC WITH 1263 PACKING FOR ON SITE DROP TEST
*PLEASE NOTE BELOW MAIN CHANGES:
1) SEAT CUSHION WITHOUT PIPING
2) BOX WITHOUT HANDLES
*1263 PACKING GUIDELINE ALSO ATTACHED
</t>
  </si>
  <si>
    <t>9 ISSUED- Code: 20190704/PAL/001263/00000556/009</t>
  </si>
  <si>
    <t>20190704/PAL/001263/00000556/009</t>
  </si>
  <si>
    <t>3/04072019/beca64fc05814399805788e43ae702e7.jpg</t>
  </si>
  <si>
    <t>LARISSA LOUNGE SET</t>
  </si>
  <si>
    <t>GRADE A</t>
  </si>
  <si>
    <t>WILL BE INFORMED LATER</t>
  </si>
  <si>
    <t xml:space="preserve">1. (04-07-2019 14:05:19)
BASIC U.S STANDARD (SEAT IMPACT 225LBS, LEG STRENGTH 75LBS)
</t>
  </si>
  <si>
    <t>PACIFIC CASUAL LLC</t>
  </si>
  <si>
    <t>1 CREATED- Code: 20190704/PAL/909539/00000557/001</t>
  </si>
  <si>
    <t>20190704/PAL/909539/00000557/001</t>
  </si>
  <si>
    <t>d/04072019/83ab45ca3e3f471496d55f7e353ef398.jpg</t>
  </si>
  <si>
    <t>YORKSHIRE CORNER SET</t>
  </si>
  <si>
    <t xml:space="preserve">1. (04-07-2019 14:10:29)
- WOODEN TABLE TOP: SLAT WIDTH ROUGHLY 8 - 10 CM, SLAT SPACE 5 MM
- BASIC U.S CONSTRUCTION (SEAT IMPACT 225LBS, LEG STRENGTH 75LBS)
</t>
  </si>
  <si>
    <t>2 CREATED- Code: 20190704/APO/909539/00000557/002</t>
  </si>
  <si>
    <t>20190704/APO/909539/00000557/002</t>
  </si>
  <si>
    <t>6/05072019/ac50a4b301c64f7c98c4d408e84a9e51.jpg</t>
  </si>
  <si>
    <t xml:space="preserve">1. Tran Ngoc Nam Phuong(05-07-2019 06:22:38)
Cancel the piping on the seat cushion
</t>
  </si>
  <si>
    <t>PHOTOSHOOT SAMPLE</t>
  </si>
  <si>
    <t>3 ISSUED- Code: 20190705/TEC/001263/00000558/003</t>
  </si>
  <si>
    <t>20190705/TEC/001263/00000558/003</t>
  </si>
  <si>
    <t>c/05072019/9fdbe4d8b6ea4bb79aa8c7a9eb3aa470.jpg</t>
  </si>
  <si>
    <t xml:space="preserve">1. Tran Ngoc Nam Phuong(05-07-2019 06:22:38)
Top should be glass. Please do not forget the size has been changed: Top should not be in the frame, but only on top of the table to save further costs
No Frame around table top. Construction more simple. New table size 80x80x44cm
 the table is falling with 10KG of stability test. To be PASS it must be not falling under 20KG. You should increase the diameter of the base, until the test is PASS.
</t>
  </si>
  <si>
    <t>6 ISSUED- Code: 20190705/TEC/001263/00000558/006</t>
  </si>
  <si>
    <t>20190705/TEC/001263/00000558/006</t>
  </si>
  <si>
    <t>5/10072019/d338015ade0c4793ae367d1b42cbea37.jpg</t>
  </si>
  <si>
    <t>BERN DINING CHAIR (1263) - 247230</t>
  </si>
  <si>
    <t>STANDARD WITH STRING</t>
  </si>
  <si>
    <t>16 ISSUED- Code: 20190710/TEC/001263/00000558/016</t>
  </si>
  <si>
    <t>20190710/TEC/001263/00000558/016</t>
  </si>
  <si>
    <t>3/05072019/ec17f418a3fa414da020b16476dbb433.jpg</t>
  </si>
  <si>
    <t xml:space="preserve">1. Tran Ngoc Nam Phuong(05-07-2019 07:03:27)
1/ Please make sample with cross bar as picture
2/ Please sample base on concrete top standard color
3/ Top thickness: 38mm
</t>
  </si>
  <si>
    <t>c/29072019/4df28efbcec842f181c3f82eeddae25e.jpg</t>
  </si>
  <si>
    <t>10 FINISHED- Code: 20190705/APH/001263/00000558/010</t>
  </si>
  <si>
    <t>20190705/APH/001263/00000558/010</t>
  </si>
  <si>
    <t>b/05072019/cdec725ccb884bd8a2fad20e36ca8c98.jpg</t>
  </si>
  <si>
    <t>CUSHION SET OF HONOLULU LOUNGE BENCH (1263) - 248515</t>
  </si>
  <si>
    <t>2 ISSUED- Code: 20190705/PAL/001263/00000558/002</t>
  </si>
  <si>
    <t>20190705/PAL/001263/00000558/002</t>
  </si>
  <si>
    <t>7/10072019/3e71f30104974b8fbba81c744d0b02f1.jpg</t>
  </si>
  <si>
    <t>CUSHION SET OF HONOLULU ROUND BED (1263) - 248517</t>
  </si>
  <si>
    <t xml:space="preserve">1. Ngo Duy Hung(10-07-2019 09:24:46)
1) INCREASE MATRESS DEPTH : 12CM
2) 4 BACK PILLOWS 50X50CM
</t>
  </si>
  <si>
    <t>15 ISSUED- Code: 20190710/PAL/001263/00000558/015</t>
  </si>
  <si>
    <t>20190710/PAL/001263/00000558/015</t>
  </si>
  <si>
    <t>6/05072019/567c06867c2a43de9fb087c99cb9241f.jpg</t>
  </si>
  <si>
    <t>15 ISSUED- Code: 20190705/PAL/001263/00000558/015</t>
  </si>
  <si>
    <t>20190705/PAL/001263/00000558/015</t>
  </si>
  <si>
    <t>3/10072019/e54186ef661c424b93ea8c1033b04102.jpg</t>
  </si>
  <si>
    <t xml:space="preserve">1. Ngo Duy Hung(10-07-2019 07:59:33)
Dimension: 195x65x63cm
</t>
  </si>
  <si>
    <t>16 ISSUED- Code: 20190705/ROS/001263/00000558/016</t>
  </si>
  <si>
    <t>20190705/ROS/001263/00000558/016</t>
  </si>
  <si>
    <t>9/10072019/b43738d628b3412181d79430e5da0816.jpg</t>
  </si>
  <si>
    <t xml:space="preserve">LIGHT GREY  (1200)</t>
  </si>
  <si>
    <t xml:space="preserve">2. Ngo Duy Hung(10-07-2019 06:18:06)
*Make 1 more cushion set in Off white
1. Tran Ngoc Nam Phuong(05-07-2019 06:22:38)
* Only 1 back pillow 50x50cm needed
* The front metal tube must be covered by rope also
* The zip should be longer to facilitate the removing of the cover. +10cm on each side. The zip should be 70cm.
</t>
  </si>
  <si>
    <t>1 ISSUED- Code: 20190705/PAL/001263/00000558/001</t>
  </si>
  <si>
    <t>20190705/PAL/001263/00000558/001</t>
  </si>
  <si>
    <t>7/05072019/6edbcaf447604ab2af814a0eeafddb8d.jpg</t>
  </si>
  <si>
    <t xml:space="preserve">1. Tran Ngoc Nam Phuong(05-07-2019 06:22:38)
1) SEAT HEIGHT : 40CM (+5CM FROM THE ORIGINAL SAMPLE, KEEP THE SAME MATRESS HEIGHT. RAISE THE STRUCTURE BY 5 CM.
2) 4 BACK CUSHIONS.
3) ADD 2 CROSS BAR UNDER THE SEAT
</t>
  </si>
  <si>
    <t>7 ISSUED- Code: 20190705/PAL/001263/00000558/007</t>
  </si>
  <si>
    <t>20190705/PAL/001263/00000558/007</t>
  </si>
  <si>
    <t>7/05072019/792858ae688341b2b65772dcf9462c47.jpg</t>
  </si>
  <si>
    <t xml:space="preserve">1. Tran Ngoc Nam Phuong(05-07-2019 07:03:27)
1) SEAT HEIGHT : 40CM (+5CM FROM THE ORIGINAL SAMPLE, KEEP THE SAME MATRESS HEIGHT. RAISE THE STRUCTURE BY 5 CM.
2) 2 BACK CUSHIONS.
3) ADD 2 CROSS BAR UNDER THE SEAT
</t>
  </si>
  <si>
    <t>8 ISSUED- Code: 20190705/PAL/001263/00000558/008</t>
  </si>
  <si>
    <t>20190705/PAL/001263/00000558/008</t>
  </si>
  <si>
    <t>6/10072019/29a8d228dffc44cb87befdb400fb7bf9.jpg</t>
  </si>
  <si>
    <t xml:space="preserve">1. Tran Ngoc Nam Phuong(05-07-2019 07:03:27)
1) Use Stafford Dining legs and straps in seat
2) Oliver Green fabric: we approve new color which match rope. Please check with THUY
3) seat cushion with string to tie
</t>
  </si>
  <si>
    <t>14 ISSUED- Code: 20190705/PAL/001263/00000558/014</t>
  </si>
  <si>
    <t>20190705/PAL/001263/00000558/014</t>
  </si>
  <si>
    <t>2/05072019/8211bb4fe1264bcd9243ffa88f04cb7e.jpg</t>
  </si>
  <si>
    <t xml:space="preserve">1. Tran Ngoc Nam Phuong(05-07-2019 07:03:27)
1) Make straps in seat
2) Oliver Green fabric: we approve new color which match rope. Please check with THUY
3) Notice rope height at arm as attached photo
4) Make width of bench: 160cm
</t>
  </si>
  <si>
    <t>13 ISSUED- Code: 20190705/ROS/001263/00000558/013</t>
  </si>
  <si>
    <t>20190705/ROS/001263/00000558/013</t>
  </si>
  <si>
    <t>e/05072019/59f669783e904bcca74336b6767ca71c.jpg</t>
  </si>
  <si>
    <t xml:space="preserve">1. Tran Ngoc Nam Phuong(05-07-2019 07:03:27)
1) Make straps in seat
2) Oliver Green fabric: we approve new color which match rope. Please check with THUY
3) Please notice rope height at arm in attached photo
</t>
  </si>
  <si>
    <t>e/24072019/e02cca07b6644646920b0594ee30206c.jpg</t>
  </si>
  <si>
    <t>12 ISSUED- Code: 20190705/ROS/001263/00000558/012</t>
  </si>
  <si>
    <t>20190705/ROS/001263/00000558/012</t>
  </si>
  <si>
    <t>4/05072019/643999cc82d6422e9af5374e0192fa72.jpg</t>
  </si>
  <si>
    <t xml:space="preserve">1. Tran Ngoc Nam Phuong(05-07-2019 07:03:27)
REMOVE CURVE AT HEAD, KEEP STRAIGHT SLAT
</t>
  </si>
  <si>
    <t>17 ISSUED- Code: 20190705/ROS/001263/00000558/017</t>
  </si>
  <si>
    <t>20190705/ROS/001263/00000558/017</t>
  </si>
  <si>
    <t>8/10072019/db477efaf12148a0bcd82a05ea5f37c3.jpg</t>
  </si>
  <si>
    <t>TENERIFE LOUNGE CORNER SET PROMO (1263) - 264058</t>
  </si>
  <si>
    <t>ACACICA</t>
  </si>
  <si>
    <t xml:space="preserve">1. Tran Ngoc Nam Phuong(05-07-2019 07:03:27)
Make TENERIFE corner set base on Babados coner frame &amp; Babados table as PAL confirm price : 568 USD/ set
</t>
  </si>
  <si>
    <t>9 ISSUED- Code: 20190705/PAL/001263/00000558/009</t>
  </si>
  <si>
    <t>20190705/PAL/001263/00000558/009</t>
  </si>
  <si>
    <t>a/12072019/8d111be857a444d0b6d5db34e8269da8.jpg</t>
  </si>
  <si>
    <t>2019-07-21</t>
  </si>
  <si>
    <t>BOSCO BENCH (909314)</t>
  </si>
  <si>
    <t>ARMY GREEN</t>
  </si>
  <si>
    <t xml:space="preserve">1. Huynh Thi To Nga(10-07-2019 15:34:07)
Insert steel core ( profile 19 thickness 0.7MM) to all side bars of Alu frame to make it stronger.
Keep the middle leg as KD.
Keep the length as current sample and the width should be 39
Please check the revised TD. Thanks !
Note that :PACKAGING FOR DROP TEST- CARTON 175LBS/V PROTECTORS/ PE FOAM 15-20MM
</t>
  </si>
  <si>
    <t>0/30072019/c2c3b14ccc77459b9f979a8a390f26fc.jpg</t>
  </si>
  <si>
    <t>CLIENT WILL COME TO SHOWROOM TO SIGN OFF SAMPLES</t>
  </si>
  <si>
    <t>6 FINISHED- Code: 20190710/PAL/909314/00000559/006</t>
  </si>
  <si>
    <t>20190710/PAL/909314/00000559/006</t>
  </si>
  <si>
    <t>b/11072019/c91cc2d0b83f4cb5881779dbd6cc07f5.jpg</t>
  </si>
  <si>
    <t xml:space="preserve">BOSCO DINING CHAIR  (909314)</t>
  </si>
  <si>
    <t>ARMY GREEN 1200</t>
  </si>
  <si>
    <t xml:space="preserve">1. Huynh Thi To Nga(10-07-2019 15:34:07)
Backrest --&gt; will apply  rope 4.5 Army Green 1200 and Taupe as rendering
Seat frame --&gt; will apply rope 4.5 Army Green as our standard weaving. 
                    ==&gt; new dimension will be 420MM
Add more 1CM to front legs.Please check the revised TD. Thanks !
Note that :PACKAGING FOR DROP TEST- CARTON 175LBS/V PROTECTORS/ PE FOAM 15-20MM
</t>
  </si>
  <si>
    <t>1/30072019/62594301cbbc4a70850b9fe4c7d1bf41.jpg</t>
  </si>
  <si>
    <t>5 FINISHED- Code: 20190710/PAL/909314/00000559/005</t>
  </si>
  <si>
    <t>20190710/PAL/909314/00000559/005</t>
  </si>
  <si>
    <t>e/11072019/e7115e25fa894587bf095b5131778784.jpg</t>
  </si>
  <si>
    <t>BOSCO DINING TABLE ( 909314)</t>
  </si>
  <si>
    <t xml:space="preserve">1. Huynh Thi To Nga(10-07-2019 15:34:07)
pls follow attached TD. Thanks !
PACKAGING FOR DROP TEST- CARTON 175LBS/V PROTECTORS/ PE FOAM 15-20MM
Please update the revised TD for Bosco dining table on 29Jul
</t>
  </si>
  <si>
    <t>1/30072019/44fbe667072b47ed834fdefa18fb2936.jpg</t>
  </si>
  <si>
    <t>4 FINISHED- Code: 20190710/AKI/909314/00000559/004</t>
  </si>
  <si>
    <t>20190710/AKI/909314/00000559/004</t>
  </si>
  <si>
    <t>2/09072019/7f36f7e4cd8743548ebf947baa26acc5.jpg</t>
  </si>
  <si>
    <t>JALA DINING CHAIR WITHOUT ARM ( 909314)</t>
  </si>
  <si>
    <t xml:space="preserve">1. Huynh Thi To Nga(09-07-2019 07:33:49)
Add more support bars to font and back.
Add 1 center rail to keep the chair stronger.
Please follow the revised TD as client request. Thanks !
PACKAGING FOR DROP TEST- CARTON 175LBS/V PROTECTORS/ PE FOAM 15-20MM
STACKING 2PCS/ BOX
</t>
  </si>
  <si>
    <t>1/31072019/880665de90d146d7b00ddc0b842452b9.jpg</t>
  </si>
  <si>
    <t>3 FINISHED- Code: 20190709/TEC/909314/00000559/003</t>
  </si>
  <si>
    <t>20190709/TEC/909314/00000559/003</t>
  </si>
  <si>
    <t>9/04062019/96b1343fad6f489e90f05ac307e1bb46.jpg</t>
  </si>
  <si>
    <t xml:space="preserve">1. Huynh Thi To Nga(08-07-2019 07:49:53)
Add 1 more screw at the corner
The height from floor to backrest should be 845 MM
Seat height is 460 MM ( included cushion )
Backrest degree should be 104 ,Remove metal of back frame.
Ties of cushion has to be  finished. Please see the revised TD. Thanks !
Note that PACKAGING FOR DROP TEST- CARTON 175LBS/V PROTECTORS/ PE FOAM 15-20MM
                  CUSHION FABRIC &amp; FOAM SHOULD BE FR
</t>
  </si>
  <si>
    <t>e/30072019/8cd50635bf24411ea6a8726a1f128738.jpg</t>
  </si>
  <si>
    <t>2 FINISHED- Code: 20190708/PAL/909314/00000559/002</t>
  </si>
  <si>
    <t>20190708/PAL/909314/00000559/002</t>
  </si>
  <si>
    <t xml:space="preserve">1. Huynh Thi To Nga(08-07-2019 07:49:53)
Table top should be uniform color
Add 1 more support bar underneath as client request.
Overhand 20CM
Thickness of Alu leg from 1.2MM change to 1.5MM
Please see the revised TD . Thanks !
Note that PACKAGING FOR DROP TEST- CARTON 175LBS/V PROTECTORS/ PE FOAM 15-20MM
</t>
  </si>
  <si>
    <t>6/30072019/91369eb1672f4249a0bbe3d45e3dd71d.jpg</t>
  </si>
  <si>
    <t>1 FINISHED- Code: 20190708/PAL/909314/00000559/001</t>
  </si>
  <si>
    <t>20190708/PAL/909314/00000559/001</t>
  </si>
  <si>
    <t>6/08072019/49744a96292f426b87c0d1faaf47e950.jpg</t>
  </si>
  <si>
    <t>2019-08-06</t>
  </si>
  <si>
    <t>GROSETTO KITCHEN PART BIG FOR FRIDGE RESIN TOP ( 72X89X90CM)</t>
  </si>
  <si>
    <t>GRANITE TOP</t>
  </si>
  <si>
    <t xml:space="preserve">1. Tran Ngoc Nam Phuong(08-07-2019 09:39:20)
PLEASE MAKE NEW SIZE: 72X89X90CM
THE COLOR TOP AS PICTURE ATTACHED.
</t>
  </si>
  <si>
    <t>0/07082019/2fc41b20fdc34662a9e0cff2939ec1d5.jpg</t>
  </si>
  <si>
    <t>2019-07-20</t>
  </si>
  <si>
    <t>2 FINISHED- Code: 20190708/ROS/001682/00000560/002</t>
  </si>
  <si>
    <t>20190708/ROS/001682/00000560/002</t>
  </si>
  <si>
    <t>7/08072019/1df6aaeedbee4749a0702bbb70cdfa56.jpg</t>
  </si>
  <si>
    <t>GROSETTO KITCHEN PART LOW BIG WITH TWO DOORS RESIN TOP (72X89X65CM)</t>
  </si>
  <si>
    <t xml:space="preserve">1. Tran Ngoc Nam Phuong(08-07-2019 09:39:20)
PLEASE MAKE NEW SIZE: 72X89X65CM
THE COLOR TOP AS PICTURE ATTACHED.
</t>
  </si>
  <si>
    <t>f/07082019/53585cf5029644dfb9ed4ca123846d1d.jpg</t>
  </si>
  <si>
    <t>3 FINISHED- Code: 20190708/ROS/001682/00000560/003</t>
  </si>
  <si>
    <t>20190708/ROS/001682/00000560/003</t>
  </si>
  <si>
    <t>e/08072019/c89fac4fc8af49cc957e72acc245b32a.jpg</t>
  </si>
  <si>
    <t>TREVISO OUTDOOR KITCHEN, PART BIG OPEN WITH ONE DOOR RESIN TOP (72X89X90CM)</t>
  </si>
  <si>
    <t xml:space="preserve">1. Tran Ngoc Nam Phuong(08-07-2019 09:39:20)
PLEASE MAKE NEW SIZE: 72X89X90
THE COLOR TOP AS PICTURE ATTACHED.
</t>
  </si>
  <si>
    <t>d/07082019/7eed0b55a5de435e860529ff357ade8d.jpg</t>
  </si>
  <si>
    <t>1 FINISHED- Code: 20190708/ROS/001682/00000560/001</t>
  </si>
  <si>
    <t>20190708/ROS/001682/00000560/001</t>
  </si>
  <si>
    <t>e/11072019/b85243f0ed57430386a56f8fb634ed36.jpg</t>
  </si>
  <si>
    <t>2019-07-26</t>
  </si>
  <si>
    <t>LENCO LOUNGE SET WITH K.D TABLE (1260)</t>
  </si>
  <si>
    <t xml:space="preserve">2. Ngo Duy Hung(11-07-2019 13:12:28)
COLOR SWATCH:
5 X A4 WICKER DOUBLE ROUND LIGHT BAMBOO WEAVING ON LIGHT BAMBOO FRAME
5 X A4 FABRIC ROYAL STONE GREY 240
1. Ngo Duy Hung(11-07-2019 13:11:06)
SAMPLE SIZE: 1 CHAIR, 1 BENCH, 1 TABLE
SAMPLE SHOULD PASS EN581-1/2/3
</t>
  </si>
  <si>
    <t>6/26072019/6f77f1f4474b4904aa0bf098ab9ee56b.jpg</t>
  </si>
  <si>
    <t>3 FINISHED- Code: 20190711/APO/001260/00000562/003</t>
  </si>
  <si>
    <t>20190711/APO/001260/00000562/003</t>
  </si>
  <si>
    <t>4/11072019/050887e3335c4cdaae04086d7cc14127.jpg</t>
  </si>
  <si>
    <t>NORTON LOUNGE SET (1260)</t>
  </si>
  <si>
    <t>RATTAN GREY BIRDSEYE WEAVING</t>
  </si>
  <si>
    <t xml:space="preserve">2. Ngo Duy Hung(11-07-2019 13:15:42)
COLOR SWATCH:
5 X A4 WOOD ACACIA LIGHT TEAK LOOK
5 X A4 WICKER RATTAN GREY BIRD-EYE WEAVING
5 X A4 FABRIC ROYAL STONE BROWN 240
1. Ngo Duy Hung(11-07-2019 13:11:06)
SAMPLE SIZE: 1 CHAIR, 1 BENCH, 1 TABLE
SAMPLE SHOULD PASS EN581-1/2/3
</t>
  </si>
  <si>
    <t>0/19082019/d7fe53fe5c18496889373ad772fe48b0.jpg</t>
  </si>
  <si>
    <t>10 FINISHED- Code: 20190711/ROS/001260/00000562/010</t>
  </si>
  <si>
    <t>20190711/ROS/001260/00000562/010</t>
  </si>
  <si>
    <t>5/11072019/156e28d600a347b8b94a6ab4241f5e67.jpg</t>
  </si>
  <si>
    <t xml:space="preserve">2. Ngo Duy Hung(11-07-2019 13:15:42)
5 X A4 FABRIC NATURAL TAUPE 240
1. Ngo Duy Hung(11-07-2019 13:11:06)
SAMPLE SHOULD PASS EN581-1/2
</t>
  </si>
  <si>
    <t>5/26072019/6092b26cd568486ba582a1165a4fe74d.jpg</t>
  </si>
  <si>
    <t>4 FINISHED- Code: 20190711/APO/001260/00000562/004</t>
  </si>
  <si>
    <t>20190711/APO/001260/00000562/004</t>
  </si>
  <si>
    <t>b/11072019/5c92d2f4118c4de98490fa79574eb7cc.jpg</t>
  </si>
  <si>
    <t>SAHARA LOUNGE CHAIR</t>
  </si>
  <si>
    <t>2 ISSUED- Code: 20190711/NIG/001260/00000562/002</t>
  </si>
  <si>
    <t>20190711/NIG/001260/00000562/002</t>
  </si>
  <si>
    <t>1/11072019/894ead1e8b904c2fb64174743806401b.jpg</t>
  </si>
  <si>
    <t>YATE LOUNGE BENCH</t>
  </si>
  <si>
    <t xml:space="preserve">1. Ngo Duy Hung(11-07-2019 13:11:06)
SAMPLE SHOULD PASS EN581-1/2/3
</t>
  </si>
  <si>
    <t>3/25072019/ee144bcfbaf24170acafb8bf28937574.jpg</t>
  </si>
  <si>
    <t>226</t>
  </si>
  <si>
    <t>6 FINISHED- Code: 20190711/BIG/001260/00000562/006</t>
  </si>
  <si>
    <t>20190711/BIG/001260/00000562/006</t>
  </si>
  <si>
    <t>e/11072019/254ba5ee236e4142ad3efc3dfbbbcc30.jpg</t>
  </si>
  <si>
    <t xml:space="preserve">2. Ngo Duy Hung(11-07-2019 13:15:42)
COLOR SWATCH:
5 X A4 WICKER ROUND 10MM RATTAN MIXED NATURAL
5 X A4 FABRIC SERVAL SAND 240
1. Ngo Duy Hung(11-07-2019 13:11:06)
SAMPLE SHOULD PASS EN581-1/2/3
</t>
  </si>
  <si>
    <t>f/25072019/b3ed3130a45943ae95444a9fbea35df9.jpg</t>
  </si>
  <si>
    <t>119</t>
  </si>
  <si>
    <t>5 FINISHED- Code: 20190711/BIG/001260/00000562/005</t>
  </si>
  <si>
    <t>20190711/BIG/001260/00000562/005</t>
  </si>
  <si>
    <t>2/11072019/aea89f8e2f7441d0bb55610f2f3bfe6d.jpg</t>
  </si>
  <si>
    <t>e/25072019/c5b88587afbc4cf0b4b730fea783a5bc.jpg</t>
  </si>
  <si>
    <t>133</t>
  </si>
  <si>
    <t>7 FINISHED- Code: 20190711/BIG/001260/00000562/007</t>
  </si>
  <si>
    <t>20190711/BIG/001260/00000562/007</t>
  </si>
  <si>
    <t>b/11072019/93d23a75a64344e0a24a52439c805f9b.jpg</t>
  </si>
  <si>
    <t>ALTEA / PROMO SET RUSTA? (SOURCING NEEDED)</t>
  </si>
  <si>
    <t>ROYAL STONE GREY OR SIMILAR AS AVAILABLE FOR FACTORY</t>
  </si>
  <si>
    <t>SPOGA FAIR</t>
  </si>
  <si>
    <t>OPP REQUEST</t>
  </si>
  <si>
    <t>11 CREATED- Code: 20190711/XXX/000002/00000563/011</t>
  </si>
  <si>
    <t>20190711/XXX/000002/00000563/011</t>
  </si>
  <si>
    <t>6/11072019/81f722f15bb84312972b26593743dc79.jpg</t>
  </si>
  <si>
    <t>BAN-06-VQN</t>
  </si>
  <si>
    <t>BARI LOUNGE CORNER SET / BANH MI</t>
  </si>
  <si>
    <t>SIMILAR AS PHOTO AS AVAILABLE FOR FACTORY</t>
  </si>
  <si>
    <t xml:space="preserve">1. (11-07-2019 16:00:15)
$ 155
WITH LIFT / BACKLIFT
NO POOF
WITH HOCKER
?	Or need 2 sets of each items; 1 for SPOGA, 1 for catalogue/VN
</t>
  </si>
  <si>
    <t>6 ISSUED- Code: 20190711/BAN/000002/00000563/006</t>
  </si>
  <si>
    <t>20190711/BAN/000002/00000563/006</t>
  </si>
  <si>
    <t>c/11072019/960b86660add4e36a8dd02ce5026596d.jpg</t>
  </si>
  <si>
    <t>CAPRI ADJUSTABLE DINING CHAIR (SOURCING NEEDED)</t>
  </si>
  <si>
    <t>TAUPE OR SIMILAR AS PHOTO AS AVAILABLE FOR FACTORY</t>
  </si>
  <si>
    <t xml:space="preserve">1. (11-07-2019 16:15:54)
FOB VN SHOULD BE $23
BMW/COFFEE?
?	Need 4 chairs of each item; 2 for SPOGA, 2 for catalogue/VN
</t>
  </si>
  <si>
    <t>8 ISSUED- Code: 20190711/BMW/000002/00000563/008</t>
  </si>
  <si>
    <t>20190711/BMW/000002/00000563/008</t>
  </si>
  <si>
    <t>8/11072019/b80e2e525a874faf8fbf1059f080bdeb.jpg</t>
  </si>
  <si>
    <t>WAT-68-VHM</t>
  </si>
  <si>
    <t>BAMBOO SANDED OR AS AVAILABLE FOR FACTORY</t>
  </si>
  <si>
    <t>NATURAL BROWN OR AS AVAILABLE FOR FACTORY</t>
  </si>
  <si>
    <t xml:space="preserve">1. (11-07-2019 15:48:34)
WATCH / JIM / COFFEE / HOT
?	Need 4 chairs of each item; 2 for SPOGA, 2 for catalogue/VN
</t>
  </si>
  <si>
    <t>8/31072019/cb3050163de24a00be448fe5b2575e91.jpg</t>
  </si>
  <si>
    <t>3 ISSUED- Code: 20190711/WAT/000002/00000563/003</t>
  </si>
  <si>
    <t>20190711/WAT/000002/00000563/003</t>
  </si>
  <si>
    <t>2/11072019/589bb6a3a63a4756a990b3cd3515b156.jpg</t>
  </si>
  <si>
    <t>LOS-44-VQN</t>
  </si>
  <si>
    <t>GIBSON/BARI PROMO (SOURCING NEEDED)</t>
  </si>
  <si>
    <t xml:space="preserve">1. (11-07-2019 16:19:57)
LOST?
?	Or need 2 sets of each items; 1 for SPOGA, 1 for catalogue/VN
</t>
  </si>
  <si>
    <t>9 ISSUED- Code: 20190711/LOS/000002/00000563/009</t>
  </si>
  <si>
    <t>20190711/LOS/000002/00000563/009</t>
  </si>
  <si>
    <t>6/11072019/d0795ab291824ddcb15368009289d34b.jpg</t>
  </si>
  <si>
    <t>IPSWICH FOLDING SET (SOURCING NEEDED)</t>
  </si>
  <si>
    <t xml:space="preserve">1. (11-07-2019 16:31:28)
CHECK THE MASTERFILE LIST FOR FACTORIES, SO MANY WOODEN FACTORIES CAN DO
</t>
  </si>
  <si>
    <t>12 CREATED- Code: 20190711/XXX/000002/00000563/012</t>
  </si>
  <si>
    <t>20190711/XXX/000002/00000563/012</t>
  </si>
  <si>
    <t>1/11072019/27d11be07baf4224bf76daae0d9df58a.jpg</t>
  </si>
  <si>
    <t>KINGSTONE PROMO BENCH (SOURCING NEEDED)</t>
  </si>
  <si>
    <t xml:space="preserve">1. (11-07-2019 16:36:21)
CHECK THE MASTERFILE LIST FOR FACTORIES
</t>
  </si>
  <si>
    <t>15 CREATED- Code: 20190711/XXX/000002/00000563/015</t>
  </si>
  <si>
    <t>20190711/XXX/000002/00000563/015</t>
  </si>
  <si>
    <t>e/11072019/24b35fe48b0c400c933a18e8bdf29f39.jpg</t>
  </si>
  <si>
    <t>LOUNGE CORNER SET</t>
  </si>
  <si>
    <t xml:space="preserve">1. (11-07-2019 16:00:15)
$ 160
OBI 
GREY
?	Or need 2 sets of each items; 1 for SPOGA, 1 for catalogue/VN
</t>
  </si>
  <si>
    <t>7 ISSUED- Code: 20190711/BAN/000002/00000563/007</t>
  </si>
  <si>
    <t>20190711/BAN/000002/00000563/007</t>
  </si>
  <si>
    <t>a/11072019/690c0fbbd6da482eb5b2b50a555ad00c.jpg</t>
  </si>
  <si>
    <t>COF-65-VHM</t>
  </si>
  <si>
    <t>GREY AS AVAILABLE FOR FACTORY</t>
  </si>
  <si>
    <t xml:space="preserve">1. (11-07-2019 15:53:46)
$235
THIS IS NOT TRUCK, IT'S COFFEE OR KING. PLEASE ADJUST
?	Or need 2 sets of each items; 1 for SPOGA, 1 for catalogue/VN
</t>
  </si>
  <si>
    <t>4 ISSUED- Code: 20190711/COF/000002/00000563/004</t>
  </si>
  <si>
    <t>20190711/COF/000002/00000563/004</t>
  </si>
  <si>
    <t>4/11072019/9d697deb28e14c959cc33926652a18e0.jpg</t>
  </si>
  <si>
    <t>MAURON TABLE (SOURCING NEEDED)</t>
  </si>
  <si>
    <t xml:space="preserve">1. (11-07-2019 16:36:21)
CHEKC THE MASTERFILE LIST FOR FACTORIES
</t>
  </si>
  <si>
    <t>14 CREATED- Code: 20190711/XXX/000002/00000563/014</t>
  </si>
  <si>
    <t>20190711/XXX/000002/00000563/014</t>
  </si>
  <si>
    <t>d/11072019/e508f411a5f343b68b4f108e5cbbfe3e.jpg</t>
  </si>
  <si>
    <t>PONTE PROMO DINING CHAIR</t>
  </si>
  <si>
    <t>RATTAN MIXED BROWN OR AS AVAILABLE FOR FACTORY</t>
  </si>
  <si>
    <t>NATURAL GREY OR AS AVAILABLE FOR FACTORY</t>
  </si>
  <si>
    <t xml:space="preserve">1. (11-07-2019 15:45:17)
ONLY BIG VOLUME WITH ONLY 1 COLOR FOR WATCH
?	Need 4 chairs of each item; 2 for SPOGA, 2 for catalogue/VN
</t>
  </si>
  <si>
    <t>2 ISSUED- Code: 20190711/WAT/000002/00000563/002</t>
  </si>
  <si>
    <t>20190711/WAT/000002/00000563/002</t>
  </si>
  <si>
    <t>4/11072019/bfb81c49bdf74798a29896bb80b9a20f.jpg</t>
  </si>
  <si>
    <t>ALI-71-VHM</t>
  </si>
  <si>
    <t>ROPE LOUNGE SET / ALICE DONG NAI</t>
  </si>
  <si>
    <t>SAND OR AS AVAILABLE FOR FACTORY</t>
  </si>
  <si>
    <t xml:space="preserve">1. (11-07-2019 15:53:46)
$246
?	Or need 2 sets of each items; 1 for SPOGA, 1 for catalogue/VN
</t>
  </si>
  <si>
    <t>5 ISSUED- Code: 20190711/ALI/000002/00000563/005</t>
  </si>
  <si>
    <t>20190711/ALI/000002/00000563/005</t>
  </si>
  <si>
    <t>5/11072019/48953d9976cf4e4f9479da8cec716f51.jpg</t>
  </si>
  <si>
    <t>RUSTA LOUNGE SET</t>
  </si>
  <si>
    <t>TARRAN GREY OR AS AVAILABLE FOR FACTORY</t>
  </si>
  <si>
    <t>1 CREATED- Code: 20190711/XXX/000002/00000563/001</t>
  </si>
  <si>
    <t>20190711/XXX/000002/00000563/001</t>
  </si>
  <si>
    <t>7/11072019/cb1e5a67d2284425a4e7025e60709852.jpg</t>
  </si>
  <si>
    <t>SAN MARINO LOUNGE CORNER SET (SOURCING NEEDED)</t>
  </si>
  <si>
    <t xml:space="preserve">1. (11-07-2019 16:22:08)
LOST?
?	Or need 2 sets of each items; 1 for SPOGA, 1 for catalogue/VN
</t>
  </si>
  <si>
    <t>10 ISSUED- Code: 20190711/LOS/000002/00000563/010</t>
  </si>
  <si>
    <t>20190711/LOS/000002/00000563/010</t>
  </si>
  <si>
    <t>c/11072019/dce972b7ca07465fb8b230a5a4283356.jpg</t>
  </si>
  <si>
    <t>SHEFFIELD FOLDING SET (SOURCING NEEDED)</t>
  </si>
  <si>
    <t xml:space="preserve">1. (11-07-2019 16:36:20)
CHECK THE MASTERFILE LIST FOR FACTORIES
</t>
  </si>
  <si>
    <t>13 CREATED- Code: 20190711/XXX/000002/00000563/013</t>
  </si>
  <si>
    <t>20190711/XXX/000002/00000563/013</t>
  </si>
  <si>
    <t>o/12072019/bebcdaa6903f41c082bbe971cd17ebb4.jpeg</t>
  </si>
  <si>
    <t xml:space="preserve">1. Vo Thi My Dieu(12-07-2019 11:46:44)
WICKER IS THINNER THAN DOUBLE HALFROUND 7MM (STANDARD)
-&gt; PLS CONTACT MR.MY VAN
PLS USE TD IN THE ATTACHMENT
</t>
  </si>
  <si>
    <t>f/14082019/8266841799174a8c99715db94ff3db6a.jpg</t>
  </si>
  <si>
    <t>Eurofar Warehouse NL</t>
  </si>
  <si>
    <t>1 COMPLETED- Code: 20190712/BMW/000902/00000564/001</t>
  </si>
  <si>
    <t>20190712/BMW/000902/00000564/001</t>
  </si>
  <si>
    <t>9/21082019/2d5de1879e2145c693d6131c7e888fe2.jpg</t>
  </si>
  <si>
    <t>2019-08-29</t>
  </si>
  <si>
    <t>BOSETTI LOUNGE CORNER SET WITH WOODEN FRAME</t>
  </si>
  <si>
    <t>GREEN FADED GREY (1200)</t>
  </si>
  <si>
    <t>VINTAGE GREY LOOK 1200</t>
  </si>
  <si>
    <t xml:space="preserve">1. Hoang Van Hoa(20-09-2019 11:34:24)
max 2cm
</t>
  </si>
  <si>
    <t xml:space="preserve">1. (21-08-2019 17:29:01)
TD
HEIGHT OF LAST YEAR BOSETTI IS THE SAME, BUT NOW WITH WOODEN FRAME/LEGS.
</t>
  </si>
  <si>
    <t>3/23092019/cc8030c1cb7f4b079dc35e972cea470d.jpg</t>
  </si>
  <si>
    <t>2019-08-23</t>
  </si>
  <si>
    <t>SEND PICTURES TO CLIENT FOR APPROVAL</t>
  </si>
  <si>
    <t>30 FINISHED- Code: 20190821/PAL/001200/00000565/030</t>
  </si>
  <si>
    <t>20190821/PAL/001200/00000565/030</t>
  </si>
  <si>
    <t>7/21082019/408afbcbcf89406aaee27ebcb4fb4b7a.jpg</t>
  </si>
  <si>
    <t xml:space="preserve">1. (21-08-2019 17:14:18)
TD
HEIGHT OF LAST YEAR BOSETTI IS THE SAME, BUT NOW WITH WOODEN FRAME/LEGS.
</t>
  </si>
  <si>
    <t>5/23092019/050db9edf5144d86877b81c2b6e35a69.jpg</t>
  </si>
  <si>
    <t>29 FINISHED- Code: 20190821/PAL/001200/00000565/029</t>
  </si>
  <si>
    <t>20190821/PAL/001200/00000565/029</t>
  </si>
  <si>
    <t xml:space="preserve">2. (16-08-2019 12:06:16)
OK
1. Nicole Poldervaart(15-07-2019 12:35:55)
LIGHT GREY ROPE INSTEAD OF BLACK ROPE
</t>
  </si>
  <si>
    <t>f/05082019/c10a8a06978447c8b9563021e9e0d871.jpg</t>
  </si>
  <si>
    <t>1 SAMPLE APPROVED- Code: 20190715/BIG/001200/00000565/001</t>
  </si>
  <si>
    <t>20190715/BIG/001200/00000565/001</t>
  </si>
  <si>
    <t xml:space="preserve">1. Nicole Poldervaart(15-07-2019 12:35:55)
LIGHT GREY ROPE INSTEAD OF BLACK ROPE
</t>
  </si>
  <si>
    <t>9/05082019/bdfa1021ccf343428446f8e55dc55e64.jpg</t>
  </si>
  <si>
    <t>2 SAMPLE APPROVED- Code: 20190715/BIG/001200/00000565/002</t>
  </si>
  <si>
    <t>20190715/BIG/001200/00000565/002</t>
  </si>
  <si>
    <t>1/17072018/4badab780e194e5388d6a30113058416.jpg</t>
  </si>
  <si>
    <t>CARPINO HOCKER 92X92X35CM</t>
  </si>
  <si>
    <t>HALFROUND 7MM BASKETWEAVE</t>
  </si>
  <si>
    <t xml:space="preserve">2. (16-08-2019 10:42:43)
for explanation with pictures; please check file ''Copy of MINUTES Meeting -3 Aug 2020 OPMERKINGEN 1200''
MAKE SURE ALL VISABLE FRAMES ARE COVERED WITH WICKER
LOUNGE TABLE
MAKE SURE FRAME IS COVERED WITH WICKER
BOLTS VISIBLE - USE SHORTER BOLTS
MAKE SURE COLOR OF WICKER MATCHES ON BENCH AND LEFT/RIGHT ARM
WICKER METHOD MUST BE CONSISTENT
MAKE SURE WICKER LINES ARE EVEN ON BENCH AND LERFT/RIGHT ARM AND FROM SAME COLOR
WICKER METHOD MUST BE CONSISTENT
MAKE SURE SQUARS HAVE SAME SIZE
MAKE SURE VISIBLE FRAMES ARE COVERED WITH WICKER
STRAIGHT LINES!!!!!!!
NO WICKER ENDINGS VISIBLE - MUST BE STAPLED
DON'T CUT OFF LIKE THIS. MAKE SURE IT IS STAPLED TO FRAME.
MAKE SURE BAND ON BOTTUM IS SAME ON LOUNGE SET AND DINING CHAIR
FRONT AND BACK
WICKER METHOD MUST BE CONSISTENT
MAKE SURE BAND ON BOTTUM IS SAME ON LOUNGE SET AND DINING CHAIR
FRONT AND BACK
WICKER METHOD MUST BE CONSISTENT
NOW ALL HORIZONTAL LINES ON DINING CHAIR ARE GREEN
ON LOUNGE SET ITS GREEN/GREY/GREEN
WICKER METHOD MUST BE CONSISTENT
MAKE CARPINO LOUNGE SET NOW WITH SERVAL LIGHT BROWN CUSHIONS
WITH BACK CUSHIONS AS HELSINKI!
1. (26-07-2019 11:43:04)
THE ORIGINAL CARPINO SET BUT NOW WITH BURLY GREEN WICKER 1200 (AS FELLINI DINING CHAIR AS ATTACHED PICTURE)
EXACT THE SAME COLORS AND WEAVING AS THE FELLINI.
</t>
  </si>
  <si>
    <t>d/30082019/6cf6399de8914263bb21c5f1af771330.jpg</t>
  </si>
  <si>
    <t>7 SAMPLE APPROVED- Code: 20190715/BIG/001200/00000565/007</t>
  </si>
  <si>
    <t>20190715/BIG/001200/00000565/007</t>
  </si>
  <si>
    <t>3/17072018/40a8cd376b50477eac97f41b80f59b20.jpg</t>
  </si>
  <si>
    <t>CARPINO LOUNGE 3-SEATER BENCH 230CM</t>
  </si>
  <si>
    <t>HELSINKI BACK CUSHIONS</t>
  </si>
  <si>
    <t xml:space="preserve">2. (16-08-2019 10:42:43)
for explanation with pictures; please check file ''Copy of MINUTES Meeting -3 Aug 2020 OPMERKINGEN 1200''
MAKE SURE ALL VISABLE FRAMES ARE COVERED WITH WICKER
LOUNGE TABLE
MAKE SURE FRAME IS COVERED WITH WICKER
BOLTS VISIBLE - USE SHORTER BOLTS
MAKE SURE COLOR OF WICKER MATCHES ON BENCH AND LEFT/RIGHT ARM
WICKER METHOD MUST BE CONSISTENT
MAKE SURE WICKER LINES ARE EVEN ON BENCH AND LERFT/RIGHT ARM AND FROM SAME COLOR
WICKER METHOD MUST BE CONSISTENT
MAKE SURE SQUARS HAVE SAME SIZE
MAKE SURE VISIBLE FRAMES ARE COVERED WITH WICKER
STRAIGHT LINES!!!!!!!
NO WICKER ENDINGS VISIBLE - MUST BE STAPLED
DON'T CUT OFF LIKE THIS. MAKE SURE IT IS STAPLED TO FRAME.
MAKE SURE BAND ON BOTTUM IS SAME ON LOUNGE SET AND DINING CHAIR
FRONT AND BACK
WICKER METHOD MUST BE CONSISTENT
MAKE SURE BAND ON BOTTUM IS SAME ON LOUNGE SET AND DINING CHAIR
FRONT AND BACK
WICKER METHOD MUST BE CONSISTENT
NOW ALL HORIZONTAL LINES ON DINING CHAIR ARE GREEN
ON LOUNGE SET ITS GREEN/GREY/GREEN
WICKER METHOD MUST BE CONSISTENT
MAKE CARPINO LOUNGE SET NOW WITH SERVAL LIGHT BROWN CUSHIONS
WITH BACK CUSHIONS AS HELSINKI!
1. (26-07-2019 11:43:03)
THE ORIGINAL CARPINO SET BUT NOW WITH BURLY GREEN WICKER 1200 (AS FELLINI DINING CHAIR AS ATTACHED PICTURE)
EXACT THE SAME COLORS AND WEAVING AS THE FELLINI.
</t>
  </si>
  <si>
    <t>0/30082019/668522226c84443184f4cf88abe8cafe.jpg</t>
  </si>
  <si>
    <t>29.8</t>
  </si>
  <si>
    <t>231</t>
  </si>
  <si>
    <t>6 SAMPLE APPROVED- Code: 20190715/BIG/001200/00000565/006</t>
  </si>
  <si>
    <t>20190715/BIG/001200/00000565/006</t>
  </si>
  <si>
    <t>e/17072018/1402f85fd13b4b518549a3455033dacf.jpg</t>
  </si>
  <si>
    <t>CARPINO LOUNGE BENCH LEFT ARM 216CM WITH EXTRA LEFT ARM- CUSHION</t>
  </si>
  <si>
    <t xml:space="preserve">2. (16-08-2019 10:42:43)
for explanation with pictures; please check file ''Copy of MINUTES Meeting -3 Aug 2020 OPMERKINGEN 1200''
MAKE SURE ALL VISABLE FRAMES ARE COVERED WITH WICKER
LOUNGE TABLE
MAKE SURE FRAME IS COVERED WITH WICKER
BOLTS VISIBLE - USE SHORTER BOLTS
MAKE SURE COLOR OF WICKER MATCHES ON BENCH AND LEFT/RIGHT ARM
WICKER METHOD MUST BE CONSISTENT
MAKE SURE WICKER LINES ARE EVEN ON BENCH AND LERFT/RIGHT ARM AND FROM SAME COLOR
WICKER METHOD MUST BE CONSISTENT
MAKE SURE SQUARS HAVE SAME SIZE
MAKE SURE VISIBLE FRAMES ARE COVERED WITH WICKER
STRAIGHT LINES!!!!!!!
NO WICKER ENDINGS VISIBLE - MUST BE STAPLED
DON'T CUT OFF LIKE THIS. MAKE SURE IT IS STAPLED TO FRAME.
MAKE SURE BAND ON BOTTUM IS SAME ON LOUNGE SET AND DINING CHAIR
FRONT AND BACK
WICKER METHOD MUST BE CONSISTENT
MAKE SURE BAND ON BOTTUM IS SAME ON LOUNGE SET AND DINING CHAIR
FRONT AND BACK
WICKER METHOD MUST BE CONSISTENT
NOW ALL HORIZONTAL LINES ON DINING CHAIR ARE GREEN
ON LOUNGE SET ITS GREEN/GREY/GREEN
WICKER METHOD MUST BE CONSISTENT
MAKE CARPINO LOUNGE SET NOW WITH SERVAL LIGHT BROWN CUSHIONS
WITH BACK CUSHIONS AS HELSINKI!
1. (26-07-2019 11:43:02)
THE ORIGINAL CARPINO SET BUT NOW WITH BURLY GREEN WICKER 1200 (AS FELLINI DINING CHAIR AS ATTACHED PICTURE)
EXACT THE SAME COLORS AND WEAVING AS THE FELLINI.
</t>
  </si>
  <si>
    <t>0/30082019/741c5fe1df2147ae82ab966ab6d4aa0a.jpg</t>
  </si>
  <si>
    <t>216</t>
  </si>
  <si>
    <t>217</t>
  </si>
  <si>
    <t>4 SAMPLE APPROVED- Code: 20190715/BIG/001200/00000565/004</t>
  </si>
  <si>
    <t>20190715/BIG/001200/00000565/004</t>
  </si>
  <si>
    <t>4/17072018/f7416716098c40b8959b8cec81096a21.jpg</t>
  </si>
  <si>
    <t>CARPINO LOUNGE BENCH RIGHT ARM 216CM WITH EXTRA RIGHT ARM- CUSHION</t>
  </si>
  <si>
    <t>9/30082019/6012b039a6fe43f7bf5176fb1668991b.jpg</t>
  </si>
  <si>
    <t>5 SAMPLE APPROVED- Code: 20190715/BIG/001200/00000565/005</t>
  </si>
  <si>
    <t>20190715/BIG/001200/00000565/005</t>
  </si>
  <si>
    <t>7/17072018/772c90a4a7f440d4bd7ce41b901be133.jpg</t>
  </si>
  <si>
    <t>CARPINO LOUNGE CHAIR</t>
  </si>
  <si>
    <t xml:space="preserve">2. (16-08-2019 10:42:43)
for explanation with pictures; please check file ''Copy of MINUTES Meeting -3 Aug 2020 OPMERKINGEN 1200''
MAKE SURE ALL VISABLE FRAMES ARE COVERED WITH WICKER
LOUNGE TABLE
MAKE SURE FRAME IS COVERED WITH WICKER
BOLTS VISIBLE - USE SHORTER BOLTS
MAKE SURE COLOR OF WICKER MATCHES ON BENCH AND LEFT/RIGHT ARM
WICKER METHOD MUST BE CONSISTENT
MAKE SURE WICKER LINES ARE EVEN ON BENCH AND LERFT/RIGHT ARM AND FROM SAME COLOR
WICKER METHOD MUST BE CONSISTENT
MAKE SURE SQUARS HAVE SAME SIZE
MAKE SURE VISIBLE FRAMES ARE COVERED WITH WICKER
STRAIGHT LINES!!!!!!!
NO WICKER ENDINGS VISIBLE - MUST BE STAPLED
DON'T CUT OFF LIKE THIS. MAKE SURE IT IS STAPLED TO FRAME.
MAKE SURE BAND ON BOTTUM IS SAME ON LOUNGE SET AND DINING CHAIR
FRONT AND BACK
WICKER METHOD MUST BE CONSISTENT
MAKE SURE BAND ON BOTTUM IS SAME ON LOUNGE SET AND DINING CHAIR
FRONT AND BACK
WICKER METHOD MUST BE CONSISTENT
NOW ALL HORIZONTAL LINES ON DINING CHAIR ARE GREEN
ON LOUNGE SET ITS GREEN/GREY/GREEN
WICKER METHOD MUST BE CONSISTENT
MAKE CARPINO LOUNGE SET NOW WITH SERVAL LIGHT BROWN CUSHIONS
WITH BACK CUSHIONS AS HELSINKI!
1. (26-07-2019 11:43:05)
THE ORIGINAL CARPINO SET BUT NOW WITH BURLY GREEN WICKER 1200 (AS FELLINI DINING CHAIR AS ATTACHED PICTURE)
EXACT THE SAME COLORS AND WEAVING AS THE FELLINI.
</t>
  </si>
  <si>
    <t>b/30082019/2ff57599218644b8b8b4720225b36949.jpg</t>
  </si>
  <si>
    <t>8 SAMPLE APPROVED- Code: 20190715/BIG/001200/00000565/008</t>
  </si>
  <si>
    <t>20190715/BIG/001200/00000565/008</t>
  </si>
  <si>
    <t xml:space="preserve">1. (16-08-2019 11:11:40)
for explanation with pictures; please check file ''Copy of MINUTES Meeting -3 Aug 2020 OPMERKINGEN 1200''
REVISE EXISTING SAMPLE
GAPS TO BIG ON PART WHERE ARM MEETS BACK.
NOW IN SERVAL LIGHT BROWN CUSHIONS
</t>
  </si>
  <si>
    <t>5/30082019/44f8384c88db410faa709ee18aaa6634.jpg</t>
  </si>
  <si>
    <t>26 SAMPLE APPROVED- Code: 20190816/BIG/001200/00000565/026</t>
  </si>
  <si>
    <t>20190816/BIG/001200/00000565/026</t>
  </si>
  <si>
    <t>1/29072019/d769c9d5e2174643b8c5892aebe6a17c.jpg</t>
  </si>
  <si>
    <t>FELLINI DINING CHAIR BURLY ORIGINAL</t>
  </si>
  <si>
    <t xml:space="preserve">1. (26-07-2019 12:30:24)
make FELLINI but now with BURLY COLOR from last season.
</t>
  </si>
  <si>
    <t>7/05082019/044eb3c458a04623b5a1d7625d303019.jpg</t>
  </si>
  <si>
    <t>14 SAMPLE APPROVED- Code: 20190715/BIG/001200/00000565/014</t>
  </si>
  <si>
    <t>20190715/BIG/001200/00000565/014</t>
  </si>
  <si>
    <t xml:space="preserve">2. (28-08-2019 10:58:52)
You can feel the bar in the seat.
we revise like mr Phat his proposal as attached
1. (16-08-2019 10:42:43)
for explanation with pictures; please check file ''Copy of MINUTES Meeting -3 Aug 2020 OPMERKINGEN 1200''
RAKE OF BACK IS NOT GOOD. TO STRAIGHT
CHAIR SHOULD HAVE ALU LEGS
CHECK 2ND SAMPLE FOR THIS CHAIR. THIS BACK WAS OK
ALSO MAKE WITH ALU LEGS AGAIN
</t>
  </si>
  <si>
    <t>5/16092019/729994106f8d40d4826f48a823f86e5f.jpg</t>
  </si>
  <si>
    <t>22 FINISHED- Code: 20190729/PAL/001200/00000565/022</t>
  </si>
  <si>
    <t>20190729/PAL/001200/00000565/022</t>
  </si>
  <si>
    <t xml:space="preserve">1. (16-08-2019 10:42:43)
for explanation with pictures; please check file ''Copy of MINUTES Meeting -3 Aug 2020 OPMERKINGEN 1200''
MAKE LOUNGE BENCH WITH CUSHION SIZE 155 CM.
CHANGE DIMENSIONS OF THE BENCH (WIDTH)
USE BLACK BOLTS! NO METAL COLOR.
FOLLOW COLOR FROM LEFT PICTURE
</t>
  </si>
  <si>
    <t>1/23082019/ba37712c0f71423a8702e95e97da6e63.jpg</t>
  </si>
  <si>
    <t>22 SAMPLE APPROVED- Code: 20190729/BIG/001200/00000565/022</t>
  </si>
  <si>
    <t>20190729/BIG/001200/00000565/022</t>
  </si>
  <si>
    <t>4/23082019/c84c19df9f044be1a135d24ae3401618.jpg</t>
  </si>
  <si>
    <t>21 SAMPLE APPROVED- Code: 20190729/PAL/001200/00000565/021</t>
  </si>
  <si>
    <t>20190729/PAL/001200/00000565/021</t>
  </si>
  <si>
    <t>LUZERN SIDE TABLE SET WITH ALU LEGS</t>
  </si>
  <si>
    <t xml:space="preserve">2. (22-08-2019 10:34:32)
TD
1. (16-08-2019 11:14:10)
MAKE NEW SAMPLE LUZERN TABLES, WITH ALU LEGS IN ROUND SHAPE. 
SAME HEIGHT AND LENGTH AS WOODEN LEGS. BUT SAME LEGS AS LUZANO SET (from PAL)
</t>
  </si>
  <si>
    <t>0/28082019/e9afc8f91ce64fe09d6d47e238bdfa6e.jpg</t>
  </si>
  <si>
    <t>27 SAMPLE APPROVED- Code: 20190816/APH/001200/00000565/027</t>
  </si>
  <si>
    <t>20190816/APH/001200/00000565/027</t>
  </si>
  <si>
    <t>b/28052019/d2fa9eb7725a41708cf916dd3ccfa6ec.jpg</t>
  </si>
  <si>
    <t>RATTAN GREY (1200)</t>
  </si>
  <si>
    <t>VINTAGE GREY LOOK (1200)</t>
  </si>
  <si>
    <t>60x60 STUFFING IN 50x50 CUSHIONS</t>
  </si>
  <si>
    <t xml:space="preserve">1. (16-08-2019 10:50:46)
for explanation with pictures; please check file ''Copy of MINUTES Meeting -3 Aug 2020 OPMERKINGEN 1200''
REWORKE FRAME. 
LOUNGE SET IS INSTABLE
MANCHO TO ASSIST
</t>
  </si>
  <si>
    <t>e/23082019/377377902ffe4d03a11152bdf1f64c05.jpg</t>
  </si>
  <si>
    <t>24 SAMPLE APPROVED- Code: 20190816/PAL/001200/00000565/024</t>
  </si>
  <si>
    <t>20190816/PAL/001200/00000565/024</t>
  </si>
  <si>
    <t>5/26072019/5d1d099619394cc18c7a5764577277d6.jpg</t>
  </si>
  <si>
    <t>MALENA LOUNGE BENCH 2,5 SEATER</t>
  </si>
  <si>
    <t xml:space="preserve">2. (16-08-2019 10:42:43)
for explanation with pictures; please check file ''Copy of MINUTES Meeting -3 Aug 2020 OPMERKINGEN 1200''
AD 10 CM SEATING DEPTH ON BENCH AND CHAIR
AND CHECK FOR STABILITY AND STRENGTH
1. Nicole Poldervaart(15-07-2019 12:53:52)
MALENA LOUNGE CHAIR IN 2,5 SEATER.
FOLLOW THE WIDHT BASED ON LOUNGE CHAIR, AND MAKE 2,5 SEATER BENCH.
height of the chair should be as the revised LOUNGE CHAIR. (arms and back now same height)
</t>
  </si>
  <si>
    <t>2/23082019/cf608d7c9bd0428a9b9052b6a4df168b.jpg</t>
  </si>
  <si>
    <t>10 SAMPLE APPROVED- Code: 20190715/PAL/001200/00000565/010</t>
  </si>
  <si>
    <t>20190715/PAL/001200/00000565/010</t>
  </si>
  <si>
    <t>1/26072019/7eec937062c84530b19aab80d36fc969.jpg</t>
  </si>
  <si>
    <t xml:space="preserve">2. (16-08-2019 10:42:43)
for explanation with pictures; please check file ''Copy of MINUTES Meeting -3 Aug 2020 OPMERKINGEN 1200''
AD 10 CM SEATING  DEPTH ON BENCH AND CHAIR
AND CHECK FOR STABILITY AND STRENGTH
1. Nicole Poldervaart(15-07-2019 12:53:52)
Revised model is still wrong. The back should have the same height as the arms.
Please lower the height of the back so it will fit the arms again.
MAKE SURE THE BACK CUSHION FITS WITH THE NEW BACK HEIGHT!!
Other dimensions are correct now.
</t>
  </si>
  <si>
    <t>6/23082019/cf1703c720664ac1b9ab2bb5f354c579.jpg</t>
  </si>
  <si>
    <t>9 SAMPLE APPROVED- Code: 20190715/PAL/001200/00000565/009</t>
  </si>
  <si>
    <t>20190715/PAL/001200/00000565/009</t>
  </si>
  <si>
    <t>a/26072019/604d7f2e65da48c7bc7c01e7d9613c4f.jpg</t>
  </si>
  <si>
    <t>ROUND 3.5MM CROSSWEAVE</t>
  </si>
  <si>
    <t xml:space="preserve">2. (30-08-2019 10:35:57)
WICKER ROPE IS 3,5MM
1. (26-07-2019 12:30:24)
Make same as MILAAN LOUNGE CHAIR with RATTAN GREY. but now in color WHITE FADED GREY.
wicker rope 4mm with 4 strings. make sure it is wickered correctly now, wicker exactly the same as MILAAN RATTAN GREY!!!
NOW IN SERVAL ANTHRACITE 240 CUSHIONS
copy MILAAN LOUNGE CHAIR WICKER ROPE RATTAN GREY FOR COPYING
MOVED FROM APO TO BIG
</t>
  </si>
  <si>
    <t>e/07092019/7120e7e747484f5dbbf434e6834c6e27.jpg</t>
  </si>
  <si>
    <t>11 FINISHED- Code: 20190715/APO/001200/00000565/011</t>
  </si>
  <si>
    <t>20190715/APO/001200/00000565/011</t>
  </si>
  <si>
    <t>0/04102018/b432c25d7bb24b05b0cf60a29c218db7.jpg</t>
  </si>
  <si>
    <t xml:space="preserve">2. (22-08-2019 12:19:25)
For OSIRE CHAIR; both chairs have same frame. Seat + legs will be ALU POWDER COATED CHARCOAL; not KD.
1. (16-08-2019 10:57:30)
REVISE STANDARD OSIRE CHAIR TO DIMENSIONS FROM OSIRE 1200 VERSION.
ALSO MAKE IN ALU LEGS (AS THE OSIRE 1200 VERSION)
</t>
  </si>
  <si>
    <t>2/23082019/0b29d403bf784995b2fe6358930f79da.jpg</t>
  </si>
  <si>
    <t>25 SAMPLE APPROVED- Code: 20190816/PAL/001200/00000565/025</t>
  </si>
  <si>
    <t>20190816/PAL/001200/00000565/025</t>
  </si>
  <si>
    <t>6/29052019/7713573b15214fd8874a3d14a0d29052.jpg</t>
  </si>
  <si>
    <t>SERRANO LOUNGE BENCH (1200)</t>
  </si>
  <si>
    <t>GREEN FADED GREY</t>
  </si>
  <si>
    <t xml:space="preserve">2. (21-08-2019 17:21:00)
cushions in SERVAL LIGHT BROWN 240
1. (16-08-2019 10:42:43)
FINISHING MUST BE BETTER:
A. NO WICKER ENDINGS VISIBLE (first picture)
B. WICKER MUST BE MORE TIGHT (2nd picture)
C. MAKE SURE SEATING PART IS COVERED WITH WICKER. ADD ONE MORE ROW. (picture 3)
D. MAKE SURE CHAIRS ARE STRAIGHT, BECAUSE NOW CHAIR IS NOT EVEN (4rd picture)
E. NO VISIBLE FRAMES ON TOP (5th picture)
wood in VINTAGE GREY LOOK 1200
for explanation with pictures; please check file ''Copy of MINUTES Meeting -3 Aug 2020 OPMERKINGEN 1200''
</t>
  </si>
  <si>
    <t>a/23082019/aecdc651348d47619e0e13d933114b69.jpg</t>
  </si>
  <si>
    <t>20 SAMPLE APPROVED- Code: 20190729/PAL/001200/00000565/020</t>
  </si>
  <si>
    <t>20190729/PAL/001200/00000565/020</t>
  </si>
  <si>
    <t xml:space="preserve">1. (16-08-2019 10:42:43)
FINISHING MUST BE BETTER:
A. NO WICKER ENDINGS VISIBLE (first picture)
B. WICKER MUST BE MORE TIGHT (2nd picture)
C. MAKE SURE SEATING PART IS COVERED WITH WICKER. ADD ONE MORE ROW. (picture 3)
D. MAKE SURE CHAIRS ARE STRAIGHT, BECAUSE NOW CHAIR IS NOT EVEN (4rd picture)
E. NO VISIBLE FRAMES ON TOP (5th picture)
wood in VINTAGE GREY LOOK 1200
for explanation with pictures; please check file ''Copy of MINUTES Meeting -3 Aug 2020 OPMERKINGEN 1200''
</t>
  </si>
  <si>
    <t>e/23082019/3b9927c13db442549caf16e4ed5c45fa.jpg</t>
  </si>
  <si>
    <t>17 SAMPLE APPROVED- Code: 20190729/PAL/001200/00000565/017</t>
  </si>
  <si>
    <t>20190729/PAL/001200/00000565/017</t>
  </si>
  <si>
    <t>d/23082019/f88f38942bff44488a962d3d6c399579.jpg</t>
  </si>
  <si>
    <t>18 SAMPLE APPROVED- Code: 20190729/PAL/001200/00000565/018</t>
  </si>
  <si>
    <t>20190729/PAL/001200/00000565/018</t>
  </si>
  <si>
    <t>c/23082019/82a5e0d0a9ee417e8064d4ad0cce6b7d.jpg</t>
  </si>
  <si>
    <t>16 SAMPLE APPROVED- Code: 20190729/PAL/001200/00000565/016</t>
  </si>
  <si>
    <t>20190729/PAL/001200/00000565/016</t>
  </si>
  <si>
    <t>a/28052019/deed82f0ea1643efa4226558201b42b9.jpg</t>
  </si>
  <si>
    <t>TAFIGO LOUNGE TABLE (1200)</t>
  </si>
  <si>
    <t>GLASS PLATE</t>
  </si>
  <si>
    <t xml:space="preserve">2. (16-08-2019 10:42:43)
for explanation with pictures; please check file ''Copy of MINUTES Meeting -3 Aug 2020 OPMERKINGEN 1200''
MAKE SURE ALL VISIBLE FRAMEWORK IS COVERED WITH WICKER.
wood in VINTAGE GREY LOOK 1200
1. Nicole Poldervaart(15-07-2019 12:35:55)
CHANGE THE ALU LEGS FROM THE ORIGINAL SAMPLE TO WOODEN LEGS.
SO IT MATCHES WITH THE SERRANO LOUNGE SET.
with 1200 teak wash
</t>
  </si>
  <si>
    <t>b/23082019/fd4b88c24b4740ec8bd33a089fc1d215.jpg</t>
  </si>
  <si>
    <t>3 SAMPLE APPROVED- Code: 20190715/PAL/001200/00000565/003</t>
  </si>
  <si>
    <t>20190715/PAL/001200/00000565/003</t>
  </si>
  <si>
    <t>GLASPLATE</t>
  </si>
  <si>
    <t xml:space="preserve">2. (16-08-2019 10:42:43)
MAKE SURE ALL VISIBLE FRAMEWORK IS COVERED WITH WICKER.
wood in VINTAGE GREY LOOK 1200
for explanation with pictures; please check file ''Copy of MINUTES Meeting -3 Aug 2020 OPMERKINGEN 1200''
1. (29-07-2019 16:52:49)
NOW WITH WOODEN LEGS
</t>
  </si>
  <si>
    <t>5/23082019/6f92d0aedb4f453791b2e48ba644b912.jpg</t>
  </si>
  <si>
    <t>23 SAMPLE APPROVED- Code: 20190729/PAL/001200/00000565/023</t>
  </si>
  <si>
    <t>20190729/PAL/001200/00000565/023</t>
  </si>
  <si>
    <t>0/02072019/4a3aa4776d744da9a8165c941fca0019.jpg</t>
  </si>
  <si>
    <t>2019-09-01</t>
  </si>
  <si>
    <t>TORINO DINING CHAIR 1200</t>
  </si>
  <si>
    <t xml:space="preserve">1. (30-08-2019 10:35:57)
COPY THE RATTAN GREY CHAIR FROM ROOFTOP.
WICKER ROPE IS 3,5MM
</t>
  </si>
  <si>
    <t>31 ISSUED- Code: 20190830/BIG/001200/00000565/031</t>
  </si>
  <si>
    <t>20190830/BIG/001200/00000565/031</t>
  </si>
  <si>
    <t>SANDED BLACK 2048</t>
  </si>
  <si>
    <t xml:space="preserve">1. (30-08-2019 10:27:48)
make sample at ROOFTOP and send to BIG for COPYING
WICKER ROPE IS 3,5MM
</t>
  </si>
  <si>
    <t>12 ISSUED- Code: 20190715/BIG/001200/00000565/012</t>
  </si>
  <si>
    <t>20190715/BIG/001200/00000565/012</t>
  </si>
  <si>
    <t>a/16082019/cada9941ffc14cada5ae515a4e59ef3d.jpg</t>
  </si>
  <si>
    <t>VILLAGIO DINING CHAIR BLACK/WHITE</t>
  </si>
  <si>
    <t>TRIANGLE WEAVE FLAT WICKER 7MM</t>
  </si>
  <si>
    <t xml:space="preserve">2. (16-08-2019 10:42:43)
for explanation with pictures; please check file ''Copy of MINUTES Meeting -3 Aug 2020 OPMERKINGEN 1200''
THIS CHAIR HAS TE BE REWORKED
MAKE SURE CROSSWEAVING ON COMPLETE CHAIR
1. (26-07-2019 12:46:26)
same weaving as previous VILLAGIO SAMPLE, BUT NOW WITH BLACK / WHITE COLOR AS VILLAGIO SEASON 2019
</t>
  </si>
  <si>
    <t>1/29082019/53e3ae8797174e29916d8e3d7b25713e.jpg</t>
  </si>
  <si>
    <t>16 FINISHED- Code: 20190726/BIG/001200/00000565/016</t>
  </si>
  <si>
    <t>20190726/BIG/001200/00000565/016</t>
  </si>
  <si>
    <t>VILLAGIO DINING CHAIR GREEN/BLACK</t>
  </si>
  <si>
    <t>HALFROUND 7MM TRIANGLE WEAVE</t>
  </si>
  <si>
    <t>GREEN/BLACK</t>
  </si>
  <si>
    <t xml:space="preserve">1. (16-08-2019 11:18:19)
for explanation with pictures; please check file ''Copy of MINUTES Meeting -3 Aug 2020 OPMERKINGEN 1200''
REWORK VILLAGIO BURLY GREEN SAMPLE.
NOW WITH GREEN AND BLACK WICKER.
MAKE SURE CROSSWEAVING IS ON COMPLETE CHAIR
</t>
  </si>
  <si>
    <t>1/29082019/8b7957fd7dd5436484c326efac079882.jpg</t>
  </si>
  <si>
    <t>28 FINISHED- Code: 20190816/BIG/001200/00000565/028</t>
  </si>
  <si>
    <t>20190816/BIG/001200/00000565/028</t>
  </si>
  <si>
    <t>VILLAGIO DINING CHAIR ORANGE/GREEN/WHITE</t>
  </si>
  <si>
    <t>ORANGE/GREEN/WHITE</t>
  </si>
  <si>
    <t xml:space="preserve">1. Nicole Poldervaart(15-07-2019 13:07:02)
WICKER COLORS AND WEAVING AS ATTACHED PICTURE.
ORANGE/GREEN/WHITE
</t>
  </si>
  <si>
    <t>13 ISSUED- Code: 20190715/BIG/001200/00000565/013</t>
  </si>
  <si>
    <t>20190715/BIG/001200/00000565/013</t>
  </si>
  <si>
    <t>2/02082019/8b82b3e1fb5a43d5acc3dc20c7b35fba.jpg</t>
  </si>
  <si>
    <t>2019-08-11</t>
  </si>
  <si>
    <t>CROSS WEAVING 2X2 LINES. (SWATCHES)</t>
  </si>
  <si>
    <t xml:space="preserve">1. Hoang Van Hoa(04-09-2019 13:10:58)
I feel good, and you?
</t>
  </si>
  <si>
    <t xml:space="preserve">2. An Huyen Cao(02-08-2019 17:20:51)
THE SWATCH IS FOR DELHI TEXTURE ARMLESS 1071 LOUNGE CHAIR - ID 947
CROSS WEAVING 2X2 LINES. 
TARGET PRICE $53
1. Huynh Thi To Nga(02-08-2019 15:48:37)
Swatch for dimension should be 30x30
</t>
  </si>
  <si>
    <t>6/04092019/8aaeb4120eb14639adb18ab26019a55c.jpg</t>
  </si>
  <si>
    <t>CASA INTERNATIONAL N.V./S.A.</t>
  </si>
  <si>
    <t>3 FINISHED- Code: 20190802/PAL/000947/00000566/003</t>
  </si>
  <si>
    <t>20190802/PAL/000947/00000566/003</t>
  </si>
  <si>
    <t>4/19072019/ece1fd55102a4f67aa2abd6a6336797e.jpg</t>
  </si>
  <si>
    <t>LUZERN ROUND TABLE</t>
  </si>
  <si>
    <t>VINTAGE TEAK LOOK</t>
  </si>
  <si>
    <t xml:space="preserve">2. An Huyen Cao(02-08-2019 17:20:51)
WAITING TD
TARGET PRICE VINTAGE TEAK LOOK $104
1. Reinhard Jolie(19-07-2019 17:14:40)
MAKE TABLE TOP THICKNESS 4CM WITH FAKE EDGE
</t>
  </si>
  <si>
    <t>9/13082019/f0c6ea68d3874edcaec129a598c99aff.jpg</t>
  </si>
  <si>
    <t>1 FINISHED- Code: 20190719/TEC/000947/00000566/001</t>
  </si>
  <si>
    <t>20190719/TEC/000947/00000566/001</t>
  </si>
  <si>
    <t>e/19072019/ecb64699b9814d67bedfb935557667e8.jpg</t>
  </si>
  <si>
    <t>SUNBURY DINING TABLE 220X100</t>
  </si>
  <si>
    <t>MATT BLACK</t>
  </si>
  <si>
    <t xml:space="preserve">2. An Huyen Cao(02-08-2019 17:20:51)
TARGET PRICE $180-$182
1. Reinhard Jolie(19-07-2019 17:14:40)
MAKE SAMPLE WITH 5CM TABLE TOP (FAKE EDGE) SO TABLE TOP LOOKS THICKER.
</t>
  </si>
  <si>
    <t>o/15082019/53a7ce62503b484ea12f167e5765b3d0.jpeg</t>
  </si>
  <si>
    <t>2 FINISHED- Code: 20190719/ROS/000947/00000566/002</t>
  </si>
  <si>
    <t>20190719/ROS/000947/00000566/002</t>
  </si>
  <si>
    <t>2/22072019/735fab139ade402095048a7e4358acee.jpg</t>
  </si>
  <si>
    <t>STOCKPORT LOUNGE SET ( 2 X BENCH 203CM + 3 SMALL TABLE + 1 BIG ROUND TABLE)</t>
  </si>
  <si>
    <t>HALROUND 7MM</t>
  </si>
  <si>
    <t>STICHING</t>
  </si>
  <si>
    <t>8/07082019/89c29bd861344d0992cdc17c466be077.jpg</t>
  </si>
  <si>
    <t>OBI GROUP SOURCING HONG KONG LTD</t>
  </si>
  <si>
    <t>client will pay for these samples.</t>
  </si>
  <si>
    <t>1 FINISHED- Code: 20190722/APO/000429/00000567/001</t>
  </si>
  <si>
    <t>20190722/APO/000429/00000567/001</t>
  </si>
  <si>
    <t>5/22072019/80feb5d9329b44628ba5e49672efa48e.jpg</t>
  </si>
  <si>
    <t>2019-08-10</t>
  </si>
  <si>
    <t>CANCUN BENCH 180X35X45CM</t>
  </si>
  <si>
    <t>a/07082019/2f6a263c8f39453ea74c1932bf764ac5.jpg</t>
  </si>
  <si>
    <t>2019-08-17</t>
  </si>
  <si>
    <t>TO CLIENT 784/984</t>
  </si>
  <si>
    <t>SAMPLE FOR PHOTOSHOOT</t>
  </si>
  <si>
    <t>18.4</t>
  </si>
  <si>
    <t>20.6</t>
  </si>
  <si>
    <t>181.5</t>
  </si>
  <si>
    <t>3 FINISHED- Code: 20190722/DAN/000784/00000568/003</t>
  </si>
  <si>
    <t>20190722/DAN/000784/00000568/003</t>
  </si>
  <si>
    <t>0/22072019/4f1c28aeeb194c229f2db1f46bb7bc18.jpg</t>
  </si>
  <si>
    <t>CANCUN TABLE 210X100X78 CM</t>
  </si>
  <si>
    <t>e/07082019/d7a91270a3454d739aa078655e04b280.jpg</t>
  </si>
  <si>
    <t>44.8</t>
  </si>
  <si>
    <t>213.5</t>
  </si>
  <si>
    <t>103.5</t>
  </si>
  <si>
    <t>5 FINISHED- Code: 20190722/DAN/000784/00000568/005</t>
  </si>
  <si>
    <t>20190722/DAN/000784/00000568/005</t>
  </si>
  <si>
    <t>b/22072019/1c92814c205b421db12358b6dd524756.jpg</t>
  </si>
  <si>
    <t>CANCUN TABLE 240 X 100 X 78</t>
  </si>
  <si>
    <t>1/07082019/82a6e53f70b14deeae60127b9021a11c.jpg</t>
  </si>
  <si>
    <t>243.5</t>
  </si>
  <si>
    <t>4 FINISHED- Code: 20190722/DAN/000784/00000568/004</t>
  </si>
  <si>
    <t>20190722/DAN/000784/00000568/004</t>
  </si>
  <si>
    <t>1/22072019/9b68283ea5d145b8ab829a7fd165ddc0.jpg</t>
  </si>
  <si>
    <t>MODERN STACKING CHAIR</t>
  </si>
  <si>
    <t>d/07082019/a6240fd1cb54433fac2784b565bf0137.jpg</t>
  </si>
  <si>
    <t>7.6</t>
  </si>
  <si>
    <t>2 FINISHED- Code: 20190722/DAN/000784/00000568/002</t>
  </si>
  <si>
    <t>20190722/DAN/000784/00000568/002</t>
  </si>
  <si>
    <t>2/22072019/f42dbbf5b6ed4d099d636e798093a187.jpg</t>
  </si>
  <si>
    <t>NEW CHAIR 1 (984)</t>
  </si>
  <si>
    <t xml:space="preserve">1. Vo Thi My Dieu(22-07-2019 06:31:51)
Pls improve screw holes need to be with nice finishing.
The edge need to be rounded
</t>
  </si>
  <si>
    <t>0/07082019/fcbafa9887644f408a367bc2e55fa3f5.jpg</t>
  </si>
  <si>
    <t>7.58</t>
  </si>
  <si>
    <t>6 FINISHED- Code: 20190722/DAN/000784/00000568/006</t>
  </si>
  <si>
    <t>20190722/DAN/000784/00000568/006</t>
  </si>
  <si>
    <t>8/22072019/67eda0478657438ca14fefda9652efa9.jpg</t>
  </si>
  <si>
    <t>NEW DINING TABLE (784)</t>
  </si>
  <si>
    <t xml:space="preserve">1. Nguyen Huu Hoang(08-08-2019 10:46:45)
There are 2 ways of packing:
1. 144 x 144 x 13.5 cm + 20 x 19 x 17.5 cm;  Qnt/ cont: 210/ 186/ 92
2. 144 x 144 x 21.5 cm ( 1 pc/box); Qnt/ cont: 121/ 113/
</t>
  </si>
  <si>
    <t xml:space="preserve">1. Vo Thi My Dieu(22-07-2019 06:31:50)
Current height is 73 cm. Pls increase 74.5 cm
</t>
  </si>
  <si>
    <t>5/08082019/ff6cc823e2a445bb8766f1ffadfb7db8.jpg</t>
  </si>
  <si>
    <t>1 FINISHED- Code: 20190722/DAN/000784/00000568/001</t>
  </si>
  <si>
    <t>20190722/DAN/000784/00000568/001</t>
  </si>
  <si>
    <t>9/23072019/0cb90c46d8bb4cc9b9e7b7b8fb33e8b2.jpg</t>
  </si>
  <si>
    <t>SAFI DINING CHAIR</t>
  </si>
  <si>
    <t xml:space="preserve">1. DAVE VAN DER LINDEN(26-07-2019 17:49:45)
TARGET PRICE: $33,50
</t>
  </si>
  <si>
    <t>f/08082019/db57bfae2523477cbaae5346f26d5e5b.jpg</t>
  </si>
  <si>
    <t>1 COMPLETED- Code: 20190722/PAL/000902/00000569/001</t>
  </si>
  <si>
    <t>20190722/PAL/000902/00000569/001</t>
  </si>
  <si>
    <t>d/23072019/90f54210ef394e4491fb6eb508b1a488.jpg</t>
  </si>
  <si>
    <t xml:space="preserve">1. DAVE VAN DER LINDEN(26-07-2019 17:49:45)
TARGET PRICE: $ 22,50
</t>
  </si>
  <si>
    <t>8/08082019/d6fa4685acca468baa011b42a8413561.jpg</t>
  </si>
  <si>
    <t>2 COMPLETED- Code: 20190722/PAL/000902/00000569/002</t>
  </si>
  <si>
    <t>20190722/PAL/000902/00000569/002</t>
  </si>
  <si>
    <t>b/23072019/ecb3dcd24d0b4886964a35c7f5e14bca.jpg</t>
  </si>
  <si>
    <t xml:space="preserve">1. DAVE VAN DER LINDEN(26-07-2019 17:49:45)
TARGET PRICE: $ 28,00
</t>
  </si>
  <si>
    <t>9/08082019/eb999290ad244d558408d33633c39e15.jpg</t>
  </si>
  <si>
    <t>3 COMPLETED- Code: 20190722/PAL/000902/00000569/003</t>
  </si>
  <si>
    <t>20190722/PAL/000902/00000569/003</t>
  </si>
  <si>
    <t>c/07092019/54d9154366bb44c08f0f6e4c3a43e4c3.jpg</t>
  </si>
  <si>
    <t>5X BACK PILLOW 50X50</t>
  </si>
  <si>
    <t xml:space="preserve">1. Ngo Duy Hung(23-07-2019 12:34:23)
1) FRONT BAR MUST BE COVERED BY ROPE TOO
2) WITH 5 SMAL BACK PILLOWS ONLY
</t>
  </si>
  <si>
    <t>2019-08-05</t>
  </si>
  <si>
    <t>FOR MDM BTOB DEPT</t>
  </si>
  <si>
    <t>2 ISSUED- Code: 20190723/PAL/001263/00000570/002</t>
  </si>
  <si>
    <t>20190723/PAL/001263/00000570/002</t>
  </si>
  <si>
    <t>f/07092019/91a1c9186a534f6487056966bc86cec5.jpg</t>
  </si>
  <si>
    <t>1X PILLOW 50X50</t>
  </si>
  <si>
    <t xml:space="preserve">1. Ngo Duy Hung(23-07-2019 12:34:23)
1) FRONT BAR MUST BE COVERED BY ROPE TOO
2) THE ZIP SHOULD BE LONGER TO FACILITATE THE REMOVEING OF THE COVER. +10CM ON EACH SIDE. THE ZIP SHOULD BE 70CM
3) 1 BACK PILLOW ONLY.
</t>
  </si>
  <si>
    <t>1 ISSUED- Code: 20190723/PAL/001263/00000570/001</t>
  </si>
  <si>
    <t>20190723/PAL/001263/00000570/001</t>
  </si>
  <si>
    <t>4X BACK PILLOW 50X50</t>
  </si>
  <si>
    <t xml:space="preserve">1. Ngo Duy Hung(23-07-2019 12:43:21)
1) INCREASE MATRESS DEPTH : 12CM 
2) HIGH SEAT LEVEL MUST DO 410 MM
3) WITH 4 BACK CUSHIONS ONLY
4) ADD MIDDLE LEG WITH LEVELER
</t>
  </si>
  <si>
    <t>3 ISSUED- Code: 20190723/PAL/001263/00000570/003</t>
  </si>
  <si>
    <t>20190723/PAL/001263/00000570/003</t>
  </si>
  <si>
    <t>3/21032019/c6378a237c3246aeb87d889924ed83b8.jpg</t>
  </si>
  <si>
    <t xml:space="preserve">1. Ngo Duy Hung(23-07-2019 12:43:21)
1) NEW WIDTH 160CM I/O 175 TO LOWER THE PRICE
2) STRAPS IN SEAT INSTEAD OF ROPE
3) THE SOFA AND THE ARMCHAIR SHOULD HAVE THE SAME DEPTH OF DOUBLE ROPE ON THE TOP CORNER
</t>
  </si>
  <si>
    <t>5 ISSUED- Code: 20190723/ROS/001263/00000570/005</t>
  </si>
  <si>
    <t>20190723/ROS/001263/00000570/005</t>
  </si>
  <si>
    <t xml:space="preserve">1. Ngo Duy Hung(23-07-2019 12:43:21)
1) STRAPS IN SEAT INSTEAD OF ROPE
2) THE SOFA AND THE ARMCHAIR SHOULD HAVE THE SAME DEPTH OF DOUBLE ROPE ON THE TOP CORNER
</t>
  </si>
  <si>
    <t>4 ISSUED- Code: 20190723/ROS/001263/00000570/004</t>
  </si>
  <si>
    <t>20190723/ROS/001263/00000570/004</t>
  </si>
  <si>
    <t>c/25072019/14f978ce73f74ff99978b1e37baa7f9f.jpg</t>
  </si>
  <si>
    <t>NORTON LOUNGE TABLE (NO GLASS)</t>
  </si>
  <si>
    <t xml:space="preserve">1. (25-07-2019 07:56:53)
- TESTING: US STANDARD. 
- LEG STRENGTH TEST: 2 PHRASES: 1ST TEST:100LBS THEN 2ND TEST: 75LBS
- NO GLASS TOP.
</t>
  </si>
  <si>
    <t>ETA AVT: 5/8/2019</t>
  </si>
  <si>
    <t>1 CREATED- Code: 20190725/ROS/910104/00000571/001</t>
  </si>
  <si>
    <t>20190725/ROS/910104/00000571/001</t>
  </si>
  <si>
    <t xml:space="preserve">1. (25-07-2019 13:30:25)
+  SAMPLE FOR PHOTOSHOOTING, FACTORY TO CHECK THE LATEST CALL OUT AS ATTACHED AND FOLLOW ACCORDINGLY
</t>
  </si>
  <si>
    <t>5 ISSUED- Code: 20190725/PAL/001071/00000572/005</t>
  </si>
  <si>
    <t>20190725/PAL/001071/00000572/005</t>
  </si>
  <si>
    <t>c/29012019/03753540717e4ed6aefabfa302ed7584.jpg</t>
  </si>
  <si>
    <t xml:space="preserve">1. (25-07-2019 13:30:25)
+  SAMPLE FOR PHOTOSHOOTING, PLEASE CHECK THE ATTACHED FILE FOR CLIENT CALL OUT AND FOLLOW ACCORDINGLY
</t>
  </si>
  <si>
    <t>4 ISSUED- Code: 20190725/TEC/001071/00000572/004</t>
  </si>
  <si>
    <t>20190725/TEC/001071/00000572/004</t>
  </si>
  <si>
    <t xml:space="preserve">1. (25-07-2019 14:54:34)
+ SAMPLE FOR PHOTO SHOOTING, PLEASE CHECK THE ATTACHED FOR LATEST RECAP AND FOLLOW ACCORDINGLY
</t>
  </si>
  <si>
    <t>16 ISSUED- Code: 20190725/APO/001071/00000572/016</t>
  </si>
  <si>
    <t>20190725/APO/001071/00000572/016</t>
  </si>
  <si>
    <t>8/29012019/028ae7342a2a44209b69c76c4ba96780.jpg</t>
  </si>
  <si>
    <t xml:space="preserve">1. (25-07-2019 13:58:31)
+ SAMPLE FOR CLIENT PHOTO SHOOTING, PLEASE CHECK THE LATEST CALL-OUT AND FOLLOW
</t>
  </si>
  <si>
    <t>12 ISSUED- Code: 20190725/APO/001071/00000572/012</t>
  </si>
  <si>
    <t>20190725/APO/001071/00000572/012</t>
  </si>
  <si>
    <t>8/25072019/ac781fb2c11f4c568552b406a7786971.jpg</t>
  </si>
  <si>
    <t xml:space="preserve">1. (25-07-2019 13:56:14)
+ INCLUDING OTTOMAN CUSHION
+PLEASE CHECK THE ATTACHED FOR LATEST CALL OUT AND FOLLOW
</t>
  </si>
  <si>
    <t>11 ISSUED- Code: 20190725/APO/001071/00000572/011</t>
  </si>
  <si>
    <t>20190725/APO/001071/00000572/011</t>
  </si>
  <si>
    <t>d/09042019/508eec2335114b80b0ee56274bcac3d1.jpg</t>
  </si>
  <si>
    <t xml:space="preserve">1. (25-07-2019 13:56:14)
+ PLEASE CHECK THE LATEST CALL OUT AS ATTACHED AND FOLLOW BEFORE CONNOR REVIEW
</t>
  </si>
  <si>
    <t>10 ISSUED- Code: 20190725/APO/001071/00000572/010</t>
  </si>
  <si>
    <t>20190725/APO/001071/00000572/010</t>
  </si>
  <si>
    <t>5/05082019/1a2018433b944534a2fa7a25747ca6a0.jpg</t>
  </si>
  <si>
    <t>ROUND FLAT 7MM</t>
  </si>
  <si>
    <t xml:space="preserve">1. (25-07-2019 14:06:34)
+ CLIENT NOTE TO PAY ATTENTION ON WOOD FINISHING THROUGH WEAVING. PLEASE CHECK THE ATTACHED CALL OUT AND FOLLOW
</t>
  </si>
  <si>
    <t>13 ISSUED- Code: 20190725/PAL/001071/00000572/013</t>
  </si>
  <si>
    <t>20190725/PAL/001071/00000572/013</t>
  </si>
  <si>
    <t>0/09052019/0d71b7cd92154dbf993100326075fbdf.jpg</t>
  </si>
  <si>
    <t>DELHI LOUNGE CHAIR NEW BASKET WEAVE (1071)</t>
  </si>
  <si>
    <t xml:space="preserve">1. (25-07-2019 14:06:34)
+ SAMPLE FOR CLIENT PHOTO SHOOTING.
</t>
  </si>
  <si>
    <t>14 ISSUED- Code: 20190725/PAL/001071/00000572/014</t>
  </si>
  <si>
    <t>20190725/PAL/001071/00000572/014</t>
  </si>
  <si>
    <t>f/25072019/699270a121664d12bd0b037be9bf7cb8.jpg</t>
  </si>
  <si>
    <t>DELHI LOUNGE CHAIR STRAP WHITE-1071</t>
  </si>
  <si>
    <t xml:space="preserve">1. (25-07-2019 14:12:41)
+ AS LATEST SAMPLE, CONNOR WILL REVIEW BEFORE SENDING TO CLIENT
</t>
  </si>
  <si>
    <t>16 ISSUED- Code: 20190725/PAL/001071/00000572/016</t>
  </si>
  <si>
    <t>20190725/PAL/001071/00000572/016</t>
  </si>
  <si>
    <t>1/18072019/22f97b70a70948f4bcc48fb602ba8691.jpg</t>
  </si>
  <si>
    <t>LENCO LOUNGE CHAIR (1071)</t>
  </si>
  <si>
    <t xml:space="preserve">1. (25-07-2019 13:47:41)
+ CLIENT APPROVED NO KD LEG, PLEASE CHECK ATTACHED AND FOLLOW ACCORDINGLY
</t>
  </si>
  <si>
    <t>9 ISSUED- Code: 20190725/APO/001071/00000572/009</t>
  </si>
  <si>
    <t>20190725/APO/001071/00000572/009</t>
  </si>
  <si>
    <t>5/07082019/ab1fb365ac5c44b5aa2195667a791fff.jpg</t>
  </si>
  <si>
    <t>MELTON LOUNGE BENCH-KD (1071)</t>
  </si>
  <si>
    <t xml:space="preserve">1. (25-07-2019 13:38:46)
+ SAMPLE TO BE SENT CLIENT FOR PHOTOSHOOTING, PLEASE CHECK THE LATEST CALL-OUT AND FOLLOW ACCORDINGLY.
</t>
  </si>
  <si>
    <t>7 ISSUED- Code: 20190725/PAL/001071/00000572/007</t>
  </si>
  <si>
    <t>20190725/PAL/001071/00000572/007</t>
  </si>
  <si>
    <t>f/07082019/fad044bd694f4e13918cd6c8df6727e9.jpg</t>
  </si>
  <si>
    <t>MELTON LOUNGE CHAIR-KD (1071)</t>
  </si>
  <si>
    <t>IGHT GREY W193, NTP SUPPLIER</t>
  </si>
  <si>
    <t>6 ISSUED- Code: 20190725/PAL/001071/00000572/006</t>
  </si>
  <si>
    <t>20190725/PAL/001071/00000572/006</t>
  </si>
  <si>
    <t>8 ISSUED- Code: 20190725/PAL/001071/00000572/008</t>
  </si>
  <si>
    <t>20190725/PAL/001071/00000572/008</t>
  </si>
  <si>
    <t>FLAT 7MM PATTERN OPEN WEAVE</t>
  </si>
  <si>
    <t>WAITING FOR 4U TO COPY SWATCH AND SENT PAL</t>
  </si>
  <si>
    <t xml:space="preserve">1. (25-07-2019 13:24:47)
+  SAMPLE FOR PHOTOSHOOTING, PLEASE CHECK ATTACHED FOR CLIENT CALL-OUT AND FOLLOW.
+  FOR LEG FINISHING, WILL SEND TO PAL FINISH AFTER CLIENT APPROVED THE SWATCH
</t>
  </si>
  <si>
    <t>3 ISSUED- Code: 20190725/PAL/001071/00000572/003</t>
  </si>
  <si>
    <t>20190725/PAL/001071/00000572/003</t>
  </si>
  <si>
    <t xml:space="preserve">1. (25-07-2019 13:24:47)
+  SAMPLE FOR PHOTOSHOOTING, PLEASE CHECK  LATEST RECAP ATTACHED AND FOLLOW ACCORDINGLY
</t>
  </si>
  <si>
    <t>d/09082019/0db2c8483fb74230b844a077e8ade298.jpg</t>
  </si>
  <si>
    <t>2 ISSUED- Code: 20190725/APH/001071/00000572/002</t>
  </si>
  <si>
    <t>20190725/APH/001071/00000572/002</t>
  </si>
  <si>
    <t xml:space="preserve">1. (25-07-2019 13:24:47)
+ SAMPLE FOR PHOTOSHOOTING, PLEASE CHECK THE  LATEST CALL OUT ATTACHED AND FOLLOW ACCORDINGLY
</t>
  </si>
  <si>
    <t>e/09082019/a24cba0e99d1476b96ebfbec85fc538e.jpg</t>
  </si>
  <si>
    <t>1 ISSUED- Code: 20190725/APO/001071/00000572/001</t>
  </si>
  <si>
    <t>20190725/APO/001071/00000572/001</t>
  </si>
  <si>
    <t>5/30072019/a37785c6d7b14860b9545017da836139.jpg</t>
  </si>
  <si>
    <t>TUR-05-VHM</t>
  </si>
  <si>
    <t>2019-09-14</t>
  </si>
  <si>
    <t>BOLZANO ADJUSTABLE BENCH 82X174X90CM</t>
  </si>
  <si>
    <t>ROYAL ANTHRACITE 776 180GR</t>
  </si>
  <si>
    <t xml:space="preserve">1. Vo Thi My Dieu(30-07-2019 09:56:47)
PLS NOTED 1 SAMPLE WILL BE USED FOR TESTING, 1 SAMPLE WILL BE USED FOR PHOTOSHOOT
</t>
  </si>
  <si>
    <t>f/04102019/fb3f5963b47941cda050f28ed0b67e6e.jpg</t>
  </si>
  <si>
    <t>SAMPLES FOR TESTING AND PHOTOSHOOT</t>
  </si>
  <si>
    <t>2 FINISHED- Code: 20190730/TUR/000902/00000574/002</t>
  </si>
  <si>
    <t>20190730/TUR/000902/00000574/002</t>
  </si>
  <si>
    <t>6/30072019/d13329fdd96f4497937e8c775c42eddb.jpg</t>
  </si>
  <si>
    <t>BOLZANO ADJUSTABLE CHAIR</t>
  </si>
  <si>
    <t xml:space="preserve">1. Vo Thi My Dieu(30-07-2019 05:09:49)
PLS PREPARE BELOW MATERIALS FOR TESTING: 
1&gt; WICKER RATTAN MIXED BROWN
2&gt; FABRIC ROYAL ANTHRACITE
3&gt; PU FOAM
4&gt; POLYESTER FIBER
5&gt; POLYBAG
6&gt; ZIPPER
7&gt; PAPER
8&gt; TAPE
PLS NOTED 1 SAMPLE WILL BE USED FOR TESING, 4 SAMPLES WILL BE USED FOR PHOTOSHOOT.
</t>
  </si>
  <si>
    <t>e/04102019/e573482fd34b4c70840923e4764df137.jpg</t>
  </si>
  <si>
    <t>1 FINISHED- Code: 20190730/TUR/000902/00000574/001</t>
  </si>
  <si>
    <t>20190730/TUR/000902/00000574/001</t>
  </si>
  <si>
    <t>9/30072019/d6ac40d274fd4d5cb23758cbd0be6f68.jpg</t>
  </si>
  <si>
    <t xml:space="preserve">BOLZANO ADJUSTABLE CORNER SET 2 PCS (1X ADJUSTABLE LEFT BENCH,  1X ADJUSTABLE RIGHT BENCH)</t>
  </si>
  <si>
    <t>1/02102019/a55995179dda4191b6e2ae91596c918f.jpg</t>
  </si>
  <si>
    <t>3 SAMPLE APPROVED- Code: 20190730/NIG/000902/00000574/003</t>
  </si>
  <si>
    <t>20190730/NIG/000902/00000574/003</t>
  </si>
  <si>
    <t>7/30072019/e5ea3328c08e46819e2454808a1c6dc4.jpg</t>
  </si>
  <si>
    <t>BOLZANO COLUMN TABLE 146,5X84,5X65CM</t>
  </si>
  <si>
    <t xml:space="preserve">1. Vo Thi My Dieu(30-07-2019 06:00:11)
PLS PREPARE BELOW MATERIALS FOR TESTING:
1&gt; GLASS TRANSPARANT
2&gt; EPS FOAM
3&gt; NYLON STRING (HARDWARE)"
PLS NOTED 1 SAMPLE WILL BE USED FOR TESTING, 2 SAMPLES WILL BE USED FOR PHOTOSHOOT
</t>
  </si>
  <si>
    <t>8/02102019/108937d6d86a4e59ad20a3aa6953ea27.jpg</t>
  </si>
  <si>
    <t>4 SAMPLE APPROVED- Code: 20190730/NIG/000902/00000574/004</t>
  </si>
  <si>
    <t>20190730/NIG/000902/00000574/004</t>
  </si>
  <si>
    <t>5/30072019/833b0df0f2874b92835b495c1a2b323f.jpg</t>
  </si>
  <si>
    <t>BOLZANO HOCKER FOR ADJUSTABLE LOUNGE CHAIR</t>
  </si>
  <si>
    <t xml:space="preserve">1. Vo Thi My Dieu(30-07-2019 09:56:47)
PLS NOTED 1 SAMPLE WILL BE USED FOR TESTING, 2 SAMPLES WILL BE USED FOR PHOTOSHOOT
</t>
  </si>
  <si>
    <t>6/02102019/2e6b70c06ef04fb387ca68d13093bbeb.jpg</t>
  </si>
  <si>
    <t>5 SAMPLE APPROVED- Code: 20190730/NIG/000902/00000574/005</t>
  </si>
  <si>
    <t>20190730/NIG/000902/00000574/005</t>
  </si>
  <si>
    <t>0/30072019/9a12cb9f468f44158ab5302744b0a1c2.jpg</t>
  </si>
  <si>
    <t>BOLZANO LOUNGE BENCH</t>
  </si>
  <si>
    <t>5/03102019/634ab235a0a84ba88abf17586decc70f.jpg</t>
  </si>
  <si>
    <t>7 SAMPLE APPROVED- Code: 20190730/NIG/000902/00000574/007</t>
  </si>
  <si>
    <t>20190730/NIG/000902/00000574/007</t>
  </si>
  <si>
    <t>b/30072019/6d0d9da2979041708a8b428f7b688e23.jpg</t>
  </si>
  <si>
    <t>BOLZANO LOUNGE CHAIR</t>
  </si>
  <si>
    <t>ROYAL ANTHRACITE 776</t>
  </si>
  <si>
    <t xml:space="preserve">1. Vo Thi My Dieu(30-07-2019 09:56:47)
PLS NOTED 1 SAMPLE WILL BE USED FOR TESTING, 4 SAMPLES  WILL BE USED FOR PHOTOSHOOT
</t>
  </si>
  <si>
    <t>f/03102019/627917de0a7b4a21896203297e03fcf6.jpg</t>
  </si>
  <si>
    <t>6 SAMPLE APPROVED- Code: 20190730/NIG/000902/00000574/006</t>
  </si>
  <si>
    <t>20190730/NIG/000902/00000574/006</t>
  </si>
  <si>
    <t>f/30072019/809c4332b8ff4b378bbf8500cdd02498.jpg</t>
  </si>
  <si>
    <t>BOLZANO LOUNGE TABLE</t>
  </si>
  <si>
    <t>d/02102019/d1c82d5fe9ad467aacb3d424c50ccf8b.jpg</t>
  </si>
  <si>
    <t>8 SAMPLE APPROVED- Code: 20190730/NIG/000902/00000574/008</t>
  </si>
  <si>
    <t>20190730/NIG/000902/00000574/008</t>
  </si>
  <si>
    <t>f/30072019/efef177b741746d397466794fe295ff2.jpg</t>
  </si>
  <si>
    <t>BOLZANO ROUND TABLE KD DIA. 100CM X 65CM 902</t>
  </si>
  <si>
    <t xml:space="preserve">1. Vo Thi My Dieu(30-07-2019 05:09:49)
PLEASE NOTE ADJUSTED HEIGTH 65CM
PLS PREPARE BELOW MATERIAL FOR TESTING: 
- GLASS TOP
PLS NOTED 1 SAMPLE WILL BE USED FOR TESTING, 1 SAMPLE WILL BE USED FOR PHOTOSHOOT
</t>
  </si>
  <si>
    <t>a/04102019/03da246646664230947c1038e6373767.jpg</t>
  </si>
  <si>
    <t>9 FINISHED- Code: 20190730/TUR/000902/00000574/009</t>
  </si>
  <si>
    <t>20190730/TUR/000902/00000574/009</t>
  </si>
  <si>
    <t>4/30072019/7357dd0860a54a7e8763fe6264f53ff0.jpg</t>
  </si>
  <si>
    <t>CAPRI STACKABLE HIGH SKIRT</t>
  </si>
  <si>
    <t xml:space="preserve">1. Vo Thi My Dieu(30-07-2019 09:56:48)
PLS NOTED 1 SAMPLE WILL BE USED FOR TESTING, 6 SAMPLES WILL BE USED FOR PHOTOSHOOT
</t>
  </si>
  <si>
    <t>3/04102019/2172688f0ed94355a83187fae1fafbd8.jpg</t>
  </si>
  <si>
    <t>10 FINISHED- Code: 20190730/TUR/000902/00000574/010</t>
  </si>
  <si>
    <t>20190730/TUR/000902/00000574/010</t>
  </si>
  <si>
    <t>8/30072019/9005c48999084284ba68e707c9912fed.jpg</t>
  </si>
  <si>
    <t>OREGON LOUNGE SET PROMO (902)</t>
  </si>
  <si>
    <t>NATURAL KOBO GREY BMW</t>
  </si>
  <si>
    <t>DARK GREY 180 BMW</t>
  </si>
  <si>
    <t xml:space="preserve">1. Vo Thi My Dieu(30-07-2019 05:09:49)
PLS PREPARE BELOW MATERIALS FOR TESTING: 
1&gt; WICKER NATURAL KOBO GREY BMW
2&gt; FABRIC DARK GREY 180 BMW
3&gt; PU FOAM
4&gt; POLYESTER FIBER
5&gt; POLYBAG
6&gt; ZIPPER
7&gt; PAPER
8&gt; TAPE
PLS NOTED 1 SAMPLE WILL BE USED FOR TESTING
</t>
  </si>
  <si>
    <t>5/16092019/f715943161e94d7ebe71f979ebdf7880.jpg</t>
  </si>
  <si>
    <t>72.5/64.5/64.5</t>
  </si>
  <si>
    <t>72.5/64.5/31</t>
  </si>
  <si>
    <t>62.5/31.5/52.5</t>
  </si>
  <si>
    <t>11 SAMPLE APPROVED- Code: 20190730/BMW/000902/00000574/011</t>
  </si>
  <si>
    <t>20190730/BMW/000902/00000574/011</t>
  </si>
  <si>
    <t>6/30072019/ae87064b665a4e27adb48c01ec00e6f4.jpg</t>
  </si>
  <si>
    <t xml:space="preserve">1. Vo Thi My Dieu(30-07-2019 09:56:48)
SAMPLES WILL BE USED FOR PHOTOSHOOT
</t>
  </si>
  <si>
    <t>12 CREATED- Code: 20190730/XXX/000902/00000574/012</t>
  </si>
  <si>
    <t>20190730/XXX/000902/00000574/012</t>
  </si>
  <si>
    <t>8/30072019/9ae989cb0e7948f79f3d66e86f3d8ffb.jpg</t>
  </si>
  <si>
    <t>13 CREATED- Code: 20190730/XXX/000902/00000574/013</t>
  </si>
  <si>
    <t>20190730/XXX/000902/00000574/013</t>
  </si>
  <si>
    <t>6/30072019/b9ccb490ed114c0f9bf664331625be31.jpg</t>
  </si>
  <si>
    <t>14 CREATED- Code: 20190730/XXX/000902/00000574/014</t>
  </si>
  <si>
    <t>20190730/XXX/000902/00000574/014</t>
  </si>
  <si>
    <t>d/30072019/865e6887faa54ddb96486c9992653894.jpg</t>
  </si>
  <si>
    <t>YATES LOUNGE BENCH WITH HOCKER 80*80 CM</t>
  </si>
  <si>
    <t xml:space="preserve">1. Vo Thi My Dieu(30-07-2019 09:56:48)
ADJUSTED ARMS , HOCKER 80*80 CM
PLS NOTED SAMPLE WILL BE USED FOR PHOTOSHOOT.
</t>
  </si>
  <si>
    <t>15 CREATED- Code: 20190730/XXX/000902/00000574/015</t>
  </si>
  <si>
    <t>20190730/XXX/000902/00000574/015</t>
  </si>
  <si>
    <t>c/31072019/1dde7333fa3242989ae1f1778cdb981f.jpg</t>
  </si>
  <si>
    <t>2019-08-15</t>
  </si>
  <si>
    <t>4 PCS GUSTO LOUNGE CORNER SET 1282 , WOODEN TABLE TOP, LEGS K/D</t>
  </si>
  <si>
    <t>ROYAL LIGHT BLUE</t>
  </si>
  <si>
    <t xml:space="preserve">1. (06-08-2019 07:30:43)
+ WOODEN TABLE TOP SLAT INLAY IN THE WICKER RIM. K/D LEGS (AS RENDER ATTACHED).
+ CONDUCT QUALITY TEST IN-HOUSE &amp; SEND REPORTS ONCE DONE SAMPLE.
+ CONDUCT PACKAGING ISTA-1A AFTER DONE QUALITY TEST . CLIENT WILL REVIEW PACKAGING DURING PPM.
</t>
  </si>
  <si>
    <t>c/26082019/90a40c3c707245769dcbcaf25e151821.jpg</t>
  </si>
  <si>
    <t>2019-08-18</t>
  </si>
  <si>
    <t>2 FINISHED- Code: 20190731/APO/001282/00000575/002</t>
  </si>
  <si>
    <t>20190731/APO/001282/00000575/002</t>
  </si>
  <si>
    <t>3/31072019/903f185561264ea3a52d4ba7aa532102.jpg</t>
  </si>
  <si>
    <t>4PCS CAPINAS LOUNGE CORNER SET 1282, STORAGE TABLE</t>
  </si>
  <si>
    <t>DOUBLE HALFROUND</t>
  </si>
  <si>
    <t xml:space="preserve">1. (06-08-2019 07:30:43)
+ CONDUCT QUALITY TEST IN-HOUSE &amp; SEND REPORTS ONCE DONE SAMPLE.
+ CONDUCT PACKAGING ISTA-1A AFTER DONE QUALITY TEST . CLIENT WILL REVIEW PACKAGING DURING PPM. 
+ STORAGE TABLE LIFT TOP, PUT JIG INSIDE THE STORAGE TO KEEP THE TOP STAY IN PLACE PROPERLY. BOTTOM CLOSE WEAVE. ADD WOODEN BASE FOR BENCHES MATCHING COLOR WITH THE TABLES (AS RENDER ATTACHED).
</t>
  </si>
  <si>
    <t>f/28082019/745d927fe29e44eea5ce38360523795d.jpg</t>
  </si>
  <si>
    <t>4 FINISHED- Code: 20190731/PAL/001282/00000575/004</t>
  </si>
  <si>
    <t>20190731/PAL/001282/00000575/004</t>
  </si>
  <si>
    <t>8/31072019/c04d5feccc394c5fab876bf29d2bf555.jpg</t>
  </si>
  <si>
    <t>5PCS SET MALABON 1282 K/D</t>
  </si>
  <si>
    <t>WICKER ROPE 4.5 MM</t>
  </si>
  <si>
    <t xml:space="preserve">1. (06-08-2019 07:30:43)
+ CONDUCT QUALITY TEST IN-HOUSE &amp; SEND REPORTS ONCE DONE SAMPLE.
+ CONDUCT PACKAGING ISTA-1A AFTER DONE QUALITY TEST . CLIENT WILL REVIEW PACKAGING DURING PPM.
+ ITEM OVERALL DIM.: 
   - CHAIR: L99 x W112.5 x H79.5CM 
   - BENCH: L99 x W191 x H79.5CM
   - TABLE 1: DIA. 50 x H45CM   
   - TABLE 2: DIA. 80 x H42CM
</t>
  </si>
  <si>
    <t>b/28082019/b43a78db2d87449b81be09aafe6b16e0.jpg</t>
  </si>
  <si>
    <t>3 FINISHED- Code: 20190731/PAL/001282/00000575/003</t>
  </si>
  <si>
    <t>20190731/PAL/001282/00000575/003</t>
  </si>
  <si>
    <t>5/31072019/eae22f14e3c64279aea262d71a76242d.jpg</t>
  </si>
  <si>
    <t>6PCS STOCKPORT LOUNGE SET 1282 WOODEN BASE BANANA LEAF WEAVE K/D LEGS</t>
  </si>
  <si>
    <t xml:space="preserve">1. (06-08-2019 07:30:43)
+ DESIGN &amp; CONSTRUCTION SAME AS STOCKPORT HALFROUND WICKER SHIPPED SS 18-19, ONLY WICKER IS DIFFERENT
+ CONDUCT QUALITY TEST IN-HOUSE &amp; SEND REPORTS (SAME AS ID 8670).
+ CONDUCT PAPER WRAP PACKING AFTER DONE QUALITY TEST . CLIENT WILL REVIEW PACKAGING DURING PPM.
</t>
  </si>
  <si>
    <t>3/26082019/160c442519a94d8fbf1a2085e388e85b.jpg</t>
  </si>
  <si>
    <t>1 FINISHED- Code: 20190731/APO/001282/00000575/001</t>
  </si>
  <si>
    <t>20190731/APO/001282/00000575/001</t>
  </si>
  <si>
    <t>SWATCH ALU LIGHT YELLOW</t>
  </si>
  <si>
    <t xml:space="preserve">1. (31-07-2019 15:06:28)
DIM: 30.5 X 30.5 CM
</t>
  </si>
  <si>
    <t>e/24082019/b42e11a5ea4c4885ad89bd910dc23f51.jpg</t>
  </si>
  <si>
    <t>11 FINISHED- Code: 20190731/PAL/001282/00000575/011</t>
  </si>
  <si>
    <t>20190731/PAL/001282/00000575/011</t>
  </si>
  <si>
    <t xml:space="preserve">1. (31-07-2019 15:06:28)
DIM: 30.5 X 30.5CM
</t>
  </si>
  <si>
    <t>6 ISSUED- Code: 20190731/APO/001282/00000575/006</t>
  </si>
  <si>
    <t>20190731/APO/001282/00000575/006</t>
  </si>
  <si>
    <t>SWATCH FABRIC ROYAL LIGHT BLUE 240GR (X5, 30.5X30.5CM), 2 METERS FABRIC, 30 ZIPPER HEADS, 30 ZIPPER CHAINS</t>
  </si>
  <si>
    <t>POLYESTER 240GR</t>
  </si>
  <si>
    <t xml:space="preserve">1. (06-08-2019 07:49:30)
+ FABRIC SWATCH (X5): 30.5 X 30.5CM
+ 2 METERS FABRIC FOR BV TEST
+ 30 ZIPPER HEADS FOR BV TEST
+ 30 ZIPPER CHAINS FOR BV TEST
</t>
  </si>
  <si>
    <t>14 ISSUED- Code: 20190806/APO/001282/00000575/014</t>
  </si>
  <si>
    <t>20190806/APO/001282/00000575/014</t>
  </si>
  <si>
    <t>SWATCH ROYAL STONE GREY FABRIC</t>
  </si>
  <si>
    <t xml:space="preserve">1. (31-07-2019 14:50:38)
DIM: 30.5 X 30.5 CM
</t>
  </si>
  <si>
    <t>7 ISSUED- Code: 20190731/APO/001282/00000575/007</t>
  </si>
  <si>
    <t>20190731/APO/001282/00000575/007</t>
  </si>
  <si>
    <t>SWATCH SERVAL LIGHT BROWN (X5, SIZE 30.5X30.5CM)</t>
  </si>
  <si>
    <t xml:space="preserve">1. (31-07-2019 15:06:28)
+ FABRIC SWATCH (X5): 30.5 X 30.5CM
</t>
  </si>
  <si>
    <t>f/25082019/9983e53de2e64e958be5f1ca317fc126.jpg</t>
  </si>
  <si>
    <t>10 FINISHED- Code: 20190731/PAL/001282/00000575/010</t>
  </si>
  <si>
    <t>20190731/PAL/001282/00000575/010</t>
  </si>
  <si>
    <t>SWATCH STEEL LIGHT GREY</t>
  </si>
  <si>
    <t>8/25082019/90d30f83879f47b3adb1f6c76b03c0a8.jpg</t>
  </si>
  <si>
    <t>12 FINISHED- Code: 20190731/PAL/001282/00000575/012</t>
  </si>
  <si>
    <t>20190731/PAL/001282/00000575/012</t>
  </si>
  <si>
    <t>SWATCH WICKER DHR 7MM LIGHT KOBO GREY</t>
  </si>
  <si>
    <t>c/24082019/4e9549c684ee423eac5733ce2720b472.jpg</t>
  </si>
  <si>
    <t>13 FINISHED- Code: 20190806/PAL/001282/00000575/013</t>
  </si>
  <si>
    <t>20190806/PAL/001282/00000575/013</t>
  </si>
  <si>
    <t>SWATCH WICKER ROPE 4.5 RATTAN GREY</t>
  </si>
  <si>
    <t>WICKER ROPE 4.5MM</t>
  </si>
  <si>
    <t>a/24082019/38a02e6f0d074ccf8a026038b2bde04b.jpg</t>
  </si>
  <si>
    <t>9 FINISHED- Code: 20190731/PAL/001282/00000575/009</t>
  </si>
  <si>
    <t>20190731/PAL/001282/00000575/009</t>
  </si>
  <si>
    <t>SWATCH WICKER TWISTED NATURAL</t>
  </si>
  <si>
    <t xml:space="preserve">1. (31-07-2019 15:06:28)
+ 5 SWATCH : 30.5 X 30.5CM
</t>
  </si>
  <si>
    <t>5 ISSUED- Code: 20190731/APO/001282/00000575/005</t>
  </si>
  <si>
    <t>20190731/APO/001282/00000575/005</t>
  </si>
  <si>
    <t>SWATCH WOOD ACACIA SMOOTH ANTIQUE GREY</t>
  </si>
  <si>
    <t>12 ISSUED- Code: 20190731/PAL/001282/00000575/012</t>
  </si>
  <si>
    <t>e/02082019/f343f20b492a472f9c96dd3b7fd73180.jpg</t>
  </si>
  <si>
    <t>DALAT LOUNGE BENCH 909314</t>
  </si>
  <si>
    <t>FLAT 20MM SOLID</t>
  </si>
  <si>
    <t xml:space="preserve">1. Huynh Thi To Nga(02-08-2019 14:57:29)
This item was changed from wicker to rope
Please check attached TD
</t>
  </si>
  <si>
    <t>Client will come showroom to sign samples</t>
  </si>
  <si>
    <t>3 ISSUED- Code: 20190802/PAL/909314/00000576/003</t>
  </si>
  <si>
    <t>20190802/PAL/909314/00000576/003</t>
  </si>
  <si>
    <t>4/02082019/0d357d8388594094a56636b4b9e3e724.jpg</t>
  </si>
  <si>
    <t>DALAT LOUNGE CHAIR- 909314</t>
  </si>
  <si>
    <t xml:space="preserve">1. Huynh Thi To Nga(02-08-2019 14:57:29)
this sample was changed from wicker to rope
Please check attached TD. Thanks !
</t>
  </si>
  <si>
    <t>2 ISSUED- Code: 20190802/PAL/909314/00000576/002</t>
  </si>
  <si>
    <t>20190802/PAL/909314/00000576/002</t>
  </si>
  <si>
    <t>3/02082019/e9754f8865ab4b75b31434343eb31013.jpg</t>
  </si>
  <si>
    <t>TOPA CORNER SET</t>
  </si>
  <si>
    <t xml:space="preserve">1. Huynh Thi To Nga(02-08-2019 14:57:28)
This set was made by PAL last year. This season, client want to change it to ALU -Fresh white
Please refer to attached TDs
</t>
  </si>
  <si>
    <t>1 ISSUED- Code: 20190802/PAL/909314/00000576/001</t>
  </si>
  <si>
    <t>20190802/PAL/909314/00000576/001</t>
  </si>
  <si>
    <t>d/23052019/029b9dc358da4f1e8d9ab3272682b633.jpg</t>
  </si>
  <si>
    <t>ADELAIDE SIDE TABLE BIG (705)</t>
  </si>
  <si>
    <t>8/03092019/8525f478ab454e90b916316e769a2ccf.jpg</t>
  </si>
  <si>
    <t>HCM @SHR &amp; HUE @BIG</t>
  </si>
  <si>
    <t>CLIENT VISIT 6/7 SEPTEMBER</t>
  </si>
  <si>
    <t>17 FINISHED- Code: 20190806/AKI/000705/00000577/017</t>
  </si>
  <si>
    <t>20190806/AKI/000705/00000577/017</t>
  </si>
  <si>
    <t>5/23052019/b55a3411bdc04b7b8322acfdcc8782d3.jpg</t>
  </si>
  <si>
    <t>ADELAIDE SIDE TABLE SMALL (705)</t>
  </si>
  <si>
    <t>a/03092019/148f604554de458d9f33f41f789233b5.jpg</t>
  </si>
  <si>
    <t>16 FINISHED- Code: 20190806/AKI/000705/00000577/016</t>
  </si>
  <si>
    <t>20190806/AKI/000705/00000577/016</t>
  </si>
  <si>
    <t>b/18102018/3af8805928204d77860f91e1515e7671.jpg</t>
  </si>
  <si>
    <t>CERVO LOUNGE CORNER SET 3PCS (LEFT ARM, RIGHT ARM, CORNER)</t>
  </si>
  <si>
    <t>e/28082019/a5121b8f273b49e79771fac515328090.jpg</t>
  </si>
  <si>
    <t>18 FINISHED- Code: 20190806/BIG/000705/00000577/018</t>
  </si>
  <si>
    <t>20190806/BIG/000705/00000577/018</t>
  </si>
  <si>
    <t>a/10042019/91e84fa285534f1c98cdf14f2a66fbe5.jpg</t>
  </si>
  <si>
    <t>ESTORIL LOUNGE CHAIR (705)</t>
  </si>
  <si>
    <t>6/23082019/95870756f6f54f6b8f128f6d7f01c943.jpg</t>
  </si>
  <si>
    <t>8 FINISHED- Code: 20190806/PAL/000705/00000577/008</t>
  </si>
  <si>
    <t>20190806/PAL/000705/00000577/008</t>
  </si>
  <si>
    <t>2/10042019/16623debcd3145c098042f5a5b4c15ba.jpg</t>
  </si>
  <si>
    <t>GIBSON LOUNGE CORNER SET 3 PCS (1X LEFT ARM, 1X RIGHT ARM, 1X LOUNGE TABLE 68X68X33CM) (705)</t>
  </si>
  <si>
    <t>0/25082019/2562615fca204e0cb43fa4b034a6b144.jpg</t>
  </si>
  <si>
    <t>12 FINISHED- Code: 20190806/PAL/000705/00000577/012</t>
  </si>
  <si>
    <t>20190806/PAL/000705/00000577/012</t>
  </si>
  <si>
    <t>6/10042019/c40d33e5ff134ec5a51f098bdc6f7976.jpg</t>
  </si>
  <si>
    <t>LANGON LOUNGE BENCH (705)</t>
  </si>
  <si>
    <t>6/04092019/332e39e69aba4e5ba7cec3b66b84178e.jpg</t>
  </si>
  <si>
    <t>4 FINISHED- Code: 20190806/PAL/000705/00000577/004</t>
  </si>
  <si>
    <t>20190806/PAL/000705/00000577/004</t>
  </si>
  <si>
    <t>5/29082019/7da3955aa46949dc9b9011691793f3da.jpg</t>
  </si>
  <si>
    <t>7 FINISHED- Code: 20190806/PAL/000705/00000577/007</t>
  </si>
  <si>
    <t>20190806/PAL/000705/00000577/007</t>
  </si>
  <si>
    <t>9/10042019/35204148205a49499362599f40294d8e.jpg</t>
  </si>
  <si>
    <t xml:space="preserve">NARVIK LOUNGE SET (2X CHAIR  + 1XBENCH + 1X RECT. TABLE) (705)</t>
  </si>
  <si>
    <t>c/31082019/3e16ca756f82445c80bbb8fd8b5e3ac9.jpg</t>
  </si>
  <si>
    <t>9 FINISHED- Code: 20190806/TEC/000705/00000577/009</t>
  </si>
  <si>
    <t>20190806/TEC/000705/00000577/009</t>
  </si>
  <si>
    <t>a/10042019/f555197fc13a494ea263e2eeac4cceeb.jpg</t>
  </si>
  <si>
    <t>NASSAU DINING CHAIR WITH ROPE (705)</t>
  </si>
  <si>
    <t>5/31082019/db25b34d0f7b401fb28a9cb7bf842517.jpg</t>
  </si>
  <si>
    <t>6 FINISHED- Code: 20190806/PAL/000705/00000577/006</t>
  </si>
  <si>
    <t>20190806/PAL/000705/00000577/006</t>
  </si>
  <si>
    <t>6/03092019/dfbf11a1b3344e28b5d19c5184729eb0.jpg</t>
  </si>
  <si>
    <t>10 FINISHED- Code: 20190806/AKI/000705/00000577/010</t>
  </si>
  <si>
    <t>20190806/AKI/000705/00000577/010</t>
  </si>
  <si>
    <t>8/04062019/0a8fb7f92cca4288a9eeb14a85f85201.jpg</t>
  </si>
  <si>
    <t>NEW HONOLULU LOUNGE SET (705)</t>
  </si>
  <si>
    <t>8/29082019/1301630480a04387a2ff165ab86bfe0e.jpg</t>
  </si>
  <si>
    <t>11 FINISHED- Code: 20190806/PAL/000705/00000577/011</t>
  </si>
  <si>
    <t>20190806/PAL/000705/00000577/011</t>
  </si>
  <si>
    <t>c/10042019/bdd82a29d5614b649bed15465882cfb2.jpg</t>
  </si>
  <si>
    <t>ROYAL STONE BORDEUX</t>
  </si>
  <si>
    <t>3/26082019/bd586bd07e4943c791b0aa8c3f4db724.jpg</t>
  </si>
  <si>
    <t>13 FINISHED- Code: 20190806/DAN/000705/00000577/013</t>
  </si>
  <si>
    <t>20190806/DAN/000705/00000577/013</t>
  </si>
  <si>
    <t>9/10042019/d94c68350c754160ab9394f043eaa33e.jpg</t>
  </si>
  <si>
    <t>PARANA STOOL (705)</t>
  </si>
  <si>
    <t>6/26082019/58e6188c5e834ca5ac55814dde671e6e.jpg</t>
  </si>
  <si>
    <t>14 FINISHED- Code: 20190806/DAN/000705/00000577/014</t>
  </si>
  <si>
    <t>20190806/DAN/000705/00000577/014</t>
  </si>
  <si>
    <t>PORTIMAO DINING CHAIR</t>
  </si>
  <si>
    <t>b/31082019/d70f153ce4414931812274c38aa982d6.jpg</t>
  </si>
  <si>
    <t>1 FINISHED- Code: 20190806/PAL/000705/00000577/001</t>
  </si>
  <si>
    <t>20190806/PAL/000705/00000577/001</t>
  </si>
  <si>
    <t>3/10042019/0fabb8eac92942d0bd6d593a7b10feaa.jpg</t>
  </si>
  <si>
    <t>PORTOFINO HOCKER (705)</t>
  </si>
  <si>
    <t>e/28082019/8d774f7c720b44a0bf2936394930738e.jpg</t>
  </si>
  <si>
    <t>3 FINISHED- Code: 20190806/BIG/000705/00000577/003</t>
  </si>
  <si>
    <t>20190806/BIG/000705/00000577/003</t>
  </si>
  <si>
    <t>d/10042019/04dbd8ca3f26491ea686c42dd125f743.jpg</t>
  </si>
  <si>
    <t>PORTOFINO LOUNGE CHAIR (705)</t>
  </si>
  <si>
    <t>8/28082019/e43953bd2bf04d4aac8777c7cdc45678.jpg</t>
  </si>
  <si>
    <t>2 FINISHED- Code: 20190806/BIG/000705/00000577/002</t>
  </si>
  <si>
    <t>20190806/BIG/000705/00000577/002</t>
  </si>
  <si>
    <t>f/26082019/836bebc4aff748319222314ba26d2f0c.jpg</t>
  </si>
  <si>
    <t>5 FINISHED- Code: 20190806/PAL/000705/00000577/005</t>
  </si>
  <si>
    <t>20190806/PAL/000705/00000577/005</t>
  </si>
  <si>
    <t>2/26082019/66295562a8c5417bbae5b79bbc86adfa.jpg</t>
  </si>
  <si>
    <t>8.6</t>
  </si>
  <si>
    <t>15 FINISHED- Code: 20190806/DAN/000705/00000577/015</t>
  </si>
  <si>
    <t>20190806/DAN/000705/00000577/015</t>
  </si>
  <si>
    <t>f/23022016/91a49080e9994b75974dd3b3841e6f84.jpg</t>
  </si>
  <si>
    <t>2019-08-16</t>
  </si>
  <si>
    <t>LORIENT BENCH PROMO 192X68X70CM (780)</t>
  </si>
  <si>
    <t>9/09082019/18b14c9335644c6ebb2e0126d08da50e.jpg</t>
  </si>
  <si>
    <t>27.5</t>
  </si>
  <si>
    <t>5 FINISHED- Code: 20190808/ZWE/001007/00000578/005</t>
  </si>
  <si>
    <t>20190808/ZWE/001007/00000578/005</t>
  </si>
  <si>
    <t>e/09082019/4a1750942f964f21b9325f8094c538e1.jpg</t>
  </si>
  <si>
    <t>2 FINISHED- Code: 20190808/AKI/001007/00000578/002</t>
  </si>
  <si>
    <t>20190808/AKI/001007/00000578/002</t>
  </si>
  <si>
    <t>3/09082019/9d9ca49c41aa49f9883848db614ce427.jpg</t>
  </si>
  <si>
    <t>3 FINISHED- Code: 20190808/AKI/001007/00000578/003</t>
  </si>
  <si>
    <t>20190808/AKI/001007/00000578/003</t>
  </si>
  <si>
    <t>c/19082019/39ef4ffe27654981a4edf2d504b0de1e.jpg</t>
  </si>
  <si>
    <t>1 FINISHED- Code: 20190808/PAL/001007/00000578/001</t>
  </si>
  <si>
    <t>20190808/PAL/001007/00000578/001</t>
  </si>
  <si>
    <t>3/09082019/b9dd0466f25e4d87a730d6d306aaf95f.jpg</t>
  </si>
  <si>
    <t>4 FINISHED- Code: 20190808/DAN/001007/00000578/004</t>
  </si>
  <si>
    <t>20190808/DAN/001007/00000578/004</t>
  </si>
  <si>
    <t>0/08082019/2bccdfbfaffe4bf0b3c491015ad7949b.jpg</t>
  </si>
  <si>
    <t>2019-09-05</t>
  </si>
  <si>
    <t xml:space="preserve">1. Huynh Thi To Nga(08-08-2019 12:13:06)
Please note that the table will be have groove as sample made before
</t>
  </si>
  <si>
    <t>client will sign off this sample before mass production</t>
  </si>
  <si>
    <t>1 ISSUED- Code: 20190808/ROS/001668/00000579/001</t>
  </si>
  <si>
    <t>20190808/ROS/001668/00000579/001</t>
  </si>
  <si>
    <t>3/09102018/53a81a77342c4b19a49493f0b4df0dcd.jpg</t>
  </si>
  <si>
    <t>2019-08-19</t>
  </si>
  <si>
    <t>MALUA LOUNGE CHAIR (1327)</t>
  </si>
  <si>
    <t>MIXED BROWN PE 132</t>
  </si>
  <si>
    <t xml:space="preserve">1. Ngo Duy Hung(09-08-2019 10:04:37)
ROPE COLOR AS ATTACHED AS LAST YEAR
</t>
  </si>
  <si>
    <t>b/28082019/e6fe3dd707c9490eb1594657f42b948e.jpg</t>
  </si>
  <si>
    <t>JULIA GRUP</t>
  </si>
  <si>
    <t>SAMPLE PI 44076VN</t>
  </si>
  <si>
    <t>1 FINISHED- Code: 20190809/PAL/001327/00000580/001</t>
  </si>
  <si>
    <t>20190809/PAL/001327/00000580/001</t>
  </si>
  <si>
    <t>VIPORA BLUE &amp; WHITE</t>
  </si>
  <si>
    <t xml:space="preserve">1. Ngo Duy Hung(09-08-2019 10:04:37)
ROPE COLOR AS ATTACHED, PLEASE CONTACT MR. MY FOR THIS VIPORA ROPE
</t>
  </si>
  <si>
    <t>a/28082019/706c21e4eb174e4ebdaf60ebab52924c.jpg</t>
  </si>
  <si>
    <t>2 FINISHED- Code: 20190809/PAL/001327/00000580/002</t>
  </si>
  <si>
    <t>20190809/PAL/001327/00000580/002</t>
  </si>
  <si>
    <t>VIPORA GOLD &amp; BLACK</t>
  </si>
  <si>
    <t xml:space="preserve">1. Ngo Duy Hung(09-08-2019 10:04:37)
ROPE COLOR AS ATTACHED, PLEASE CONTACT MR. MY VAN FOR THIS VIPORA ROPE
</t>
  </si>
  <si>
    <t>0/28082019/f6fa0365fa0c4adb9257cd222fc57a15.jpg</t>
  </si>
  <si>
    <t>3 FINISHED- Code: 20190809/PAL/001327/00000580/003</t>
  </si>
  <si>
    <t>20190809/PAL/001327/00000580/003</t>
  </si>
  <si>
    <t xml:space="preserve">1. Nicole Poldervaart(14-08-2019 10:40:06)
2x container
1x sealed sample
</t>
  </si>
  <si>
    <t>1 CREATED- Code: 20190814/XXX/001200/00000581/001</t>
  </si>
  <si>
    <t>20190814/XXX/001200/00000581/001</t>
  </si>
  <si>
    <t xml:space="preserve">1. Nicole Poldervaart(14-08-2019 10:40:06)
2X CONTAINER
1X SEALED SAMPLE
</t>
  </si>
  <si>
    <t>2 CREATED- Code: 20190814/XXX/001200/00000581/002</t>
  </si>
  <si>
    <t>20190814/XXX/001200/00000581/002</t>
  </si>
  <si>
    <t xml:space="preserve">1. Nicole Poldervaart(14-08-2019 12:29:12)
1X CONTAINER
1X SEALED SAMPLE
</t>
  </si>
  <si>
    <t>22 CREATED- Code: 20190814/XXX/001200/00000581/022</t>
  </si>
  <si>
    <t>20190814/XXX/001200/00000581/022</t>
  </si>
  <si>
    <t xml:space="preserve">2. Nicole Poldervaart(14-08-2019 15:22:38)
MAKE NEW SAMPLES CARPINO
1 BENCH
1 LEFT ARM
1 RIGHT ARM
2 LOUNGE CHAIR
1 HOCKER
WITH BACK CUSHIONS AS HELSINKI
 WICKER METHOD MUST BE CONSISTENT
- MAKE SURE ALL VISSABLE FRAMES ARE COVERED WITH WICKER
- BOLTS VISIBLE - USE SHORTER BOLTS
- MAKE SURE COLOR OF WICKER MATCHES ON BENCH AND LEFT/RIGHT ARM
- MAKE SURE SQUARS HAVE SAME SIZE
- MAKE SURE VISIBLE FRAMES ARE COVERED WITH WICKER
- STRAIGHT LINES!!!!!!!
- NO WICKER ENDINGS VISIBLE - MUST BE STAPLED. DON'T CUT OFF LIKE THIS. MAKE SURE IT IS STAPLED TO FRAME.
- MAKE SURE BAND ON BOTTUM IS SAME ON LOUNGE SET AND DINING CHAIR. FRONT AND BACK 
- MAKE SURE THAT LOUNGE AND DINING CHAIR HAVE SAME COLOR ON SAME HIGHT.
- NOW ALL HORIZONTAL LINES ON DINING CHAIR ARE GREEN / ON LOUNGE SET ITS GREEN/GREY/GREEN
- MAKE BACK CUSHIONS AS HELSINKI
1. Nicole Poldervaart(14-08-2019 12:19:53)
1X CONTAINER
1X  SEALED SAMPLE
</t>
  </si>
  <si>
    <t>19 CREATED- Code: 20190814/XXX/001200/00000581/019</t>
  </si>
  <si>
    <t>20190814/XXX/001200/00000581/019</t>
  </si>
  <si>
    <t xml:space="preserve">1. Nicole Poldervaart(14-08-2019 12:19:53)
1X CONTAINER
1X SEALED SAMPLE
</t>
  </si>
  <si>
    <t>20 CREATED- Code: 20190814/XXX/001200/00000581/020</t>
  </si>
  <si>
    <t>20190814/XXX/001200/00000581/020</t>
  </si>
  <si>
    <t>SERVAL LIGHT BROWN 240 - FR</t>
  </si>
  <si>
    <t>21 CREATED- Code: 20190814/XXX/001200/00000581/021</t>
  </si>
  <si>
    <t>20190814/XXX/001200/00000581/021</t>
  </si>
  <si>
    <t>23 CREATED- Code: 20190814/XXX/001200/00000581/023</t>
  </si>
  <si>
    <t>20190814/XXX/001200/00000581/023</t>
  </si>
  <si>
    <t>e/28052019/6208f86661884c3e812baf262c466d66.jpg</t>
  </si>
  <si>
    <t xml:space="preserve">FAVARA LOUNGE BENCH  (1200)</t>
  </si>
  <si>
    <t xml:space="preserve">1. Nicole Poldervaart(14-08-2019 10:40:06)
X CONTAINER
1X SEALED SAMPLE
</t>
  </si>
  <si>
    <t>3 CREATED- Code: 20190814/XXX/001200/00000581/003</t>
  </si>
  <si>
    <t>20190814/XXX/001200/00000581/003</t>
  </si>
  <si>
    <t>7/28052019/4f7bf780946549c4b8c68005a2a3b7d5.jpg</t>
  </si>
  <si>
    <t>FAVARA LOUNGE CHAIR (1200)</t>
  </si>
  <si>
    <t xml:space="preserve">2. Nicole Poldervaart(14-08-2019 15:22:38)
MAKE NEW SAMPLE WITH STRAPS 
MAKE NEW SEAT CUSHION; REMOVE 50% OF THICKNESS SAMPLE CUSHION
MAKE BACK CUSHION SAME THICKNESS AS LEFT PICTURE; AS HONOLULU DINING CHAIR, 
BUT WITHOUT VERTICAL STITCHING
1. Nicole Poldervaart(14-08-2019 10:40:06)
2X CONTAINER
1X SEALED SAMPLE
</t>
  </si>
  <si>
    <t>4 CREATED- Code: 20190814/XXX/001200/00000581/004</t>
  </si>
  <si>
    <t>20190814/XXX/001200/00000581/004</t>
  </si>
  <si>
    <t xml:space="preserve">1. Nicole Poldervaart(14-08-2019 11:33:01)
8X CONTAINER
1X SEALED SAMPLE
</t>
  </si>
  <si>
    <t>16 CREATED- Code: 20190814/XXX/001200/00000581/016</t>
  </si>
  <si>
    <t>20190814/XXX/001200/00000581/016</t>
  </si>
  <si>
    <t xml:space="preserve">2. Nicole Poldervaart(14-08-2019 15:22:38)
GAPS TO BIG ON PART WHERE ARM MEETS BACK.
1. Nicole Poldervaart(14-08-2019 11:33:01)
8X CONTAINER
1X SEALED SAMPLE
</t>
  </si>
  <si>
    <t>15 CREATED- Code: 20190814/XXX/001200/00000581/015</t>
  </si>
  <si>
    <t>20190814/XXX/001200/00000581/015</t>
  </si>
  <si>
    <t>2/01082019/e0ed6dc5ab6c40b1b28e88fa4286c9a7.jpg</t>
  </si>
  <si>
    <t>KOLONGA DINING CHAIR</t>
  </si>
  <si>
    <t>ROUND 4MM CROSSWEAVE</t>
  </si>
  <si>
    <t>36 CREATED- Code: 20190814/XXX/001200/00000581/036</t>
  </si>
  <si>
    <t>20190814/XXX/001200/00000581/036</t>
  </si>
  <si>
    <t>a/01082019/07f420e2ff994eaa85a54fcef93f4845.jpg</t>
  </si>
  <si>
    <t>37 CREATED- Code: 20190814/XXX/001200/00000581/037</t>
  </si>
  <si>
    <t>20190814/XXX/001200/00000581/037</t>
  </si>
  <si>
    <t>43 CREATED- Code: 20190814/XXX/001200/00000581/043</t>
  </si>
  <si>
    <t>20190814/XXX/001200/00000581/043</t>
  </si>
  <si>
    <t>KOLONGA FOOTREST</t>
  </si>
  <si>
    <t>44 CREATED- Code: 20190814/XXX/001200/00000581/044</t>
  </si>
  <si>
    <t>20190814/XXX/001200/00000581/044</t>
  </si>
  <si>
    <t>45 CREATED- Code: 20190814/XXX/001200/00000581/045</t>
  </si>
  <si>
    <t>20190814/XXX/001200/00000581/045</t>
  </si>
  <si>
    <t>INDIGO</t>
  </si>
  <si>
    <t>46 CREATED- Code: 20190814/XXX/001200/00000581/046</t>
  </si>
  <si>
    <t>20190814/XXX/001200/00000581/046</t>
  </si>
  <si>
    <t>47 CREATED- Code: 20190814/XXX/001200/00000581/047</t>
  </si>
  <si>
    <t>20190814/XXX/001200/00000581/047</t>
  </si>
  <si>
    <t>48 CREATED- Code: 20190814/XXX/001200/00000581/048</t>
  </si>
  <si>
    <t>20190814/XXX/001200/00000581/048</t>
  </si>
  <si>
    <t>e/01082019/0fa9f9bdf72642669f46b66f835d3195.jpg</t>
  </si>
  <si>
    <t>KOLONGA LOUNGE CHAIR</t>
  </si>
  <si>
    <t>42 CREATED- Code: 20190814/XXX/001200/00000581/042</t>
  </si>
  <si>
    <t>20190814/XXX/001200/00000581/042</t>
  </si>
  <si>
    <t>40 CREATED- Code: 20190814/XXX/001200/00000581/040</t>
  </si>
  <si>
    <t>20190814/XXX/001200/00000581/040</t>
  </si>
  <si>
    <t>41 CREATED- Code: 20190814/XXX/001200/00000581/041</t>
  </si>
  <si>
    <t>20190814/XXX/001200/00000581/041</t>
  </si>
  <si>
    <t>38 CREATED- Code: 20190814/XXX/001200/00000581/038</t>
  </si>
  <si>
    <t>20190814/XXX/001200/00000581/038</t>
  </si>
  <si>
    <t>39 CREATED- Code: 20190814/XXX/001200/00000581/039</t>
  </si>
  <si>
    <t>20190814/XXX/001200/00000581/039</t>
  </si>
  <si>
    <t xml:space="preserve">2. Nicole Poldervaart(14-08-2019 15:22:38)
MAKE NEW SAMPLE WITH ALU LEGS AND ADJUSTED BACK		
RAKE OF BACK IS NOT GOOD. TO STRAIGHT
CHAIR SHOULD HAVE ALU LEGS
CHECK 2ND SAMPLE FOR THIS CHAIR. THIS BACK WAS OK
1. Nicole Poldervaart(14-08-2019 12:29:12)
8X CONTAINER
1X SEALED SAMPLE
</t>
  </si>
  <si>
    <t>24 CREATED- Code: 20190814/XXX/001200/00000581/024</t>
  </si>
  <si>
    <t>20190814/XXX/001200/00000581/024</t>
  </si>
  <si>
    <t xml:space="preserve">2. Nicole Poldervaart(14-08-2019 15:22:38)
MAKE NEW BENCH WITH NEW DIMENSIONS		
- MAKE LOUNGE BENCH WITH CUSHION SIZE 155 CM. CHANGE DIMENSIONS OF THE BENCH (WIDTH)
- USE BLACK BOLTS! NO METAL COLOR. FOLLOW COLOR FROM LEFT PICTURE
1. Nicole Poldervaart(14-08-2019 12:29:12)
1X CONTAINER
1X SEALED SAMPLE
</t>
  </si>
  <si>
    <t>25 CREATED- Code: 20190814/XXX/001200/00000581/025</t>
  </si>
  <si>
    <t>20190814/XXX/001200/00000581/025</t>
  </si>
  <si>
    <t xml:space="preserve">1. Nicole Poldervaart(14-08-2019 12:51:56)
2X CONTAINER
1X SEALED SAMPLE
</t>
  </si>
  <si>
    <t>26 CREATED- Code: 20190814/XXX/001200/00000581/026</t>
  </si>
  <si>
    <t>20190814/XXX/001200/00000581/026</t>
  </si>
  <si>
    <t>2/16042019/3f96e97de00c4a80ac65ed26cdc09707.jpg</t>
  </si>
  <si>
    <t>LUZERN SIDE TABLE SET</t>
  </si>
  <si>
    <t xml:space="preserve">2. Nicole Poldervaart(14-08-2019 15:22:38)
MAKE NEW SAMPLE LUZERN TABLES, WITH ALU LEGS IN ROUND SHAPE. 
SAME HEIGHT AND LENGTH AS WOODEN LEGS. BUT SAME LEGS AS LUZANO SET
1. Nicole Poldervaart(14-08-2019 12:51:56)
1X CONTAINER
</t>
  </si>
  <si>
    <t>28 CREATED- Code: 20190814/XXX/001200/00000581/028</t>
  </si>
  <si>
    <t>20190814/XXX/001200/00000581/028</t>
  </si>
  <si>
    <t xml:space="preserve">1. Nicole Poldervaart(14-08-2019 12:51:56)
1X CONTAINER
</t>
  </si>
  <si>
    <t>27 CREATED- Code: 20190814/XXX/001200/00000581/027</t>
  </si>
  <si>
    <t>20190814/XXX/001200/00000581/027</t>
  </si>
  <si>
    <t xml:space="preserve">2. Nicole Poldervaart(14-08-2019 15:22:38)
REWORK SAMPLE
50X50 COVER WITH 60X60 STUFFING
LOUNGE SET IS INSTABLE - MANCHO TO ASSIST
1. Nicole Poldervaart(14-08-2019 11:08:06)
1X CONTAINER
1X SEALED SAMPLE
</t>
  </si>
  <si>
    <t>5 CREATED- Code: 20190814/XXX/001200/00000581/005</t>
  </si>
  <si>
    <t>20190814/XXX/001200/00000581/005</t>
  </si>
  <si>
    <t>6/28052019/d6c997c9bb364ffcb7485126a67a9941.jpg</t>
  </si>
  <si>
    <t xml:space="preserve">1. Nicole Poldervaart(14-08-2019 11:08:06)
2X CONTAINER
1X SEALED SAMPLE
</t>
  </si>
  <si>
    <t>6 CREATED- Code: 20190814/XXX/001200/00000581/006</t>
  </si>
  <si>
    <t>20190814/XXX/001200/00000581/006</t>
  </si>
  <si>
    <t>f/07102019/d46774b222f644f98b54dda86750d1c2.jpg</t>
  </si>
  <si>
    <t>MALENA LOUNGE BENCH (1200)</t>
  </si>
  <si>
    <t xml:space="preserve">2. Nicole Poldervaart(14-08-2019 15:22:38)
AD 10 CM SEATING  DEPHT ON BENCH AND CHAIR
AND CHECK FOR STABILITY AND STRENGTH
MAKE NEW SAMPLES
1X BENCH
2X CHAIR
1. Nicole Poldervaart(14-08-2019 12:19:53)
1X CONTAINER
1X SEALED SAMPLE
</t>
  </si>
  <si>
    <t>18 CREATED- Code: 20190814/XXX/001200/00000581/018</t>
  </si>
  <si>
    <t>20190814/XXX/001200/00000581/018</t>
  </si>
  <si>
    <t xml:space="preserve">1. Nicole Poldervaart(14-08-2019 11:33:01)
2X CONTAINER
1X SEALED SAMPLE
</t>
  </si>
  <si>
    <t>17 CREATED- Code: 20190814/XXX/001200/00000581/017</t>
  </si>
  <si>
    <t>20190814/XXX/001200/00000581/017</t>
  </si>
  <si>
    <t xml:space="preserve">1. Nicole Poldervaart(14-08-2019 12:51:56)
8X CONTAINER
1X CONTAINER
</t>
  </si>
  <si>
    <t>30 CREATED- Code: 20190814/XXX/001200/00000581/030</t>
  </si>
  <si>
    <t>20190814/XXX/001200/00000581/030</t>
  </si>
  <si>
    <t>29 CREATED- Code: 20190814/XXX/001200/00000581/029</t>
  </si>
  <si>
    <t>20190814/XXX/001200/00000581/029</t>
  </si>
  <si>
    <t>9/28052019/e7a34424023a40caa1f502b762c05e51.jpg</t>
  </si>
  <si>
    <t>OSIRE LOUNGE CHAIR (1200)</t>
  </si>
  <si>
    <t xml:space="preserve">1. Nicole Poldervaart(14-08-2019 11:08:06)
2X CONATINER 
1X SEALED SAMPLE
</t>
  </si>
  <si>
    <t>7 CREATED- Code: 20190814/XXX/001200/00000581/007</t>
  </si>
  <si>
    <t>20190814/XXX/001200/00000581/007</t>
  </si>
  <si>
    <t xml:space="preserve">1. Nicole Poldervaart(14-08-2019 11:08:06)
2X CONTAINER
1X SEALED SAMPLE
CLOSED WEAVING LIKE ORIGINAL OSIRE CHAIR
FRAME AS OSIRE LOUNGE CHAIR 1200
</t>
  </si>
  <si>
    <t>8 CREATED- Code: 20190814/XXX/001200/00000581/008</t>
  </si>
  <si>
    <t>20190814/XXX/001200/00000581/008</t>
  </si>
  <si>
    <t xml:space="preserve">1. Nicole Poldervaart(14-08-2019 11:22:18)
1X CONTAINER
1X SEALED SAMPLE
</t>
  </si>
  <si>
    <t>9 CREATED- Code: 20190814/XXX/001200/00000581/009</t>
  </si>
  <si>
    <t>20190814/XXX/001200/00000581/009</t>
  </si>
  <si>
    <t xml:space="preserve">1. Nicole Poldervaart(14-08-2019 11:22:18)
1X CONTAINER
</t>
  </si>
  <si>
    <t>12 CREATED- Code: 20190814/XXX/001200/00000581/012</t>
  </si>
  <si>
    <t>20190814/XXX/001200/00000581/012</t>
  </si>
  <si>
    <t xml:space="preserve">1. Nicole Poldervaart(14-08-2019 11:22:18)
2X CONTAINER
</t>
  </si>
  <si>
    <t>13 CREATED- Code: 20190814/XXX/001200/00000581/013</t>
  </si>
  <si>
    <t>20190814/XXX/001200/00000581/013</t>
  </si>
  <si>
    <t xml:space="preserve">2. Nicole Poldervaart(14-08-2019 15:22:38)
FINISHING MUST BE BETTER	
	A. NO WICKER ENDINGS VISIBLE (first picture)
	B. WICKER MUST BE MORE TIGHT (2nd picture)
	C. MAKE SURE SEATING PART IS COVERED WITH WICKER. ADD ONE MORE ROW. (picture 3)
	D. MAKE SURE CHAIRS ARE STRAIGHT, BECAUSE NOW CHAIR IS NOT EVEN (4rd picture)
	E. NO VISIBLE FRAMES ON TOP (5th picture)
NO NEED NEW SAMPLE
EXPLAIN HOW TO IMPROVE FOR MASS PRODUCTION
UPDATE PICTURES IN NEW SAMPLE REQUEST
AND CONFIRM
1. Nicole Poldervaart(14-08-2019 11:22:18)
2X CONTAINER
1X SEALED SAMPLE
</t>
  </si>
  <si>
    <t>10 CREATED- Code: 20190814/XXX/001200/00000581/010</t>
  </si>
  <si>
    <t>20190814/XXX/001200/00000581/010</t>
  </si>
  <si>
    <t xml:space="preserve">1. Nicole Poldervaart(14-08-2019 11:22:18)
2X CONTAINER
1X SEALED SAMPLE
</t>
  </si>
  <si>
    <t>11 CREATED- Code: 20190814/XXX/001200/00000581/011</t>
  </si>
  <si>
    <t>20190814/XXX/001200/00000581/011</t>
  </si>
  <si>
    <t xml:space="preserve">2. Nicole Poldervaart(14-08-2019 15:22:38)
MAKE SURE ALL VISIBLE FRAMEWORK IS COVERED WITH WICKER.
1. Nicole Poldervaart(14-08-2019 11:33:01)
2X CONTAINER
</t>
  </si>
  <si>
    <t>14 CREATED- Code: 20190814/XXX/001200/00000581/014</t>
  </si>
  <si>
    <t>20190814/XXX/001200/00000581/014</t>
  </si>
  <si>
    <t>SERVAL ANTHRACITE OLEFIN 370</t>
  </si>
  <si>
    <t xml:space="preserve">1. Nicole Poldervaart(14-08-2019 12:51:56)
8X CONTAINER
</t>
  </si>
  <si>
    <t>32 CREATED- Code: 20190814/XXX/001200/00000581/032</t>
  </si>
  <si>
    <t>20190814/XXX/001200/00000581/032</t>
  </si>
  <si>
    <t>31 CREATED- Code: 20190814/XXX/001200/00000581/031</t>
  </si>
  <si>
    <t>20190814/XXX/001200/00000581/031</t>
  </si>
  <si>
    <t>GREEN/ BLACK</t>
  </si>
  <si>
    <t xml:space="preserve">2. Nicole Poldervaart(14-08-2019 15:22:38)
REWORK SAMPLE
CLIENT WILL ORDER HUGE QUANTITIES, SO MUST BE REWORKED WITH GOOD QUALITY WEAVING
MAKE SURE CROSSWEAVING IS ON COMPLETE CHAIR
START WEAVING LIKE PICTURE 1, NOT AS PICTURE 2
1. Nicole Poldervaart(14-08-2019 13:35:31)
8X CONATINER
1X SEALED SAMPLE
</t>
  </si>
  <si>
    <t>33 CREATED- Code: 20190814/XXX/001200/00000581/033</t>
  </si>
  <si>
    <t>20190814/XXX/001200/00000581/033</t>
  </si>
  <si>
    <t xml:space="preserve">1. Nicole Poldervaart(14-08-2019 13:35:31)
8X CONTAINER
1X SEALED SAMPLE
</t>
  </si>
  <si>
    <t>34 CREATED- Code: 20190814/XXX/001200/00000581/034</t>
  </si>
  <si>
    <t>20190814/XXX/001200/00000581/034</t>
  </si>
  <si>
    <t xml:space="preserve">2. Nicole Poldervaart(14-08-2019 15:22:38)
REWORK SAMPLE
CLIENT WILL ORDER HUGE QUANTITIES, SO MUST BE REWORKED WITH GOOD QUALITY WEAVING
MAKE SURE CROSSWEAVING IS ON COMPLETE CHAIR
START WEAVING LIKE PICTURE 1, NOT AS PICTURE 2
1. Nicole Poldervaart(14-08-2019 13:35:31)
8X CONTAINER
1X SEALED SAMPLE
</t>
  </si>
  <si>
    <t>35 CREATED- Code: 20190814/XXX/001200/00000581/035</t>
  </si>
  <si>
    <t>20190814/XXX/001200/00000581/035</t>
  </si>
  <si>
    <t>9/19082019/a11b106b27ba46ac8fee67b7e1069ce1.jpg</t>
  </si>
  <si>
    <t>2019-09-02</t>
  </si>
  <si>
    <t>LENCO PROMO LOUNGE SET 4 PCS (1262)</t>
  </si>
  <si>
    <t xml:space="preserve">1. Vo Thi My Dieu(19-08-2019 07:42:45)
1. Pls make as seal sample.
2. Pls prepare some swatches as well and send to showroom: 
-  Wicker double round 10mm light bamboo: 2 swatches
- Alu tube with coating: 5pcs (20cm length)
- Fabric serval sand: 1m2
</t>
  </si>
  <si>
    <t>TESTING - SOK ORDER</t>
  </si>
  <si>
    <t>1 ISSUED- Code: 20190819/APO/000429/00000583/001</t>
  </si>
  <si>
    <t>20190819/APO/000429/00000583/001</t>
  </si>
  <si>
    <t>6/23082019/55668ac7ce784597a1782f8f63952f68.jpg</t>
  </si>
  <si>
    <t>TIN-06-VQN</t>
  </si>
  <si>
    <t>2019-08-26</t>
  </si>
  <si>
    <t>MANCHESTER LOUNGE CHAIR (909025)</t>
  </si>
  <si>
    <t xml:space="preserve">1. (23-08-2019 11:10:40)
PRODUCT DIMENSION: 75 X 73 X 80CM (H)
THIS SAMPLE SHOULD BE SAME AS PRODUCT OF 01668 CLIENT
</t>
  </si>
  <si>
    <t>SAMPLE (909536) FOR CUSTOMER SIGN OFF</t>
  </si>
  <si>
    <t>2 CREATED- Code: 20190823/ROS/000002/00000584/002</t>
  </si>
  <si>
    <t>20190823/ROS/000002/00000584/002</t>
  </si>
  <si>
    <t>3/10092019/0c66fa1240ec48d8b607441a259c1c72.jpg</t>
  </si>
  <si>
    <t>75/75/75/110</t>
  </si>
  <si>
    <t>73/73/73/42</t>
  </si>
  <si>
    <t>12/12/19.5/9.5</t>
  </si>
  <si>
    <t>14/14/24/11.5</t>
  </si>
  <si>
    <t>85/85/139.5/112</t>
  </si>
  <si>
    <t>76.5/76.5/76.5/63</t>
  </si>
  <si>
    <t>33/33/33/12.5</t>
  </si>
  <si>
    <t>2 FINISHED- Code: 20190822/JES/909536/00000584/002</t>
  </si>
  <si>
    <t>20190822/JES/909536/00000584/002</t>
  </si>
  <si>
    <t>3/22082019/9122549aee064cd9853818b26aa9eb10.jpg</t>
  </si>
  <si>
    <t>2019-09-03</t>
  </si>
  <si>
    <t>CUBA DINING TABLE (1263)</t>
  </si>
  <si>
    <t xml:space="preserve">1. Ngo Duy Hung(22-08-2019 11:31:50)
MAKE AS MASS PRODUCTION OF 1263
</t>
  </si>
  <si>
    <t>9/13092019/a863593c440340f5a1a1bfa18ee9024b.jpg</t>
  </si>
  <si>
    <t>MDM US SAMPLE FOR TEST</t>
  </si>
  <si>
    <t>3 FINISHED- Code: 20190822/APH/001263/00000585/003</t>
  </si>
  <si>
    <t>20190822/APH/001263/00000585/003</t>
  </si>
  <si>
    <t xml:space="preserve">1. Ngo Duy Hung(22-08-2019 11:19:41)
MAKE SAME AS MASS PRODUCTION 1263
</t>
  </si>
  <si>
    <t>b/27082019/0461a01c0a4044dbbd4e47487f2243ca.jpg</t>
  </si>
  <si>
    <t>1 FINISHED- Code: 20190822/DAN/001263/00000585/001</t>
  </si>
  <si>
    <t>20190822/DAN/001263/00000585/001</t>
  </si>
  <si>
    <t>a/21032018/5161bfe4c5ed44ecb23b9a68d9929545.jpg</t>
  </si>
  <si>
    <t>NAXOS LOUNGE CHAIR (1263)</t>
  </si>
  <si>
    <t>28MM</t>
  </si>
  <si>
    <t xml:space="preserve">1. Ngo Duy Hung(22-08-2019 11:31:50)
MAKE SAME AS MASS PRODUCTION 1263
</t>
  </si>
  <si>
    <t>2 ISSUED- Code: 20190822/ROS/001263/00000585/002</t>
  </si>
  <si>
    <t>20190822/ROS/001263/00000585/002</t>
  </si>
  <si>
    <t>6/28082018/cdab05f98ce243fe97e985360b870e08.jpg</t>
  </si>
  <si>
    <t>SAMOA LOUNGE MIDDLE PIECE (1263)</t>
  </si>
  <si>
    <t xml:space="preserve">1. Ngo Duy Hung(22-08-2019 11:40:53)
MAKE SAME AS MASS PRODUCTION 1263
</t>
  </si>
  <si>
    <t>5 ISSUED- Code: 20190822/ROS/001263/00000585/005</t>
  </si>
  <si>
    <t>20190822/ROS/001263/00000585/005</t>
  </si>
  <si>
    <t>l/28082018/5b4196b453ac48778b2685eced8a1868.jpeg</t>
  </si>
  <si>
    <t>SAMOA LOUNGE TABLE (1263)</t>
  </si>
  <si>
    <t xml:space="preserve">1. Ngo Duy Hung(22-08-2019 11:40:53)
MAKE AS MASS PRODUCTION OF 1263
</t>
  </si>
  <si>
    <t>4 ISSUED- Code: 20190822/ROS/001263/00000585/004</t>
  </si>
  <si>
    <t>20190822/ROS/001263/00000585/004</t>
  </si>
  <si>
    <t>2019-08-09</t>
  </si>
  <si>
    <t>DELHI LOUNGE CHAIR FIXED WITH PATTERN WEAVE</t>
  </si>
  <si>
    <t xml:space="preserve">1. Ngo Duy Hung(18-09-2019 10:36:13)
CHANGE TO LIGHT TEAK LOOK COLOR, CLIENT WANTS 2 PCS
</t>
  </si>
  <si>
    <t>0/06092019/86889e72ebf841179a3d8b8baf31ce70.jpg</t>
  </si>
  <si>
    <t>MITRE 10 NEW ZEALAND LTD</t>
  </si>
  <si>
    <t>1ST ROUND SAMPLE - DEADLINE ASAP</t>
  </si>
  <si>
    <t>5 CREATED- Code: 20190826/PAL/001519/00000586/005</t>
  </si>
  <si>
    <t>20190826/PAL/001519/00000586/005</t>
  </si>
  <si>
    <t>f/09082019/077d70c3b2b34e9d8458caa4e2c90fe9.jpg</t>
  </si>
  <si>
    <t>2019-09-09</t>
  </si>
  <si>
    <t>LOS ANGELES LOUNGE CORNER TABLE</t>
  </si>
  <si>
    <t xml:space="preserve">1. Ngo Duy Hung(18-09-2019 10:36:13)
CLIENT DROPPED THIS TABLE
</t>
  </si>
  <si>
    <t>6/13092019/c45170b48cdf4d31811b83935ea013a4.jpg</t>
  </si>
  <si>
    <t>7 FINISHED- Code: 20190826/APH/001519/00000586/007</t>
  </si>
  <si>
    <t>20190826/APH/001519/00000586/007</t>
  </si>
  <si>
    <t>a/10042019/688624502b634c21bf9610f65ebe6bb2.jpg</t>
  </si>
  <si>
    <t>MONZA SIDE TABLE SET (705)</t>
  </si>
  <si>
    <t>6/13092019/0c9623266c904b88bfbe8cbff63938f7.jpg</t>
  </si>
  <si>
    <t>6 FINISHED- Code: 20190826/TEC/001519/00000586/006</t>
  </si>
  <si>
    <t>20190826/TEC/001519/00000586/006</t>
  </si>
  <si>
    <t>NEW COVENTRY DINING CHAIR</t>
  </si>
  <si>
    <t>c/14092019/7a36c6da455e49a789d08cdfef4d0232.jpg</t>
  </si>
  <si>
    <t>4 FINISHED- Code: 20190826/BON/001519/00000586/004</t>
  </si>
  <si>
    <t>20190826/BON/001519/00000586/004</t>
  </si>
  <si>
    <t>2 BACK CUSHION FOR BENCH</t>
  </si>
  <si>
    <t xml:space="preserve">1. An Huyen Cao(20-09-2019 11:05:58)
ADD TEAK LEGS.
</t>
  </si>
  <si>
    <t>2/12092019/2fc02aa077524405b84d55bb59c9271c.jpg</t>
  </si>
  <si>
    <t>2 SAMPLE REJECTED- Code: 20190826/PAL/001519/00000586/002</t>
  </si>
  <si>
    <t>20190826/PAL/001519/00000586/002</t>
  </si>
  <si>
    <t>teak</t>
  </si>
  <si>
    <t>1 BACK CUSHION</t>
  </si>
  <si>
    <t xml:space="preserve">2. An Huyen Cao(20-09-2019 11:05:58)
ADD TEAK LEGS
1. Ngo Duy Hung(18-09-2019 10:36:13)
MAKE 1 MORE CHAIR, SO TOTAL 2 CHAIRS
</t>
  </si>
  <si>
    <t>d/12092019/711c23b17bba4a22a55ff847e1d477e2.jpg</t>
  </si>
  <si>
    <t>3 CREATED- Code: 20190826/PAL/001519/00000586/003</t>
  </si>
  <si>
    <t>20190826/PAL/001519/00000586/003</t>
  </si>
  <si>
    <t>b/12092019/6a501dccc1ab462aa38c928c145db2b8.jpg</t>
  </si>
  <si>
    <t>1 FINISHED- Code: 20190826/PAL/001519/00000586/001</t>
  </si>
  <si>
    <t>20190826/PAL/001519/00000586/001</t>
  </si>
  <si>
    <t>0/26082019/7cf2eab5aeaa43ec9a92fe53f5750e36.jpg</t>
  </si>
  <si>
    <t>MIXED RATTAN 909357</t>
  </si>
  <si>
    <t>MATTE BLACK</t>
  </si>
  <si>
    <t>CANVADA SOLID NATURAL/ ROYAL SAND</t>
  </si>
  <si>
    <t xml:space="preserve">1. (26-08-2019 13:10:26)
- Improve workmanship of weaving on the corner area.
- Make the weaving between arm and back leg is nicer.
- Rounded back cushion on top corner only.
- Back cushion should be nice, no wrinkle.
- Wicker as the last previous sample.
- Fabric: 1set Canvada, 1 set Royal sand (to seal!)
- Please find the attached recap for more information.
</t>
  </si>
  <si>
    <t>d/04092019/da756e7aa6504b8d896678b3f37de75f.jpg</t>
  </si>
  <si>
    <t>1 FINISHED- Code: 20190826/PAL/909357/00000587/001</t>
  </si>
  <si>
    <t>20190826/PAL/909357/00000587/001</t>
  </si>
  <si>
    <t>b/26082019/6f450257b1d44ec28142d7f12b3deffe.jpg</t>
  </si>
  <si>
    <t>TULUM CHAIR 909357</t>
  </si>
  <si>
    <t xml:space="preserve">1. (26-08-2019 13:14:16)
- Improve workmanship of weaving on the corner area.
- Make the weaving between arm and back leg is nicer.
- Rounded back cushion on top corner only.
- Back cushion should be nice, no wrinkle.
- Wicker as the last previous sample.
- Fabric: 1 set Canvada, 1 set Royal sand (to seal!)
- Please find the attached recap for more information.
</t>
  </si>
  <si>
    <t>d/04092019/5bef25b87f2f45ada3c97e2bd7b56d30.jpg</t>
  </si>
  <si>
    <t>2 FINISHED- Code: 20190826/PAL/909357/00000587/002</t>
  </si>
  <si>
    <t>20190826/PAL/909357/00000587/002</t>
  </si>
  <si>
    <t>6/26082019/2345b069640e4b11a421c50d86220621.jpg</t>
  </si>
  <si>
    <t>LARISSA LOUNGE SET 4 PCS</t>
  </si>
  <si>
    <t>ALUMINUM</t>
  </si>
  <si>
    <t>FSC TEAK GRADE A</t>
  </si>
  <si>
    <t>CAST SLATE SUNBRELLA</t>
  </si>
  <si>
    <t xml:space="preserve">2. (28-08-2019 14:51:04)
TDs as the attachment.
1. (26-08-2019 15:27:55)
- Back cushion &amp; seat cushion: Cast Slate Sunbrella (Diu will send to APO)
- 2 Toss pillow: Trusted Coast Sunbrella 17x17". (Diu will send fabric to APO).
- Follow dimensions as per attached file, check 2nd attachment for exact dimensions 
-Note 2nd attachment, detailed dimensions per item from slide 7 onwards
-Note angle in the seat (front of seat is higher compared to back of seat)
-Foam &amp; Fiber specs: minimum of 61/2”, 30kg density, ifd 35-40, deflection +90%
- 3 attachments to be checked carefully.
- TDs to be added later.
</t>
  </si>
  <si>
    <t>f/12092019/e1507a3c5712454592370d972146f854.jpg</t>
  </si>
  <si>
    <t>Shanghai</t>
  </si>
  <si>
    <t>1 FINISHED- Code: 20190826/APO/909539/00000588/001</t>
  </si>
  <si>
    <t>20190826/APO/909539/00000588/001</t>
  </si>
  <si>
    <t>5/28082019/e5d616de913b446ebd69e34b4d3d9c8a.jpg</t>
  </si>
  <si>
    <t>PARLA LOUNGE CHAIR 1075</t>
  </si>
  <si>
    <t xml:space="preserve">1. PEPIJN VAN DEN BRINK(28-08-2019 14:59:27)
Apart from making samples, please also share the updated quotation with similar packing method as for 1075.
</t>
  </si>
  <si>
    <t>5/06092019/740536b5030f4f3cb504b6cd350a0325.jpg</t>
  </si>
  <si>
    <t>3 FINISHED- Code: 20190828/PAL/909539/00000588/003</t>
  </si>
  <si>
    <t>20190828/PAL/909539/00000588/003</t>
  </si>
  <si>
    <t>9/27082019/df0be740cd4942c19ebf5270021d3cf9.jpg</t>
  </si>
  <si>
    <t xml:space="preserve">YORKSHIRE LOUNGE CORNER SET  4 PCS</t>
  </si>
  <si>
    <t>VPR#F3932S</t>
  </si>
  <si>
    <t>CAST TEAK SUNBRELLA</t>
  </si>
  <si>
    <t xml:space="preserve">2. (28-08-2019 14:51:04)
TD as the attachment
1. (26-08-2019 16:03:19)
- Back cushion &amp; seat cushion: Cast Slate Sunbrella. (Diu will send fabric to APO)
- 4 toss Pillows : Cultivate stone Sunbrella 17X17"(Diu will send fabric to APO)
- Follow dimensions as per attached file, check 1st attachment for exact dimensions 
- Note 3rd attachment, detailed dimensions per item from slide 5 onwards
- Foam &amp; Fiber specs: minimum of 61/2”, 30kg density, ifd 35-40, deflection +90%
- 3 attachments to be checked carefully.
- TDs to be added later.
</t>
  </si>
  <si>
    <t>e/12092019/62765dca8fc745db9a85ad526c1c7e24.jpg</t>
  </si>
  <si>
    <t>2 FINISHED- Code: 20190826/APO/909539/00000588/002</t>
  </si>
  <si>
    <t>20190826/APO/909539/00000588/002</t>
  </si>
  <si>
    <t>0/02112018/720f4f6ad6a1463ab959e18601737ba1.jpg</t>
  </si>
  <si>
    <t>2019-10-01</t>
  </si>
  <si>
    <t>ALBUFEIRA LOUNGE COFFEE TABLE (12053)</t>
  </si>
  <si>
    <t xml:space="preserve">1. (13-09-2019 09:19:11)
+ AS CURRENT PRODUCTION
+ SENDING PHOTOS FOR CLIENT REVIEW BEFORE SHIPPING OUT
</t>
  </si>
  <si>
    <t>7/14102019/f1fba2a4cd1e49b49c99e18b6604fa46.jpg</t>
  </si>
  <si>
    <t>2019-10-05</t>
  </si>
  <si>
    <t>57 FINISHED- Code: 20190913/PAL/0012053/00000589/057</t>
  </si>
  <si>
    <t>20190913/PAL/0012053/00000589/057</t>
  </si>
  <si>
    <t>2/02112018/c97108d82c264e3e9326163a598863fe.jpg</t>
  </si>
  <si>
    <t>ALBUFEIRA LOUNGE CORNER (12053)</t>
  </si>
  <si>
    <t xml:space="preserve">1. (13-09-2019 09:33:34)
+ CHANGING TO ROYAL ANTHRACITE FROM SS 19-20
+ SENDING PHOTOS FOR CLIENT REVIEW BEFORE SHIPPING OUT
</t>
  </si>
  <si>
    <t>5/11102019/6a2770493f03440a8bdadfa404065cb6.jpg</t>
  </si>
  <si>
    <t>61 FINISHED- Code: 20190913/PAL/0012053/00000589/061</t>
  </si>
  <si>
    <t>20190913/PAL/0012053/00000589/061</t>
  </si>
  <si>
    <t>7/17052019/4a78b86005834e7fa2b7d89a8b33654a.jpg</t>
  </si>
  <si>
    <t>ALBUFEIRA LOUNGE LEFT ARM (12053)</t>
  </si>
  <si>
    <t xml:space="preserve">1. (13-09-2019 09:26:47)
+ CHANGING FABRIC ROYAL ANTHRACITE FOR SS 19-20
+ SENDING SAMPLE PHOTOS FOR CLIENT REVIEWING BEFORE SHIPPING OUT
</t>
  </si>
  <si>
    <t>8/11102019/47af3cd496ca4a86b4e1bd54f9b34fcf.jpg</t>
  </si>
  <si>
    <t>58 FINISHED- Code: 20190913/PAL/0012053/00000589/058</t>
  </si>
  <si>
    <t>20190913/PAL/0012053/00000589/058</t>
  </si>
  <si>
    <t>5/02112018/cc2d53aeaabb45a99d0532120e63f040.jpg</t>
  </si>
  <si>
    <t>ALBUFEIRA LOUNGE MIDDLE ARM (12053)</t>
  </si>
  <si>
    <t xml:space="preserve">1. (13-09-2019 09:26:47)
+ CHANGING TO ROYAL ANTHRACITE FABRIC FROM SS 19-20
+ SENDING SAMPLE PHOTOS FOR CLIENT REVIEW BEFORE SHIPPING OUT
</t>
  </si>
  <si>
    <t>a/11102019/2f753b33286541c9b1fef983d9dfc2c9.jpg</t>
  </si>
  <si>
    <t>60 FINISHED- Code: 20190913/PAL/0012053/00000589/060</t>
  </si>
  <si>
    <t>20190913/PAL/0012053/00000589/060</t>
  </si>
  <si>
    <t>b/17052019/1eb876905fb64b2ab4f0a116e20f95b3.jpg</t>
  </si>
  <si>
    <t>ALBUFEIRA LOUNGE RIGHT ARM (12053)</t>
  </si>
  <si>
    <t xml:space="preserve">1. (13-09-2019 09:26:47)
+ CHANGING ROYAL ANTHRACITE FABRIC FROM SS 19-20
+ SENDING PHOTOS FOR CLIENT REVIEW BEFORE SHIPPING OUT SAMPLE
</t>
  </si>
  <si>
    <t>7/11102019/87150bf3ae9f48d084a29570bd7a0a3d.jpg</t>
  </si>
  <si>
    <t>59 FINISHED- Code: 20190913/PAL/0012053/00000589/059</t>
  </si>
  <si>
    <t>20190913/PAL/0012053/00000589/059</t>
  </si>
  <si>
    <t>2/27082019/ce8c3461c2c8490e8b9def9f2c5d6e03.jpg</t>
  </si>
  <si>
    <t xml:space="preserve">1. (22-09-2019 10:05:10)
+ IMPROVE CALLS-OUT AS CLIENT'S REQUESTS IN ATTACHED FILE. 
+ NICOLE &amp; TECHNICAL TEAM WILL CHECK SAMPLE ON 3-10-2019
+ 2PCS FOR SENDING CLIENT &amp; 1PC FOR RETAIN.
</t>
  </si>
  <si>
    <t>5/22102019/c48dd2fcf418457b84157ec7df38967b.jpg</t>
  </si>
  <si>
    <t>2 FINISHED- Code: 20190827/ROS/0012053/00000589/002</t>
  </si>
  <si>
    <t>20190827/ROS/0012053/00000589/002</t>
  </si>
  <si>
    <t>8/27082019/dbaccd1b03594c85a01ebbff95336fa7.jpg</t>
  </si>
  <si>
    <t>BARCELONA LEFT ARM 2S 12053</t>
  </si>
  <si>
    <t>12.7CM THICK WITH FLAT PIPING</t>
  </si>
  <si>
    <t>KNIFE EDGE SHAPE WITH FLAT PIPING W66 X H48.25CM</t>
  </si>
  <si>
    <t xml:space="preserve">1. (22-09-2019 10:39:29)
+ IMPROVE CALLS-OUT AS CLIENT'S REQUEST IN ATTACHED FILES.
+ NICOLE &amp; TECHNICAL TEAM WILL CHECK SAMPLES ON 3-10-2019 AT ROS.
+ 1PC FOR SENDING CLIENT &amp; 1PC FOR RETAIN.
</t>
  </si>
  <si>
    <t>6/22102019/7308898628fc4f468c4298e17e5c08c9.jpg</t>
  </si>
  <si>
    <t>5 FINISHED- Code: 20190827/ROS/0012053/00000589/005</t>
  </si>
  <si>
    <t>20190827/ROS/0012053/00000589/005</t>
  </si>
  <si>
    <t>8/27082019/b38cf5e288c2406aab6b496d03a3ddee.jpg</t>
  </si>
  <si>
    <t>BARCELONA LOUNGE CHAIR 12053 (ONE BACK CUSHION ONLY)</t>
  </si>
  <si>
    <t xml:space="preserve">1. (22-09-2019 10:15:41)
+ IMPROVE CALLS-OUT AS CLIENT'S REQUEST IN ATTACHED FILES.
+ 2PCS FOR SENDING CLIENT &amp; 1PC FOR RETAIN.
+ NICOLE &amp; TECHNICAL TEAM WILL CHECK SAMPLE ON 3-10-2019 AT ROS.
</t>
  </si>
  <si>
    <t>c/22102019/9b7620cad384413291534fe2ff67b0a5.jpg</t>
  </si>
  <si>
    <t>3 FINISHED- Code: 20190827/ROS/0012053/00000589/003</t>
  </si>
  <si>
    <t>20190827/ROS/0012053/00000589/003</t>
  </si>
  <si>
    <t>7/27082019/dcbe12fdf1bd4d1da888ffd5309821ed.jpg</t>
  </si>
  <si>
    <t xml:space="preserve">BARCELONA RIGHT ARM 3S  12053</t>
  </si>
  <si>
    <t xml:space="preserve">1. (22-09-2019 10:36:46)
+ IMPROVE CALLS-OUT AS CLIENT'S REQUEST IN ATTACHED FILES.
+ NICOLE &amp; TECHNICAL TEAM WILL CHECK SAMPLE ON 3-10-2019 AT ROS.
+ 1PC FOR SENDING CLIENT &amp; 1PC FOR RETAIN.
</t>
  </si>
  <si>
    <t>e/23102019/a10c40194ddd4c2394f05e85c0d99b59.jpg</t>
  </si>
  <si>
    <t>4 FINISHED- Code: 20190827/ROS/0012053/00000589/004</t>
  </si>
  <si>
    <t>20190827/ROS/0012053/00000589/004</t>
  </si>
  <si>
    <t>e/28082019/6a797d10cd3949a6bd87b9c0d3794383.jpg</t>
  </si>
  <si>
    <t>BATEA LOUNGE CHAIR 12053</t>
  </si>
  <si>
    <t xml:space="preserve">1. (22-09-2019 09:51:23)
+ AS PRODUCTION. SENDING CLIENT BOTH 2 CHAIRS.
+ NICOLE &amp; TECHNICAL TEAM WILL CHECK SAMPLE AT FACTORY  ON 3-10-2019.
</t>
  </si>
  <si>
    <t>d/22102019/19b567695bd8469393aff25408f3f483.jpg</t>
  </si>
  <si>
    <t>1 FINISHED- Code: 20190827/ROS/0012053/00000589/001</t>
  </si>
  <si>
    <t>20190827/ROS/0012053/00000589/001</t>
  </si>
  <si>
    <t>BATEA LOUNGE CHAIR 12053 (BLACK)</t>
  </si>
  <si>
    <t xml:space="preserve">1. (22-09-2019 09:51:24)
+ AS PRODUCTION. SENDING 2PCS TO CLIENT &amp; 1PC FOR RETAIN.
+ NICOLE &amp; TECHNICAL TEAM WILL CHECK SAMPLES ON 3-10-2019
</t>
  </si>
  <si>
    <t>c/22102019/ffd79d4f9a504ff3b9f2ce967229042f.jpg</t>
  </si>
  <si>
    <t>27 FINISHED- Code: 20190910/SON/0012053/00000589/027</t>
  </si>
  <si>
    <t>20190910/SON/0012053/00000589/027</t>
  </si>
  <si>
    <t>0/13092019/2dfa0695ae8d41fd8d3c06c05fdd68d0.jpg</t>
  </si>
  <si>
    <t xml:space="preserve">COPENHAGEN  ROUND DN TABLE W. POLYSTONE TOP 12053 DIA. 81 X H75.5CM</t>
  </si>
  <si>
    <t xml:space="preserve">1. (10-09-2019 09:48:07)
+ AS CURRENT PRODUCTION
+ SAMPLE FOR CLIENT PHOTO SHOOTING, SENDING PHOTOS BEFORE SHIPPING OUT SAMPLE
</t>
  </si>
  <si>
    <t>e/24102019/3eda60170f3f41aba74617077fb6dd16.jpg</t>
  </si>
  <si>
    <t>30 FINISHED- Code: 20190910/APH/0012053/00000589/030</t>
  </si>
  <si>
    <t>20190910/APH/0012053/00000589/030</t>
  </si>
  <si>
    <t>0/13092019/0a2a4bf9dfda4005b028033068629bca.jpg</t>
  </si>
  <si>
    <t>COPENHAGEN RECT. DN TABLE W. POLYSTONE TOP 12053 L200 X W100 X H75.5CM</t>
  </si>
  <si>
    <t xml:space="preserve">1. (13-09-2019 11:22:23)
+ SAMPLE AS CURRENT PRODUCTION
+ SENDING PHOTOS BEFORE SHIPPING OUT SAMPLE
</t>
  </si>
  <si>
    <t>9/24102019/203ac0d5e1f945d6820770f68b3e2b2a.jpg</t>
  </si>
  <si>
    <t>29 FINISHED- Code: 20190910/APH/0012053/00000589/029</t>
  </si>
  <si>
    <t>20190910/APH/0012053/00000589/029</t>
  </si>
  <si>
    <t>9/13092019/307a97905c5c4e6f81d97aa9356a80aa.jpg</t>
  </si>
  <si>
    <t>COPENHAGEN RECT. DN TABLE W. POLYSTONE TOP 12053 L240 X W100 X H75.5CM</t>
  </si>
  <si>
    <t xml:space="preserve">1. (10-09-2019 09:42:30)
+ CLIENT REQUEST FOR PHOTO SHOOTING, SEND PHOTOS BEFORE SENDING SAMPLE
+ SAMPLE AS CURRENT SEASON
</t>
  </si>
  <si>
    <t>9/24102019/fab2f5413ce34b6aa45948864c9318a6.jpg</t>
  </si>
  <si>
    <t>28 FINISHED- Code: 20190910/APH/0012053/00000589/028</t>
  </si>
  <si>
    <t>20190910/APH/0012053/00000589/028</t>
  </si>
  <si>
    <t>5/28082019/6219ddb1a85c4310bfbb8247b93aaadf.jpg</t>
  </si>
  <si>
    <t>DANAO LOUNGE CHAIR 12053 (BLACK)</t>
  </si>
  <si>
    <t>W63.5 X H45.75CM KNIFE EDGE</t>
  </si>
  <si>
    <t xml:space="preserve">1. (22-09-2019 17:18:52)
+ ADDING BACK CUSHION W63.5 X H45.75CM, KNIFE EDGE SHAPE (REF. PICTURE ATTACHED).
+ NICOLE &amp; TECHNICAL TEAM WILL REVIEW SAMPLE ON 7-10-2019 AT PAL 1
+ 3PCS FOR SENDING CLIENT &amp; 1PC FOR RETAIN.
</t>
  </si>
  <si>
    <t>4/14102019/7e346952542d4b5f92a3384c5a5e3266.jpg</t>
  </si>
  <si>
    <t>12 FINISHED- Code: 20190828/PAL/0012053/00000589/012</t>
  </si>
  <si>
    <t>20190828/PAL/0012053/00000589/012</t>
  </si>
  <si>
    <t>d/28082019/45141b83c4964249ba9400760b84191b.jpg</t>
  </si>
  <si>
    <t>DANAO LOUNGE CHAIR 12053 (GREY)</t>
  </si>
  <si>
    <t>17-5102 TPG</t>
  </si>
  <si>
    <t>PR201</t>
  </si>
  <si>
    <t xml:space="preserve">1. (22-09-2019 17:18:52)
+ ADDING BACK CUSHION W63.5 X H45.75CM, KNIFE EDGE SHAPE (REF. PICTURE ATTACHED).
+ NICOLE &amp; TECHNICAL TEAM WILL REVIEW SAMPLE ON 7-10-2019 AT PAL 1
+ 2PCS FOR SENDING CLIENT &amp; 1PC FOR RETAIN.
</t>
  </si>
  <si>
    <t>a/14102019/261b843e1ea540dea6ffc7bae31c99c3.jpg</t>
  </si>
  <si>
    <t>13 FINISHED- Code: 20190828/PAL/0012053/00000589/013</t>
  </si>
  <si>
    <t>20190828/PAL/0012053/00000589/013</t>
  </si>
  <si>
    <t>f/28082019/f30b46b82e16488ab118c59b6e6e7534.jpg</t>
  </si>
  <si>
    <t>DANAO LOUNGE CHAIR 12053 (NAVY)</t>
  </si>
  <si>
    <t>e/14102019/d02f8455df964bca8bb4df5cfc15f889.jpg</t>
  </si>
  <si>
    <t>14 FINISHED- Code: 20190828/PAI/0012053/00000589/014</t>
  </si>
  <si>
    <t>20190828/PAI/0012053/00000589/014</t>
  </si>
  <si>
    <t>7/28082019/ac8834eb227b4f54b6d7ffc509a38a03.jpg</t>
  </si>
  <si>
    <t>NEW BLACK FINISH, INFORM LATER</t>
  </si>
  <si>
    <t>18CM THICK</t>
  </si>
  <si>
    <t xml:space="preserve">1. (22-09-2019 11:11:21)
+ IMPROVE CALLS-OUT AS CLIENT'S REQUEST IN ATTACHED FILE. 
+ NICOLE &amp; TECHNICAL TEAM WILL CHECK SAMPLE ON 3-10-2019 AT ROS
+ 1PC FOR SENDING CLIENT &amp; 1PC FOR RETAIN.
</t>
  </si>
  <si>
    <t>a/22102019/80824ccb6bb94bf78f5b421b623654c9.jpg</t>
  </si>
  <si>
    <t>7 FINISHED- Code: 20190828/ROS/0012053/00000589/007</t>
  </si>
  <si>
    <t>20190828/ROS/0012053/00000589/007</t>
  </si>
  <si>
    <t>c/28082019/af2a17cc728845b1a20b7f329d3320a9.jpg</t>
  </si>
  <si>
    <t>BLACK STAIN</t>
  </si>
  <si>
    <t xml:space="preserve">1. (22-09-2019 11:11:21)
+ IMPROVE CALLS-OUT AS CLIENT'S REQUEST IN ATTACHED FILE.
+ NICOLE &amp; TECHNICAL TEAM WILL CHECK SAMPLE ON 3-10-2019 AT ROS.
+ 2PCS FOR SENDING, 1PC FOR RETAIN.
</t>
  </si>
  <si>
    <t>b/22102019/a088cb235b1c46e8b8b2ab429db868c0.jpg</t>
  </si>
  <si>
    <t>6 FINISHED- Code: 20190827/ROS/0012053/00000589/006</t>
  </si>
  <si>
    <t>20190827/ROS/0012053/00000589/006</t>
  </si>
  <si>
    <t>c/07112018/9dc3d3f75ab74399973d139f3ac64c60.jpg</t>
  </si>
  <si>
    <t>FURNITURE COVER MIRA LOUNGE CORNER LEFT ARM (12053)</t>
  </si>
  <si>
    <t>SOLID BLACK UV TREATMENT</t>
  </si>
  <si>
    <t xml:space="preserve">1. (13-09-2019 09:46:42)
+ AS CURRENT PRODUCTION
+ SENDING PHOTOS FOR CLIENT APPROVAL BEFORE SHIPPING OUT
</t>
  </si>
  <si>
    <t>8/12102019/9f6161d84a9c4978a55c1a54bf348bbc.jpg</t>
  </si>
  <si>
    <t>63 FINISHED- Code: 20190913/PAL/0012053/00000589/063</t>
  </si>
  <si>
    <t>20190913/PAL/0012053/00000589/063</t>
  </si>
  <si>
    <t>d/07112018/5d76c00f74444ffbaa4dd13b0471c0cf.jpg</t>
  </si>
  <si>
    <t>FURNITURE COVER MIRA LOUNGE CORNER RIGHT ARM (12053)</t>
  </si>
  <si>
    <t xml:space="preserve">1. (13-09-2019 09:46:42)
+ AS CURRENT PRODUCTION
+ SENDING PHOTOS FOR CLIENT REVIEW BEFORE SHIPPING OUT
</t>
  </si>
  <si>
    <t>2/12102019/113f45efecfd4705a5fd47730bf0b47e.jpg</t>
  </si>
  <si>
    <t>64 FINISHED- Code: 20190913/PAL/0012053/00000589/064</t>
  </si>
  <si>
    <t>20190913/PAL/0012053/00000589/064</t>
  </si>
  <si>
    <t>5/07112018/aeb82d04558e426f843e6f35af9344c7.jpg</t>
  </si>
  <si>
    <t>FURNITURE COVER MIRA LOUNGE SOFA 3S</t>
  </si>
  <si>
    <t xml:space="preserve">1. (13-09-2019 09:33:34)
+ AS CURRENT PRODUCTION
+ SENDING PHOTOS FOR CLIENT REVIEW BEFORE SHIPPING OUT
</t>
  </si>
  <si>
    <t>2/12102019/2157fc9a8d2e4488a85204f88b7ff6d2.jpg</t>
  </si>
  <si>
    <t>62 FINISHED- Code: 20190913/PAL/0012053/00000589/062</t>
  </si>
  <si>
    <t>20190913/PAL/0012053/00000589/062</t>
  </si>
  <si>
    <t>4/28082019/2f4c8a51f79c4feca7ea98619ab80e9f.jpg</t>
  </si>
  <si>
    <t>KENT COFFEE TABLE 12053 DIA. 90 X H30CM BLACK STAIN FINISH</t>
  </si>
  <si>
    <t xml:space="preserve">1. (22-09-2019 11:17:21)
+ IMPROVE CALLS-OUT AS CLIENT'S REQUEST IN ATTACHED FILE.
+ NICOLE &amp; TECHNICAL TEAM WILL CHECK SAMPLE ON 3-10-2019 AT ROS.
+ 1PC FOR SENDING CLIENT &amp; 1PC FOR RETAIN.
</t>
  </si>
  <si>
    <t>c/23102019/1cc1a873fdd749618d83bf9841574b47.jpg</t>
  </si>
  <si>
    <t>8 FINISHED- Code: 20190828/ROS/0012053/00000589/008</t>
  </si>
  <si>
    <t>20190828/ROS/0012053/00000589/008</t>
  </si>
  <si>
    <t>1/28082019/e082ef21bc1843d28d291d88b14fefb2.jpg</t>
  </si>
  <si>
    <t>KENT COFFEE TABLE DIA. 90XH30 CM 12053 (LIGHT TEAK LOOK, NO WHITE GLAZE)</t>
  </si>
  <si>
    <t xml:space="preserve">1. (22-09-2019 11:17:21)
+ IMPROVE CALLS-OUT AS CLIENT'S REQUEST IN ATTACHED FILE.
+ NICOLE &amp; TECHNICAL TEAM WILL CHECK SAMPLES ON 3-10-2019 AT ROS.
+ 1PC FOR SENDING CLIENT &amp; 1PC FOR RETAIN.
+ REMOVE WHITE GLAZE ON THE LIGHT TEAK LOOK FINISH.
</t>
  </si>
  <si>
    <t>4/23102019/36bf8bb40dda4319a670c3f6a35bbca3.jpg</t>
  </si>
  <si>
    <t>9 FINISHED- Code: 20190828/ROS/0012053/00000589/009</t>
  </si>
  <si>
    <t>20190828/ROS/0012053/00000589/009</t>
  </si>
  <si>
    <t>2/28082019/85465df42f704157b65b5791ddb4babc.jpg</t>
  </si>
  <si>
    <t>LAGOS DN CHAIR 12053 (BLACK)</t>
  </si>
  <si>
    <t xml:space="preserve">1. (22-09-2019 18:08:45)
+ IMPROVE CALLS-OUT AS CLIENT'S REQUEST IN ATTACHED FILE. 
+ NICOLE &amp; TECHNICAL TEAM WILL REVIEW SAMPLES AT APO ON 3-10-2019.
+ 6PCS FOR SENDING &amp; 1PC FOR RETAIN.
</t>
  </si>
  <si>
    <t>d/22102019/fc910e0d45db499faa2e86367fd9ed55.jpg</t>
  </si>
  <si>
    <t>23 FINISHED- Code: 20190828/APO/0012053/00000589/023</t>
  </si>
  <si>
    <t>20190828/APO/0012053/00000589/023</t>
  </si>
  <si>
    <t>0/28082019/42245aa5d0a04bf78d7b8403d343a9e7.jpg</t>
  </si>
  <si>
    <t>LAGOS DN CHAIR 12053 (LIGHT BAMBOO)</t>
  </si>
  <si>
    <t>0/22102019/d0f04906f4114ea8aeafd5e0e93e2dc6.jpg</t>
  </si>
  <si>
    <t>22 FINISHED- Code: 20190828/APO/0012053/00000589/022</t>
  </si>
  <si>
    <t>20190828/APO/0012053/00000589/022</t>
  </si>
  <si>
    <t>4/28082019/ce8f4721bacd4ff9959490c72a8cd49b.jpg</t>
  </si>
  <si>
    <t>LANGON LOUNGE BENCH 12053 (LIGHT TEAK LOOK)</t>
  </si>
  <si>
    <t>THICKNESS SAME AS MIAMI, NO PIPING</t>
  </si>
  <si>
    <t xml:space="preserve">1. (22-09-2019 17:41:20)
+ IMPROVE CALLS-OUT AS CLIENT'S REQUEST IN ATTACHED FILE. 
+ NICOLE &amp; TECHNICIAN TEAM WILL REVIEW SAMPLE ON 7-10-2019 AT PAL 1.
+ 2PCS FOR SENDING TO CLIENT &amp; 1PC FOR RETAIN.
</t>
  </si>
  <si>
    <t>c/27102019/a09daa48bf0e49f78daeb22b2a6cca36.jpg</t>
  </si>
  <si>
    <t>17 FINISHED- Code: 20190828/PAL/0012053/00000589/017</t>
  </si>
  <si>
    <t>20190828/PAL/0012053/00000589/017</t>
  </si>
  <si>
    <t>6/28082019/abe68bbae09640f89e17a0616e3e1ca2.jpg</t>
  </si>
  <si>
    <t>LANGON LOUNGE BENCH 12053 (MYSTIC BROWN)</t>
  </si>
  <si>
    <t>LIGHT MYSTIC BROWN</t>
  </si>
  <si>
    <t>THICKNESS SAME AS MIAMI NO PIPING</t>
  </si>
  <si>
    <t xml:space="preserve">1. (22-09-2019 17:41:20)
+ IMPROVE CALLS-OUT AS CLIENT'S REQEST IN ATTACHED FILE.
+ NICOLE &amp; TECHNICIAN WILL REVIEW SAMPLE ON 7-10-2019 AT PAL 1.
+ 2PCS FOR SENDING CLIENT &amp; 1PC FOR RETAIN.
</t>
  </si>
  <si>
    <t>6/27102019/8940bf2cd53e4d398c429cf717e7f76b.jpg</t>
  </si>
  <si>
    <t>18 FINISHED- Code: 20190828/PAL/0012053/00000589/018</t>
  </si>
  <si>
    <t>20190828/PAL/0012053/00000589/018</t>
  </si>
  <si>
    <t>8/13092019/eb44e0958f304fcab83b03e67d87e23a.jpg</t>
  </si>
  <si>
    <t>LEEDS CHAISE LOUNGE LEFT ARM (ANTHRACITE)</t>
  </si>
  <si>
    <t xml:space="preserve">1. (13-09-2019 11:17:59)
+ AS CURRENT PRODUCTION
+ SENDING SAMPLE PHOTOS FOR CLIENT REVIEW BEFORE SHIPPING OUT
</t>
  </si>
  <si>
    <t>7/23102019/b210156347ad469ab822c9949b2a2266.jpg</t>
  </si>
  <si>
    <t>80 FINISHED- Code: 20190913/ROS/0012053/00000589/080</t>
  </si>
  <si>
    <t>20190913/ROS/0012053/00000589/080</t>
  </si>
  <si>
    <t>3/13092019/c9d5ec3d38c74869954999a9f8ef4852.jpg</t>
  </si>
  <si>
    <t>LEEDS CHAISE LOUNGE LEFT ARM (LIGHT GREY)</t>
  </si>
  <si>
    <t xml:space="preserve">1. (13-09-2019 10:39:08)
+ AS CURRENT PRODUCTION
+ SENDING SAMPLE PHOTOS BEFORE SHIPPING OUT
</t>
  </si>
  <si>
    <t>3/22102019/b5a9359859784182b35c83d9ac6184b7.jpg</t>
  </si>
  <si>
    <t>71 FINISHED- Code: 20190913/ROS/0012053/00000589/071</t>
  </si>
  <si>
    <t>20190913/ROS/0012053/00000589/071</t>
  </si>
  <si>
    <t>c/13092019/eccba41edc474294b11361ff86d1acf2.jpg</t>
  </si>
  <si>
    <t>LEEDS CHAISE LOUNGE RIGHT ARM (ANTHRACITE)</t>
  </si>
  <si>
    <t xml:space="preserve">1. (13-09-2019 11:17:59)
+ AS CURRENT PRODUCTION
+ SENDING SAMPLE PHOTOS BEFORE SHIPPING OUT
</t>
  </si>
  <si>
    <t>8/23102019/627f3c3d9b8846229d923271451ebde0.jpg</t>
  </si>
  <si>
    <t>81 FINISHED- Code: 20190913/ROS/0012053/00000589/081</t>
  </si>
  <si>
    <t>20190913/ROS/0012053/00000589/081</t>
  </si>
  <si>
    <t>8/13092019/c9afc73b2a8d454f88d68f2af1efbf26.jpg</t>
  </si>
  <si>
    <t>LEEDS CHAISE LOUNGE RIGHT ARM (LIGHT GREY)</t>
  </si>
  <si>
    <t xml:space="preserve">1. (13-09-2019 10:39:08)
+ AS CURRENT PRODUCTION
+ SENDING PHOTOS FOR CLIENT REVIEW BEFORE SENDING OUT
</t>
  </si>
  <si>
    <t>9/22102019/647e7a91c4e540be85fa6792172f4f5c.jpg</t>
  </si>
  <si>
    <t>72 FINISHED- Code: 20190913/ROS/0012053/00000589/072</t>
  </si>
  <si>
    <t>20190913/ROS/0012053/00000589/072</t>
  </si>
  <si>
    <t>0/13092019/00adc8ad6caa409d942d272b0a313689.jpg</t>
  </si>
  <si>
    <t>LEEDS CHAISE LOUNGE TABLE 90X90X27CM</t>
  </si>
  <si>
    <t xml:space="preserve">1. (13-09-2019 10:39:08)
+ AS CURRENT PRODUCTION
+ SENDING PHOTOS BEFORE SHIPPING OUT
</t>
  </si>
  <si>
    <t>b/23102019/92a17def096d4bab80dd1132e9c5d9a8.jpg</t>
  </si>
  <si>
    <t>73 FINISHED- Code: 20190913/ROS/0012053/00000589/073</t>
  </si>
  <si>
    <t>20190913/ROS/0012053/00000589/073</t>
  </si>
  <si>
    <t>3/13092019/cd14aafc2cc343c780df76e40f984382.jpg</t>
  </si>
  <si>
    <t>LEEDS LOUNGE BENCH 3-SEATER 12053 L90XW225XH66M (ANTHRACITE)</t>
  </si>
  <si>
    <t xml:space="preserve">1. (12-09-2019 19:14:35)
+ AS CURRENT PRODUCTION
+ SENDING PHOTOS BEFORE SHIPPING OUT SAMPLE
</t>
  </si>
  <si>
    <t>c/22102019/c9d849b14b8443d296bf6f68de4fd4a1.jpg</t>
  </si>
  <si>
    <t>51 FINISHED- Code: 20190912/ROS/0012053/00000589/051</t>
  </si>
  <si>
    <t>20190912/ROS/0012053/00000589/051</t>
  </si>
  <si>
    <t>4/13092019/fe6bfb99eabc43448191c64f304caceb.jpg</t>
  </si>
  <si>
    <t>LEEDS LOUNGE BENCH 3-SEATER 12053 L90XW225XH66M (GREY)</t>
  </si>
  <si>
    <t xml:space="preserve">1. (12-09-2019 19:09:53)
+ AS CURRENT PRODUCTION ITEM
+ REQUEST SENDING PHOTOS BEFORE SHIPPING SAMPLE OUT
</t>
  </si>
  <si>
    <t>7/22102019/047a2c047a74411ead47194ecdb862d8.jpg</t>
  </si>
  <si>
    <t>49 FINISHED- Code: 20190912/ROS/0012053/00000589/049</t>
  </si>
  <si>
    <t>20190912/ROS/0012053/00000589/049</t>
  </si>
  <si>
    <t>7/13092019/38ff3c956a354c2d9fccde2ba5cc73d8.jpg</t>
  </si>
  <si>
    <t xml:space="preserve">LEEDS MIDDLE CHAIR 12053 L90XW90XH66CM  (GREY)</t>
  </si>
  <si>
    <t xml:space="preserve">1. (12-09-2019 19:09:53)
+ AS CURRENT PRODUCTION
+ SENDING SAMPLE PHOTOS FOR CLIENT REVIEW BEFORE SHIPPING OUT
</t>
  </si>
  <si>
    <t>7/22102019/ca21d5d647374679b1223a1999219556.jpg</t>
  </si>
  <si>
    <t>47 FINISHED- Code: 20190912/ROS/0012053/00000589/047</t>
  </si>
  <si>
    <t>20190912/ROS/0012053/00000589/047</t>
  </si>
  <si>
    <t>4/13092019/7f298279805d426db6a07d33cb470efe.jpg</t>
  </si>
  <si>
    <t>LEEDS MIDDLE CHAIR 12053 L90XW90XH66CM (ANTHRACITE)</t>
  </si>
  <si>
    <t xml:space="preserve">1. (12-09-2019 19:09:53)
+ AS CURRENT PRODUCTION ITEM
+ REQUEST SENDING SAMPLE PHOTOS FOR CLIENT REVIEW BEFORE SHIPPING OUT
</t>
  </si>
  <si>
    <t>e/22102019/0ef4bf2b9cc443eda4b729f16b3dc5df.jpg</t>
  </si>
  <si>
    <t>48 FINISHED- Code: 20190912/ROS/0012053/00000589/048</t>
  </si>
  <si>
    <t>20190912/ROS/0012053/00000589/048</t>
  </si>
  <si>
    <t>5/28082019/b0429257c1834bff81714096283a5899.jpg</t>
  </si>
  <si>
    <t>LENCO LOUNGE BENCH 12053</t>
  </si>
  <si>
    <t xml:space="preserve">1. (22-09-2019 18:17:30)
+ IMPROVE CALLS-OUT AS CLIENT'S REQUEST IN ATTACHED FILE. 
+ NICOLE &amp; TECHNICAL TEAM WILL CHECK SAMPLES ?N 3-10-2019 AT APO.
+ MAKE ONE COMPLETE BENCH FOR SEAL AGAIN &amp; 1 EXTRA CUSHION SET FOR SENDING CLIENT.
</t>
  </si>
  <si>
    <t>7/22102019/69a42f15c6e140ceba5413de95a8ee7d.jpg</t>
  </si>
  <si>
    <t>25 FINISHED- Code: 20190828/APO/0012053/00000589/025</t>
  </si>
  <si>
    <t>20190828/APO/0012053/00000589/025</t>
  </si>
  <si>
    <t>c/28082019/ac97e5f447f84fca82b226ab631b2efb.jpg</t>
  </si>
  <si>
    <t>LENCO LOUNGE CHAIR 12053</t>
  </si>
  <si>
    <t xml:space="preserve">1. (22-09-2019 18:17:30)
+ IMPROVE CALLS-OUT AS CLIENT'S REQUEST IN ATTACHED FILE. 
+ NICOLE &amp; TECHNICAL TEAM WILL CHECK SAMPLES ?N 3-10-2019 AT APO.
+ MAKE ONE COMPLETE CHAIR FOR SEAL AGAIN &amp; 1 EXTRA CUSHION SET FOR SENDING CLIENT.
</t>
  </si>
  <si>
    <t>1/22102019/41fa7500a4934484bbc374fc6855f141.jpg</t>
  </si>
  <si>
    <t>24 FINISHED- Code: 20190828/APO/0012053/00000589/024</t>
  </si>
  <si>
    <t>20190828/APO/0012053/00000589/024</t>
  </si>
  <si>
    <t>LOS ANGELES CORNER SECTIONAL 12053 (LEFT ARM &amp; RIGHT ARM)</t>
  </si>
  <si>
    <t xml:space="preserve">1. (22-09-2019 18:02:30)
+ IMPROVE CALLS-OUT AS CLIENT'S REQUEST IN ATTACHED FILES.
+ SAMPLE FOR RETAIN, NICOLE &amp; TECHNICAL TEAM WILL REVIEW SAMPLES ON 7-10-2019 AT PAL 1.
</t>
  </si>
  <si>
    <t>5/14102019/ab489d1eb39c47a0b353e08b989ba4ea.jpg</t>
  </si>
  <si>
    <t>81 FINISHED- Code: 20190922/PAL/0012053/00000589/081</t>
  </si>
  <si>
    <t>20190922/PAL/0012053/00000589/081</t>
  </si>
  <si>
    <t>3/28082019/8d4d3d32a3e04c21830fa9412a935f86.jpg</t>
  </si>
  <si>
    <t>LOS ANGELES LOUNGE CORNER TABLE 12053 L82.5 X W82.5 X H22CM</t>
  </si>
  <si>
    <t xml:space="preserve">1. (22-09-2019 17:51:58)
+ IMPROVE CALLS-OUT AS CLIENT'S REQUEST IN ATTACHED FILE. 
+ NICOLE &amp; TECHNICAL TEAM WILL REVIEW SAMPLE ON 7-10-2019 AT PAL 1.
+ 1PC FOR SENDING &amp; 1PC FOR RETAIN.
</t>
  </si>
  <si>
    <t>b/14102019/3dce4f5248ae41a7a2fd4cd680a24e20.jpg</t>
  </si>
  <si>
    <t>19 FINISHED- Code: 20190828/PAL/0012053/00000589/019</t>
  </si>
  <si>
    <t>20190828/PAL/0012053/00000589/019</t>
  </si>
  <si>
    <t>1/28082019/286fda6af81c4066ae19bed90cf3acfa.jpg</t>
  </si>
  <si>
    <t>MELFORT COFFEE TABLE DIA. 80XH40 CM 12053</t>
  </si>
  <si>
    <t>LIGHT TEAK LOOK NO WHITE GLAZE</t>
  </si>
  <si>
    <t xml:space="preserve">1. (22-09-2019 11:24:45)
+ IMPROVE CALLS-OUT AS CLIENT'S REQUEST IN ATTACHED FILE. 
+ REMOVE WHITE GLAZE ON THE LIGHT TEAK LOOK FINISH.
+ NICOLE &amp; TECHNICAL TEAM WILL CHECK SAMPLE ON 3-10-2019 AT ROS.
+ 2PCS FOR SENDING CLIENT &amp; 1PC FOR RETAIN.
</t>
  </si>
  <si>
    <t>5/22102019/0072cb5baf0745f5a921a3bed3c169a6.jpg</t>
  </si>
  <si>
    <t>10 FINISHED- Code: 20190828/ROS/0012053/00000589/010</t>
  </si>
  <si>
    <t>20190828/ROS/0012053/00000589/010</t>
  </si>
  <si>
    <t>e/28082019/72995fee87c145c2bfa11860ef8b107f.jpg</t>
  </si>
  <si>
    <t>MELFORT SIDE TABLE DIA. 50XH50 CM 12053</t>
  </si>
  <si>
    <t>d/22102019/854bd3c34f2945a7b454397058e9d645.jpg</t>
  </si>
  <si>
    <t>11 FINISHED- Code: 20190828/ROS/0012053/00000589/011</t>
  </si>
  <si>
    <t>20190828/ROS/0012053/00000589/011</t>
  </si>
  <si>
    <t>b/13092019/990183c8cfe0492e9651d5431addb751.jpg</t>
  </si>
  <si>
    <t>MIRA COFFEE CHAIR (ALU LIGHT GREY)</t>
  </si>
  <si>
    <t xml:space="preserve">1. (13-09-2019 10:31:00)
+ AS CURRENT PRODUCTION
+ SENDING PHOTOS FOR CLIENT REVIEW BEFORE SHIPPING OUT
</t>
  </si>
  <si>
    <t>6/14102019/059111c7433c49d79da19a80a35938fb.jpg</t>
  </si>
  <si>
    <t>70 FINISHED- Code: 20190913/PAL/0012053/00000589/070</t>
  </si>
  <si>
    <t>20190913/PAL/0012053/00000589/070</t>
  </si>
  <si>
    <t>9/13092019/972864e9080844dd89926a00b0314559.jpg</t>
  </si>
  <si>
    <t>MIRA COFFEE CHAIR (ANTHRACITE)</t>
  </si>
  <si>
    <t xml:space="preserve">1. (13-09-2019 11:13:14)
+ AS CURRENT PRODUCTION
+ SENDING PHOTOS FOR CLIENT REVIEW BEFORE SENDING SAMPLE OUT
</t>
  </si>
  <si>
    <t>d/14102019/516f4fe9493d41d6a0be375157bc45b7.jpg</t>
  </si>
  <si>
    <t>79 FINISHED- Code: 20190913/PAL/0012053/00000589/079</t>
  </si>
  <si>
    <t>20190913/PAL/0012053/00000589/079</t>
  </si>
  <si>
    <t>2/13092019/a66d6c52d9f44918bba696c6bec41b17.jpg</t>
  </si>
  <si>
    <t>MIRA LOUNGE 3-SEATER BENCH 86X182X73CM (ANTHRACITE)</t>
  </si>
  <si>
    <t xml:space="preserve">1. (13-09-2019 11:04:45)
+ AS CURRENT PRODUCTION
+ SENDING PHOTOS BEFORE SENDING OUT
</t>
  </si>
  <si>
    <t>0/14102019/c9a391cbeaa6442ca08314a82383373e.jpg</t>
  </si>
  <si>
    <t>77 FINISHED- Code: 20190913/PAL/0012053/00000589/077</t>
  </si>
  <si>
    <t>20190913/PAL/0012053/00000589/077</t>
  </si>
  <si>
    <t>5/13092019/20656119f4a247329d709ad86b5ea5e0.jpg</t>
  </si>
  <si>
    <t>MIRA LOUNGE 3-SEATER BENCH 86X182X73CM (LIGHT GREY)</t>
  </si>
  <si>
    <t xml:space="preserve">1. (13-09-2019 09:59:27)
+ AS CURRENT PRODUCTION FOR 12053
+ SENDING PHOTOS FOR CLIENT APPROVAL BEFORE SHIPPING OUT
</t>
  </si>
  <si>
    <t>1/14102019/f9d3eb508bdd4c1786bd95bff84fc261.jpg</t>
  </si>
  <si>
    <t>68 FINISHED- Code: 20190913/PAI/0012053/00000589/068</t>
  </si>
  <si>
    <t>20190913/PAI/0012053/00000589/068</t>
  </si>
  <si>
    <t>c/13092019/6b71e5b2d322428f9fdeb4dacd6173be.jpg</t>
  </si>
  <si>
    <t>MIRA LOUNGE CHAIR (ANTHRACITE)</t>
  </si>
  <si>
    <t xml:space="preserve">1. (13-09-2019 11:13:14)
+ AS CURRENT PRODUCTION
+ SENDING PHOTOS BEFORE SHIPPING OUT SAMPLE
</t>
  </si>
  <si>
    <t>c/14102019/c22740c15ea7488eb81eb40438ad5128.jpg</t>
  </si>
  <si>
    <t>78 FINISHED- Code: 20190913/PAL/0012053/00000589/078</t>
  </si>
  <si>
    <t>20190913/PAL/0012053/00000589/078</t>
  </si>
  <si>
    <t>0/13092019/7fe4a8143dc849808d2e1b7f615168d0.jpg</t>
  </si>
  <si>
    <t>MIRA LOUNGE CHAIR (LIGHT GREY)</t>
  </si>
  <si>
    <t xml:space="preserve">1. (13-09-2019 10:03:34)
+ AS CURRENT PRODUCTION
+ SENDING PHOTOS FOR CLIENT REVIEW BEFORE SHIPPING OUT SAMPLE
</t>
  </si>
  <si>
    <t>8/14102019/326d42a93bbe47c7bd8a25dc2028a1f2.jpg</t>
  </si>
  <si>
    <t>69 FINISHED- Code: 20190913/PAL/0012053/00000589/069</t>
  </si>
  <si>
    <t>20190913/PAL/0012053/00000589/069</t>
  </si>
  <si>
    <t>a/13092019/607e932ff07f4f43a025bb761a2d215a.jpg</t>
  </si>
  <si>
    <t>MIRA LOUNGE CORNER LEFT ARM (ANTHRACITE)</t>
  </si>
  <si>
    <t xml:space="preserve">1. (13-09-2019 10:56:30)
+ AS CURRENT PRODUCTION
+ SENDING PHOTOS FOR CLIENT REVIEW BEFORE SHIPPING OUT
</t>
  </si>
  <si>
    <t>0/14102019/3944d7ce458c4b26b86953405a190b29.jpg</t>
  </si>
  <si>
    <t>75 FINISHED- Code: 20190913/PAL/0012053/00000589/075</t>
  </si>
  <si>
    <t>20190913/PAL/0012053/00000589/075</t>
  </si>
  <si>
    <t>4/13092019/0475c5b9beea4bfaa7bfb355b1088a33.jpg</t>
  </si>
  <si>
    <t>MIRA LOUNGE CORNER LEFT ARM (LIGHT GREY)</t>
  </si>
  <si>
    <t>HR7MM</t>
  </si>
  <si>
    <t xml:space="preserve">1. (13-09-2019 09:59:27)
+ AS CURRENT PRODUCTION SAMPLE
+ SENDING PHOTOS FOR CLIENT REVIEW BEFORE SENDING SAMPLE OUT
</t>
  </si>
  <si>
    <t>c/14102019/87a0e1090e3444fda8209ad2e4f7588d.jpg</t>
  </si>
  <si>
    <t>66 FINISHED- Code: 20190913/PAL/0012053/00000589/066</t>
  </si>
  <si>
    <t>20190913/PAL/0012053/00000589/066</t>
  </si>
  <si>
    <t>7/13092019/616018ad628b4b0fa209bf2a016a3b15.jpg</t>
  </si>
  <si>
    <t>MIRA LOUNGE CORNER RIGHT ARM (ANTHRACITE)</t>
  </si>
  <si>
    <t xml:space="preserve">1. (13-09-2019 10:44:13)
+ AS CURRENT PRODUCTION 
+ SENDING PHOTOS BEFORE SHIPPING SAMPLE OUT
</t>
  </si>
  <si>
    <t>a/15102019/ede62af57e7d48e38f6b23129bc39cf4.jpg</t>
  </si>
  <si>
    <t>74 FINISHED- Code: 20190913/PAL/0012053/00000589/074</t>
  </si>
  <si>
    <t>20190913/PAL/0012053/00000589/074</t>
  </si>
  <si>
    <t>8/13092019/8045bdb63e934de99ff18766a57ee49e.jpg</t>
  </si>
  <si>
    <t>MIRA LOUNGE CORNER RIGHT ARM (LIGHT GREY)</t>
  </si>
  <si>
    <t>3/14102019/32efe4519b264e9eabcae41f6b56dfc0.jpg</t>
  </si>
  <si>
    <t>65 FINISHED- Code: 20190913/PAL/0012053/00000589/065</t>
  </si>
  <si>
    <t>20190913/PAL/0012053/00000589/065</t>
  </si>
  <si>
    <t>4/13092019/b5b0735f33da422a940959acce141371.jpg</t>
  </si>
  <si>
    <t>MIRA LOUNGE CORNER TABLE 80X80X40CM (ANTHRACITE)</t>
  </si>
  <si>
    <t>GLASSPLATE TRANSPARANT</t>
  </si>
  <si>
    <t xml:space="preserve">1. (13-09-2019 10:56:30)
+ AS CURRENT PRODUCTION
+ SENDING PHOTOS BEFORE SHIPPING OUT SAMPLE
</t>
  </si>
  <si>
    <t>c/14102019/80b4e98765644f5c92c2e2c5a68df3bf.jpg</t>
  </si>
  <si>
    <t>76 FINISHED- Code: 20190913/PAL/0012053/00000589/076</t>
  </si>
  <si>
    <t>20190913/PAL/0012053/00000589/076</t>
  </si>
  <si>
    <t>3/13092019/80ec74d60b6e44d88d8a4509da39fba1.jpg</t>
  </si>
  <si>
    <t>MIRA LOUNGE CORNER TABLE 80X80X40CM (LIGHT GREY)</t>
  </si>
  <si>
    <t xml:space="preserve">1. (13-09-2019 09:59:27)
+ AS CURRENT PRODUCTION FOR 12053
+ SENDING PHOTOS FOR CLIENT REVIEW BEFORE SHIPPING OUT
</t>
  </si>
  <si>
    <t>5/14102019/753a389e5d4e4267a4cd3283035ab0f3.jpg</t>
  </si>
  <si>
    <t>67 FINISHED- Code: 20190913/PAL/0012053/00000589/067</t>
  </si>
  <si>
    <t>20190913/PAL/0012053/00000589/067</t>
  </si>
  <si>
    <t>c/13092019/1f4dd615089f49b4934f9fb829ec4c8d.jpg</t>
  </si>
  <si>
    <t>NOVARA STACKING SIDECHAIR 12053 L64 X W53 X H90CM (BLACK)</t>
  </si>
  <si>
    <t>PP BLACK</t>
  </si>
  <si>
    <t xml:space="preserve">1. (12-09-2019 19:09:53)
+ AS CURRENT PRODUCTION
+ REQUEST SENDING SAMPLE PHOTOS FOR CLIENT APPROVAL BEFORE SENDING SAMPLE OUT
</t>
  </si>
  <si>
    <t>a/01102019/185bbbae69e944628e7c10f34405ebb8.jpg</t>
  </si>
  <si>
    <t>45 FINISHED- Code: 20190912/PAL/0012053/00000589/045</t>
  </si>
  <si>
    <t>20190912/PAL/0012053/00000589/045</t>
  </si>
  <si>
    <t>3/13092019/a2ba2d823d3349b0bbd81fdaf73723fb.jpg</t>
  </si>
  <si>
    <t>NOVARA STACKING SIDECHAIR 12053 L64 X W53 X H90CM (LIGHT GREY)</t>
  </si>
  <si>
    <t>LIGHT GREY 17-5102 TPG</t>
  </si>
  <si>
    <t>PP LIGHT GREY PR201 4.5MM</t>
  </si>
  <si>
    <t xml:space="preserve">1. (12-09-2019 19:09:53)
+ AS CURRENT PRODUCTION
+ SENDING SAMPLE PHOTOS FOR CLIENT APPROVAL BEFORE SENDING SAMPLE OUT
</t>
  </si>
  <si>
    <t>9/01102019/996d51ce6935402d94d07db15a3a52ba.jpg</t>
  </si>
  <si>
    <t>46 FINISHED- Code: 20190912/PAL/0012053/00000589/046</t>
  </si>
  <si>
    <t>20190912/PAL/0012053/00000589/046</t>
  </si>
  <si>
    <t>6/13092019/cd16cffc507d4c00bdcdc5830e415ee2.jpg</t>
  </si>
  <si>
    <t>REIMS DINING TABLE L200 X W100 X H76CM (12053 ) (BLACK)</t>
  </si>
  <si>
    <t xml:space="preserve">1. (12-09-2019 18:30:39)
+ ADDING WOODEN UMBRELLA CAP ON THE TABLE TOP
+ CLIENT REQUEST SENDING PHOTOS BEFORE SENDING SAMPLE OUT
</t>
  </si>
  <si>
    <t>0/08102019/a86e85a96ef4428bb203ace336e2357c.jpg</t>
  </si>
  <si>
    <t>39 FINISHED- Code: 20190912/PAL/0012053/00000589/039</t>
  </si>
  <si>
    <t>20190912/PAL/0012053/00000589/039</t>
  </si>
  <si>
    <t>2/13092019/d5074d94611d40b2a1b6cb43055688d8.jpg</t>
  </si>
  <si>
    <t>REIMS DINING TABLE L200 X W100 X H76CM (12053 ) (LIGHT GREY)</t>
  </si>
  <si>
    <t xml:space="preserve">1. (12-09-2019 18:39:29)
+ ADDINNG WOODEN UMBRELLA CAP FOR TABLE TOP
+ CLIENT REQUEST SENDING PHOTOS BEFORE SENDING SAMPLE OUT
</t>
  </si>
  <si>
    <t>4/08102019/50f8f9e4092a435a8aefba16636f0bfb.jpg</t>
  </si>
  <si>
    <t>40 FINISHED- Code: 20190912/PAL/0012053/00000589/040</t>
  </si>
  <si>
    <t>20190912/PAL/0012053/00000589/040</t>
  </si>
  <si>
    <t>1/13092019/1458b62c94134e689ce702e8959a58b6.jpg</t>
  </si>
  <si>
    <t>REIMS DN TABLE 12053 L240 X W100 X H76CM (BLACK)</t>
  </si>
  <si>
    <t xml:space="preserve">1. (12-09-2019 18:49:42)
+ ADDING WOODEN UMBRELLA CAP FOR TABLE TOP
+ REQUEST SENDING SAMPLE PHOTOS FOR CLIENT APPROVAL BEFORE SENDING SAMPLE OUT
</t>
  </si>
  <si>
    <t>b/08102019/1334fc3c021243e3b120b011fb39d79d.jpg</t>
  </si>
  <si>
    <t>42 FINISHED- Code: 20190912/PAI/0012053/00000589/042</t>
  </si>
  <si>
    <t>20190912/PAI/0012053/00000589/042</t>
  </si>
  <si>
    <t>5/13092019/1b7f88f159e54f3fb2249ba3211f5307.jpg</t>
  </si>
  <si>
    <t>REIMS DN TABLE 12053 L280 X W100 X H76CM (BLACK)</t>
  </si>
  <si>
    <t xml:space="preserve">1. (12-09-2019 19:09:53)
+ ADDING WOODEN UMBRELLA CAP
+ SENDING SAMPLE PHOTOS FOR CLIENT APPROVAL BEFORE SENDING SAMPLE OUT
</t>
  </si>
  <si>
    <t>c/08102019/4d946d6c856f49c4ac91245b31619bce.jpg</t>
  </si>
  <si>
    <t>44 FINISHED- Code: 20190912/PAL/0012053/00000589/044</t>
  </si>
  <si>
    <t>20190912/PAL/0012053/00000589/044</t>
  </si>
  <si>
    <t>3/13092019/2cb1479e3d1045dc973f9d7358603004.jpg</t>
  </si>
  <si>
    <t>REIMS DN TABLE 12053 L280 X W100 X H76CM (LIGHT GREY)</t>
  </si>
  <si>
    <t xml:space="preserve">1. (12-09-2019 18:49:42)
+ ADDING WOODEN UMBRELLA CAP
+ SENDING SAMPLE PHOTOS FOR CLIENT APPROVAL BEFORE SENDING SAMPLE OUT
</t>
  </si>
  <si>
    <t>c/08102019/081740ef902f4cac9ad341e4debdad70.jpg</t>
  </si>
  <si>
    <t>43 FINISHED- Code: 20190912/PAL/0012053/00000589/043</t>
  </si>
  <si>
    <t>20190912/PAL/0012053/00000589/043</t>
  </si>
  <si>
    <t>4/13092019/1b7292e073844140b2484924ad602839.jpg</t>
  </si>
  <si>
    <t>REIMS DN TABLE L240 X W100 X H76CM (12053) (LIGHT GREY)</t>
  </si>
  <si>
    <t xml:space="preserve">1. (12-09-2019 18:43:24)
+ ADDING WOODEN UMBRELLA CAP
+ CLIENT REQUEST PHOTOS BEFORE SENDING SAMPLE OUT
</t>
  </si>
  <si>
    <t>1/08102019/f94623e81ab64aa29929718682c6cf04.jpg</t>
  </si>
  <si>
    <t>41 FINISHED- Code: 20190912/PAL/0012053/00000589/041</t>
  </si>
  <si>
    <t>20190912/PAL/0012053/00000589/041</t>
  </si>
  <si>
    <t>b/13092019/3c7854c7570a4eb9ba9be4a99624d70a.jpg</t>
  </si>
  <si>
    <t>REIMS LOUNGE BENCH 2S 12053 L81 X W173 X H83.5CM (BLACK)</t>
  </si>
  <si>
    <t>BLACK 4.5MM</t>
  </si>
  <si>
    <t xml:space="preserve">1. (10-09-2019 10:15:01)
+ SAMPLE AS CURRENT PRODUCTION
+ CLIENT REQUEST SENDING PICTURE BEFORE SENDING SAMPLE OUT
</t>
  </si>
  <si>
    <t>a/08102019/977dcfafc9014c0189e1653b595d8ca2.jpg</t>
  </si>
  <si>
    <t>35 FINISHED- Code: 20190910/PAL/0012053/00000589/035</t>
  </si>
  <si>
    <t>20190910/PAL/0012053/00000589/035</t>
  </si>
  <si>
    <t>4/13092019/8228b564edbf4ae4a75fb544d500527b.jpg</t>
  </si>
  <si>
    <t>REIMS LOUNGE BENCH 2S 12053 L81 X W173 X H83.5CM (LIGHT GREY)</t>
  </si>
  <si>
    <t>PR201 GREY 4.5MM</t>
  </si>
  <si>
    <t xml:space="preserve">1. (10-09-2019 10:20:08)
+ AS CURRENT PRODUCTION
+ CLIENT REQUEST SENDING PHOTOS BEFORE SENDING SAMPLE OUT
</t>
  </si>
  <si>
    <t>4/08102019/c0211fa163e84499875dca83de0cc02a.jpg</t>
  </si>
  <si>
    <t>36 FINISHED- Code: 20190910/PAL/0012053/00000589/036</t>
  </si>
  <si>
    <t>20190910/PAL/0012053/00000589/036</t>
  </si>
  <si>
    <t>2/13092019/0420ed14d97641feba3545e5f45a2c04.jpg</t>
  </si>
  <si>
    <t>REIMS LOUNGE CHAIR 12053 L81 X W83 X H83.5CM (BLACK)</t>
  </si>
  <si>
    <t xml:space="preserve">1. (10-09-2019 09:58:13)
+ FOR CLIENT PHOTO SHOOTING, SAMPLE AS CURRENT PRODUCTION
+ SENDING PHOTOS TO CLIENT REVIEW BEFORE SENDING SAMPLE OUT
</t>
  </si>
  <si>
    <t>7/08102019/b5e74c73e9954ad2b768e8e5541d81a0.jpg</t>
  </si>
  <si>
    <t>33 FINISHED- Code: 20190910/PAL/0012053/00000589/033</t>
  </si>
  <si>
    <t>20190910/PAL/0012053/00000589/033</t>
  </si>
  <si>
    <t>1/13092019/ddff9383df68433da7c51951d5739a7c.jpg</t>
  </si>
  <si>
    <t>REIMS LOUNGE CHAIR 12053 L81 X W83 X H83.5CM (LIGHT GREY)</t>
  </si>
  <si>
    <t xml:space="preserve">1. (10-09-2019 10:15:01)
+ SAMPLE FOR CLIENT PHOTO SHOOTING, AS CURRENT PRODUCTION
+ CLIENT REQUEST SEND PICTURE BEFORE SENDING SAMPLE OUT
</t>
  </si>
  <si>
    <t>0/08102019/76b1660383254a869905d3e1e602dcda.jpg</t>
  </si>
  <si>
    <t>34 FINISHED- Code: 20190910/PAL/0012053/00000589/034</t>
  </si>
  <si>
    <t>20190910/PAL/0012053/00000589/034</t>
  </si>
  <si>
    <t>6/13092019/02809871417d4a94a398c7008c6a482b.jpg</t>
  </si>
  <si>
    <t>REIMS LOUNGE TABLE 12053 L130 X W70 X H34.5CM (BLACK)</t>
  </si>
  <si>
    <t>ALU &amp; STEEL</t>
  </si>
  <si>
    <t xml:space="preserve">1. (10-09-2019 10:20:08)
+ AS CURRENT PRODUCTION
+ CLIENT REQUEST SENDING PICTURE BEFORE SENDING SAMPLE OUT
</t>
  </si>
  <si>
    <t>3/08102019/e686f547641241dd9416c0a11f01c05d.jpg</t>
  </si>
  <si>
    <t>37 FINISHED- Code: 20190910/PAL/0012053/00000589/037</t>
  </si>
  <si>
    <t>20190910/PAL/0012053/00000589/037</t>
  </si>
  <si>
    <t>4/13092019/26abecf9ee3c416c97ed7209f4d3a635.jpg</t>
  </si>
  <si>
    <t>REIMS LOUNGE TABLE 12053 L130 X W70 X H34.5CM (LIGHT GREY)</t>
  </si>
  <si>
    <t xml:space="preserve">1. (10-09-2019 10:24:19)
+ AS CURRENT PRODUCTION
+ REQUEST TO SEND PHOTO BEFORE SENDING SAMPLE OUT
</t>
  </si>
  <si>
    <t>f/08102019/9e4124f74a1e44a49ee17bb9e3401378.jpg</t>
  </si>
  <si>
    <t>38 FINISHED- Code: 20190910/PAL/0012053/00000589/038</t>
  </si>
  <si>
    <t>20190910/PAL/0012053/00000589/038</t>
  </si>
  <si>
    <t>4/13092019/c0296f0c15d14a83b6cb7cd851a1e7d3.jpg</t>
  </si>
  <si>
    <t>REIMS STACKING DINING CHAIR 12053 L65.5 X W65.5 X H85CM (BLACK)</t>
  </si>
  <si>
    <t xml:space="preserve">1. (10-09-2019 09:50:58)
+ SAMPLE AS CURRENT PRODUCTION
+ SAMPLE FOR CLIENT PHOTO SHOOTING, SENDING PHOTO BEFORE SENDING SAMPLE
</t>
  </si>
  <si>
    <t>d/08102019/6f4adce3863d488b849a2ff1c67de22c.jpg</t>
  </si>
  <si>
    <t>31 FINISHED- Code: 20190910/PAL/0012053/00000589/031</t>
  </si>
  <si>
    <t>20190910/PAL/0012053/00000589/031</t>
  </si>
  <si>
    <t>a/13092019/52ca40b8f18646db87deb834fbe5fe65.jpg</t>
  </si>
  <si>
    <t>REIMS STACKING DINING CHAIR 12053 L65.5 X W65.5 X H85CM (LIGHT GREY)</t>
  </si>
  <si>
    <t xml:space="preserve">1. (10-09-2019 09:58:13)
+ SAMPLE AS CURRENT PRODUCTION, SENDING PHOTOS BEFORE SENDING SAMPLE
</t>
  </si>
  <si>
    <t>8/08102019/6a99cd85d2c04270be5d5aa9277eea26.jpg</t>
  </si>
  <si>
    <t>32 FINISHED- Code: 20190910/PAL/0012053/00000589/032</t>
  </si>
  <si>
    <t>20190910/PAL/0012053/00000589/032</t>
  </si>
  <si>
    <t>4/02112018/363996cd573845b6b9bc309a46258a68.jpg</t>
  </si>
  <si>
    <t>RIOZZO COFFE TABLE 12053 DIA. 81 X H41CM</t>
  </si>
  <si>
    <t xml:space="preserve">1. (13-09-2019 09:10:21)
+ AS CURRENT PRODUCTION
+ SENDING SAMPLE PHOTOS FOR CLIENT REVIEW BEFORE SENDING SAMPLE OUT
</t>
  </si>
  <si>
    <t>0/24102019/ff9f6c41bb5f457487f95d20962a27c3.jpg</t>
  </si>
  <si>
    <t>52 FINISHED- Code: 20190913/APH/0012053/00000589/052</t>
  </si>
  <si>
    <t>20190913/APH/0012053/00000589/052</t>
  </si>
  <si>
    <t>9/02112018/8057591f1d614b89b4762ce3eb01e6f2.jpg</t>
  </si>
  <si>
    <t>RIOZZO ROUND SIDE TABLE 41 X H41CM (12053)</t>
  </si>
  <si>
    <t xml:space="preserve">1. (13-09-2019 09:10:21)
+ AS CURRENT PRODUCTION
+ SENDING SAMPLE PHOTOS FOR CLIENT REVIEW BEFORE SHIPPING OUT
</t>
  </si>
  <si>
    <t>c/24102019/31ee44f4b2cb4703acb1c023c07f4d45.jpg</t>
  </si>
  <si>
    <t>53 FINISHED- Code: 20190913/APH/0012053/00000589/053</t>
  </si>
  <si>
    <t>20190913/APH/0012053/00000589/053</t>
  </si>
  <si>
    <t>9/28082019/0c099f5246024135871e964b2d60d682.jpg</t>
  </si>
  <si>
    <t>ROTAN ROUND DINING TABLE DIA. 138 X H76CM 12053 (LIGHT BAMBOO)</t>
  </si>
  <si>
    <t>ROUND 10MM &amp; 6MM</t>
  </si>
  <si>
    <t xml:space="preserve">1. (22-09-2019 17:25:46)
+ IMPROVE CALLS-OUT AS CLIENT'S REQUEST IN ATTACHED FILE. 
+ NICOLE &amp; TECHNICAL TEAM WILL REVIEW SAMPLE AT ON 7-10-2019 AT PAL 1.
+ 1PC FOR SENDING TO CLIENT &amp; 1PC FOR RETAIN.
</t>
  </si>
  <si>
    <t>e/14102019/598c69742d2b41cf911f2c752ddeae3e.jpg</t>
  </si>
  <si>
    <t>15 FINISHED- Code: 20190828/PAL/0012053/00000589/015</t>
  </si>
  <si>
    <t>20190828/PAL/0012053/00000589/015</t>
  </si>
  <si>
    <t>7/28082019/42763c1426cc4960996d520cd65ad0fa.jpg</t>
  </si>
  <si>
    <t>ROTAN ROUND DINING TABLE DIA. 138 X H76CM 12053 (MATTE BLACK)</t>
  </si>
  <si>
    <t>MATTE BLACK BAMBOO</t>
  </si>
  <si>
    <t xml:space="preserve">1. (22-09-2019 17:25:46)
+ IMPROVE CALLS-OUT AS CLIENT'S REQUEST IN ATTACHED FILE. 
+ NICOLE &amp; TECHNICAL TEAM WILL REVIEW SAMPLE ON 7-10-2019 AT PAL.
+ 1PC FOR SENDING TO CLIENT &amp; 1PC FOR RETAIN.
</t>
  </si>
  <si>
    <t>5/10102019/cae188affcbe435f8e2bd5fe2bd84671.jpg</t>
  </si>
  <si>
    <t>16 FINISHED- Code: 20190828/PAL/0012053/00000589/016</t>
  </si>
  <si>
    <t>20190828/PAL/0012053/00000589/016</t>
  </si>
  <si>
    <t>e/22092019/1e4fdc9c3ab34428a9401e0e4c6aa994.jpg</t>
  </si>
  <si>
    <t>2019-09-28</t>
  </si>
  <si>
    <t>SAFARI LOUNGE CORNER CHAIR 12053</t>
  </si>
  <si>
    <t>STAINLESS STEEL FEET</t>
  </si>
  <si>
    <t xml:space="preserve">1. (22-09-2019 19:14:13)
+ IMPROVE CALLS-OUT AS CLIENT'S REQUEST IN ATTACHED FILE.
+ NICOLE &amp; TECHNICAL TEAM WILL REVIEW SAMPLES ON 2-10-2019 AT BIG.
+ SAMPLE IS FOR SEAL BEFORE PRODUCTION, PASS BASIC IN-HOUSE QUALITY TEST OF U.S MARKET IS A MUST.
</t>
  </si>
  <si>
    <t>c/04102019/2f6ba58abe2b430db91d68fbb401923f.jpg</t>
  </si>
  <si>
    <t>82 FINISHED- Code: 20190922/BIG/0012053/00000589/082</t>
  </si>
  <si>
    <t>20190922/BIG/0012053/00000589/082</t>
  </si>
  <si>
    <t>4/22092019/2d04dbc4e74748078e8b6df4e6b0a1b8.jpg</t>
  </si>
  <si>
    <t>SAFARI LOUNGE CORNER LEFT ARM 12053</t>
  </si>
  <si>
    <t>WICKER BANANA LEAF</t>
  </si>
  <si>
    <t>5/04102019/797f80a891084ba6805c2f4d5e60fdeb.jpg</t>
  </si>
  <si>
    <t>83 FINISHED- Code: 20190922/BIG/0012053/00000589/083</t>
  </si>
  <si>
    <t>20190922/BIG/0012053/00000589/083</t>
  </si>
  <si>
    <t>0/22092019/ff0b99fb035342ef934e11b4461f9756.jpg</t>
  </si>
  <si>
    <t>SAFARI LOUNGE CORNER RIGHT ARM 12053</t>
  </si>
  <si>
    <t>a/04102019/c1e67f8e1d134fd6847f38794fc2cf18.jpg</t>
  </si>
  <si>
    <t>84 FINISHED- Code: 20190922/BIG/0012053/00000589/084</t>
  </si>
  <si>
    <t>20190922/BIG/0012053/00000589/084</t>
  </si>
  <si>
    <t>d/22092019/1843b47686c545f2b98dc275eceb5056.jpg</t>
  </si>
  <si>
    <t>SAFARI LOUNGE OTTOMAN 12053</t>
  </si>
  <si>
    <t>b/04102019/bb417f20c9114359a507afff7ed0a1d5.jpg</t>
  </si>
  <si>
    <t>85 FINISHED- Code: 20190922/BIG/0012053/00000589/085</t>
  </si>
  <si>
    <t>20190922/BIG/0012053/00000589/085</t>
  </si>
  <si>
    <t>6/28082019/f0cca79373c94d69b425f5bf0592f85b.jpg</t>
  </si>
  <si>
    <t>TAHITI LOUNGE BENCH 12053 (ALU LIGHT BAMBOO, WICKER DR 10MM BLACK)</t>
  </si>
  <si>
    <t xml:space="preserve">1. (22-09-2019 18:31:21)
+ IMPROVE CALLS-OUT AS CLIENT'S REQUEST IN ATTACHED FILE.
+ NICOLE &amp; TECHNICAL TEAM WILL REVIEW SAMPLE ON 3-10-2019 AT APO.
+ 1PC FOR SENDING CLIENT &amp; 1PC FOR RETAIN.
</t>
  </si>
  <si>
    <t>9/22102019/28491f2c06a14989a695bc46c4a04749.jpg</t>
  </si>
  <si>
    <t>29 FINISHED- Code: 20190828/APO/0012053/00000589/029</t>
  </si>
  <si>
    <t>20190828/APO/0012053/00000589/029</t>
  </si>
  <si>
    <t>2/28082019/26c867f87f8742dcb1fcab40abc58226.jpg</t>
  </si>
  <si>
    <t>TAHITI LOUNGE CHAIR 12053 (ALU LIGHT BAMBOO, WICKER DR 10MM BLACK)</t>
  </si>
  <si>
    <t xml:space="preserve">1. (22-09-2019 18:31:21)
+ IMPROVE CALLS-OUT AS CLIENT'S REQUEST IN ATTACHED FILE.
+ NICOLE &amp; TECHNICAL TEAM WILL REVIEW SAMPLE ON 3-10-2019 AT APO.
+ 2PCS FOR SENDING CLIENT &amp; 1PC FOR RETAIN.
</t>
  </si>
  <si>
    <t>e/22102019/a941d47ca7c54190bdce673e495b5834.jpg</t>
  </si>
  <si>
    <t>28 FINISHED- Code: 20190828/APO/0012053/00000589/028</t>
  </si>
  <si>
    <t>20190828/APO/0012053/00000589/028</t>
  </si>
  <si>
    <t>8/28082019/224e2fe1fdf840359f6843f26523a648.jpg</t>
  </si>
  <si>
    <t>TAHITI LOUNGE CHAIR 12053 (LIGHT BAMBOO)</t>
  </si>
  <si>
    <t xml:space="preserve">1. (22-09-2019 18:31:21)
+ IMPROVE CALLS-OUT AS CLIENT'S REQUEST IN ATTACHED FILE. SAMPLE IS FOR CLIENT'S PHOTO SHOOT.
+ NICOLE &amp; TECHNICAL TEAM WILL CHECK SAMPLES ?N 3-10-2019 AT APO.
</t>
  </si>
  <si>
    <t>5/22102019/1e66b69f630c4aceb8bcb9f089499ae3.jpg</t>
  </si>
  <si>
    <t>26 FINISHED- Code: 20190828/APO/0012053/00000589/026</t>
  </si>
  <si>
    <t>20190828/APO/0012053/00000589/026</t>
  </si>
  <si>
    <t>0/02112018/d69856906f2f45808273e02f4d2ef64b.jpg</t>
  </si>
  <si>
    <t>WELLS DIINING TABLE 90 DEGRE EDGE CUT L220 X W100 X H76CM (12053 )</t>
  </si>
  <si>
    <t>VINTAGE ANTIQUE GREY</t>
  </si>
  <si>
    <t xml:space="preserve">1. (13-09-2019 09:19:11)
+ AS CURRENT PRODUCTION
+ SENDING PHOTOS FOR CLIENT REVIEW BEFORE SENDING SAMPLE OUT
</t>
  </si>
  <si>
    <t>a/22102019/83649d4a5e0f4bfd8d47f324b170cede.jpg</t>
  </si>
  <si>
    <t>54 FINISHED- Code: 20190913/ROS/0012053/00000589/054</t>
  </si>
  <si>
    <t>20190913/ROS/0012053/00000589/054</t>
  </si>
  <si>
    <t>4/02112018/f58c13f8f27b4201b5d1e2d9af96405a.jpg</t>
  </si>
  <si>
    <t>WELLS DIINING TABLE 90 DEGRE EDGE CUT L250 X W100 X H76CM (12053)</t>
  </si>
  <si>
    <t xml:space="preserve">1. (13-09-2019 09:19:11)
+ AS CURRENT PRODUCTION
+ SENDING SAMPLE PHOTOS FOR CLIENT REVIEW BEFORE SHIPPING OUT
</t>
  </si>
  <si>
    <t>4/22102019/340ee5bbcafc412389455dc1ac674b8e.jpg</t>
  </si>
  <si>
    <t>56 FINISHED- Code: 20190913/ROS/0012053/00000589/056</t>
  </si>
  <si>
    <t>20190913/ROS/0012053/00000589/056</t>
  </si>
  <si>
    <t>b/02112018/9f7c82e39c414cde8e8dbd5b7aa95947.jpg</t>
  </si>
  <si>
    <t>WELLS DINING TABLE 90 DEGRE EDGE CUT L180 X W100 X H76CM (12053)</t>
  </si>
  <si>
    <t xml:space="preserve">1. (13-09-2019 09:19:11)
+ AS CURRENT PRODUCTION
+ SENDING SAMPLE PHOTOS FOR CLIENT REVIEW BEFORE SENDING SAMPLE OUT
</t>
  </si>
  <si>
    <t>0/22102019/e5bbf5b1386b4d5583a49a2f841bc9fe.jpg</t>
  </si>
  <si>
    <t>55 FINISHED- Code: 20190913/ROS/0012053/00000589/055</t>
  </si>
  <si>
    <t>20190913/ROS/0012053/00000589/055</t>
  </si>
  <si>
    <t>d/28082019/bb3f0f1c3630437ea76c0a27eadd2bc4.jpg</t>
  </si>
  <si>
    <t>2019-09-12</t>
  </si>
  <si>
    <t>CANCUN TABLE 260X100 CM</t>
  </si>
  <si>
    <t>0/19092019/24d0c2fc333a42ad8abde90655cb5240.jpg</t>
  </si>
  <si>
    <t>2019-09-11</t>
  </si>
  <si>
    <t>LOTTUS</t>
  </si>
  <si>
    <t>260</t>
  </si>
  <si>
    <t>51.5</t>
  </si>
  <si>
    <t>264</t>
  </si>
  <si>
    <t>4 FINISHED- Code: 20190828/DAN/000874/00000590/004</t>
  </si>
  <si>
    <t>20190828/DAN/000874/00000590/004</t>
  </si>
  <si>
    <t>d/29082019/618300f79222446dad5bc8ecdc68bc7d.jpg</t>
  </si>
  <si>
    <t>1/13092019/e4163635533347d4b48c3d007b331374.jpg</t>
  </si>
  <si>
    <t>5 FINISHED- Code: 20190829/APH/000874/00000590/005</t>
  </si>
  <si>
    <t>20190829/APH/000874/00000590/005</t>
  </si>
  <si>
    <t>c/29082019/10d910e38bd741589937d5fbc342bf7b.jpg</t>
  </si>
  <si>
    <t>WHITE PP</t>
  </si>
  <si>
    <t>9/14092019/3e81e3a71b714a7c892714837814c52b.jpg</t>
  </si>
  <si>
    <t>6 FINISHED- Code: 20190829/PAL/000874/00000590/006</t>
  </si>
  <si>
    <t>20190829/PAL/000874/00000590/006</t>
  </si>
  <si>
    <t>6/29082019/b45af7537bae480fb4a0a1860e382e25.jpg</t>
  </si>
  <si>
    <t>BLACK PP</t>
  </si>
  <si>
    <t>4/14092019/0f034768deab4356adaccf743b1053cf.jpg</t>
  </si>
  <si>
    <t>7 FINISHED- Code: 20190829/PAL/000874/00000590/007</t>
  </si>
  <si>
    <t>20190829/PAL/000874/00000590/007</t>
  </si>
  <si>
    <t>7/28082019/85617c3349ef4225ba8d74eecb3d2c25.jpg</t>
  </si>
  <si>
    <t>KENDAL STACKABLE DINING CHAIR</t>
  </si>
  <si>
    <t>e/25092019/8c71babf68ee426a9de8aebfc94e57a5.jpg</t>
  </si>
  <si>
    <t>3 FINISHED- Code: 20190828/ROS/000874/00000590/003</t>
  </si>
  <si>
    <t>20190828/ROS/000874/00000590/003</t>
  </si>
  <si>
    <t>2/29082019/1854a1613d764e6795b50dbad274fc5c.jpg</t>
  </si>
  <si>
    <t>a/25092019/9bde20ee0c954c7d95bf9fe22077dac1.jpg</t>
  </si>
  <si>
    <t>3 FINISHED- Code: 20190829/ROS/000874/00000590/003</t>
  </si>
  <si>
    <t>20190829/ROS/000874/00000590/003</t>
  </si>
  <si>
    <t>b/25092019/21d85ce153a14063805cee3d929689b5.jpg</t>
  </si>
  <si>
    <t>4 FINISHED- Code: 20190829/ROS/000874/00000590/004</t>
  </si>
  <si>
    <t>20190829/ROS/000874/00000590/004</t>
  </si>
  <si>
    <t>4/22032018/2be991edb5e24f41b9faf98bb1f1e8bf.jpg</t>
  </si>
  <si>
    <t>SIENNA LOUNGE CHAIR</t>
  </si>
  <si>
    <t xml:space="preserve">1. Nicole Poldervaart(03-09-2019 16:36:49)
SEAT HIGHT INCLUDING CUSHION = 50CM 
HIGHT ARMREST  = 66CM
</t>
  </si>
  <si>
    <t>a/12092019/208f2105d44741969401493c44cac269.jpg</t>
  </si>
  <si>
    <t>O.W. TRADING B.V.</t>
  </si>
  <si>
    <t>106.5</t>
  </si>
  <si>
    <t>1 FINISHED- Code: 20190903/BIG/000294/00000591/001</t>
  </si>
  <si>
    <t>20190903/BIG/000294/00000591/001</t>
  </si>
  <si>
    <t>9/13082019/09c51bba24b643b18b81b9cf368138e5.jpg</t>
  </si>
  <si>
    <t>2019-09-30</t>
  </si>
  <si>
    <t>VERNON TABLE 90x90 (822)</t>
  </si>
  <si>
    <t xml:space="preserve">1. DAVE VAN DER LINDEN(19-09-2019 15:27:02)
SAMPLE NEEDS TO BE SEND BY AIRFREIGHT.
PLEASE CHECK FOR DETAILS ATTACHED FILE
</t>
  </si>
  <si>
    <t>3/30092019/f18a08e52ebe4103a46e2621c8f5883c.jpg</t>
  </si>
  <si>
    <t>2019-10-04</t>
  </si>
  <si>
    <t>GRIES DECO COMPANY BOSCHSTRASSE 7 63843 NIEDERNBERG GERMANY</t>
  </si>
  <si>
    <t>1 FINISHED- Code: 20190917/AKI/000822/00000593/001</t>
  </si>
  <si>
    <t>20190917/AKI/000822/00000593/001</t>
  </si>
  <si>
    <t>2/18092019/c07c2b0de02c45b6bbacd00b1f4c2c37.jpg</t>
  </si>
  <si>
    <t>REIMS STACKABLE CORNER SET</t>
  </si>
  <si>
    <t>5/04102019/75361f9bc4214d6095bca6339658f262.jpg</t>
  </si>
  <si>
    <t>1 FINISHED- Code: 20190918/PAL/001019/00000594/001</t>
  </si>
  <si>
    <t>20190918/PAL/001019/00000594/001</t>
  </si>
  <si>
    <t>e/18092019/a0aba40080254e0c9136c2a7a2c438dd.jpg</t>
  </si>
  <si>
    <t>2019-10-03</t>
  </si>
  <si>
    <t>FARO DINING CHAIR 909539</t>
  </si>
  <si>
    <t>DOUBLE HALF ROUND 7MM</t>
  </si>
  <si>
    <t>2 inch thick, follow PC specs, consult Ms Nicole</t>
  </si>
  <si>
    <t>NO BACK CUSHION</t>
  </si>
  <si>
    <t>brown olefin (client sends us by DHL from China)</t>
  </si>
  <si>
    <t xml:space="preserve">1. (18-09-2019 16:11:30)
CUSHION INNER REQUIREMENTS: FOAM &amp; FIBER SPECS: DENSITY 35KG,  IFD 35-40, DEFLECTION +90.
BROWN olefin fabric from client is being sent to HCM with courier. Nicole will send to PAL once received.
</t>
  </si>
  <si>
    <t>1/04102019/a1406cc4f7854433958296a6269fb672.jpg</t>
  </si>
  <si>
    <t>2 ISSUED- Code: 20190918/PAL/909539/00000595/002</t>
  </si>
  <si>
    <t>20190918/PAL/909539/00000595/002</t>
  </si>
  <si>
    <t>5/18092019/85262b90a1ea4bc3861131de11828043.jpg</t>
  </si>
  <si>
    <t>PARLA STACKING LOUNGE CHAIR 909539</t>
  </si>
  <si>
    <t xml:space="preserve">1. PEPIJN VAN DEN BRINK(19-09-2019 15:22:44)
Sample just like for earlier sample request of this client.
</t>
  </si>
  <si>
    <t>4/01102019/9efc4b0ab81c419d801098e06e7259f2.jpg</t>
  </si>
  <si>
    <t>3 FINISHED- Code: 20190918/TEC/909539/00000595/003</t>
  </si>
  <si>
    <t>20190918/TEC/909539/00000595/003</t>
  </si>
  <si>
    <t>c/18092019/d166ea0d650045b4aea65a6f31d7d832.jpg</t>
  </si>
  <si>
    <t>SUNBURY DINING TABLE 909539</t>
  </si>
  <si>
    <t>RUSTIC</t>
  </si>
  <si>
    <t xml:space="preserve">1. (18-09-2019 15:59:36)
-Please follow TD for overall dimensions.
- X STYLE TRESTLE BASE
- UMBRELLA HOLE
</t>
  </si>
  <si>
    <t>c/03102019/e49e9c55ab6c4a98b6cc1140787405a0.jpg</t>
  </si>
  <si>
    <t>1 FINISHED- Code: 20190918/TEC/909539/00000595/001</t>
  </si>
  <si>
    <t>20190918/TEC/909539/00000595/001</t>
  </si>
  <si>
    <t>6/23092019/a012e11cc10b41dcae67fbf8428ebb82.jpg</t>
  </si>
  <si>
    <t>TAHITI CHAT SET 3PCS (2 TAHITI LOUNGE CHAIRS, 1 TAHITI LOUNGE ROUND 20" TABLE) 909539</t>
  </si>
  <si>
    <t>DR 10MM/ HR7MM</t>
  </si>
  <si>
    <t xml:space="preserve">1. (18-09-2019 17:13:26)
-SAMPLE 2X CHAIR , 2X TABLE (2 CHAIRS + 1 TABLE TO SEND OUT, 1X TABLE TO RETAIN)
-CHAIR SHOULD BE IDENTICAL TO THE TAHITI CHAIR FROM CHAT SET 5 PCS (SEE 1st ATTACHment)
Note 2ND/3RD/4TH attachments for renders + TD of the table
-NOTICE THAT FRAME SHAPE IS DIFFERENT FROM OUR STANDARD TAHITI ROUND LOUNGE TABLE!
-NOTE THAT OUTER FRAME TUBE OF THE TOP SHOULD FLUSH WITH THE GLASS TOP. THIS IS ILLUSTRATED AGAIN IN 5TH ATTACHMENT.
</t>
  </si>
  <si>
    <t>e/11102019/3f86d11bb9bf4a2a94da53da4ffb5698.jpg</t>
  </si>
  <si>
    <t>5 ISSUED- Code: 20190918/APO/909539/00000595/005</t>
  </si>
  <si>
    <t>20190918/APO/909539/00000595/005</t>
  </si>
  <si>
    <t>7/23092019/02b51aec9c524617ac2374ab437fcc3d.jpg</t>
  </si>
  <si>
    <t>TAHITI CHAT SET 5PCS (4 TAHITI LOUNGE CHAIRS, 1 TAHITI LOUNGE SQUARE 40" TABLE) 909539</t>
  </si>
  <si>
    <t>DR 10MM LIGHT BAMBOO/HR 7MM</t>
  </si>
  <si>
    <t xml:space="preserve">1. (18-09-2019 17:19:08)
-SAMPLE 5X CHAIR, 2X TABLE (4X CHAIR + 1X TABLE TO SEND OUT, 1X CHAIR + 1X TABLE TO RETAIN)
-TD FOR THE CHAIR AS PER 1ST ATTACHMENT, FOLLOWING WEAVING/WRAPPING AS PER REFERENCE IMAGE
-FOLLOW SHAPE OF THE TABLE TOP AS PER 2ND ATTACHMENT (NOT ONLY CORNERS TO BE ROUNDED!) 2ND ATTACHMENT IS JUST FOR SHAPE OF THE TABLE TOP
-3RD ATTACHMENT SHOWING WEAVING WAY TO FOLLOW FOR THE TABLE 
-FOR DIMENSIONS OF THE TABLE, PLEASE USE TD IN 4TH ATTACHMENT
-NOTE THAT OUTER FRAME TUBE OF THE TOP SHOULD FLUSH WITH THE GLASS TOP. THIS IS ILLUSTRATED AGAIN IN 5TH ATTACHMENT.
</t>
  </si>
  <si>
    <t>4/11102019/4ed03b6edcee454d949bb274956ba2d7.jpg</t>
  </si>
  <si>
    <t>6 ISSUED- Code: 20190918/APO/909539/00000595/006</t>
  </si>
  <si>
    <t>20190918/APO/909539/00000595/006</t>
  </si>
  <si>
    <t>3/20092019/36df2f72465c4e51a2de62b87b3e202a.jpg</t>
  </si>
  <si>
    <t>2019-10-02</t>
  </si>
  <si>
    <t>LATINA ADJUSTABLE CHAIR</t>
  </si>
  <si>
    <t>2019-10-06</t>
  </si>
  <si>
    <t>Showroom AVT</t>
  </si>
  <si>
    <t>11 ISSUED- Code: 20190920/PAL/000902/00000597/011</t>
  </si>
  <si>
    <t>20190920/PAL/000902/00000597/011</t>
  </si>
  <si>
    <t>a/24092019/89ca82ca501145d1890e1c93ae99f9f0.jpg</t>
  </si>
  <si>
    <t>CAPRI PROMO CHAIR</t>
  </si>
  <si>
    <t>OUDE KAZERNE NV</t>
  </si>
  <si>
    <t>1 ISSUED- Code: 20190924/BMW/001072/00000599/001</t>
  </si>
  <si>
    <t>20190924/BMW/001072/00000599/001</t>
  </si>
  <si>
    <t>3/24092019/bfb1c197bebb4d3bbdc6cddb827a2aec.jpg</t>
  </si>
  <si>
    <t>CAPRI PROMO TABLE 160x90CM</t>
  </si>
  <si>
    <t>2 ISSUED- Code: 20190924/BMW/001072/00000599/002</t>
  </si>
  <si>
    <t>20190924/BMW/001072/00000599/002</t>
  </si>
  <si>
    <t>a/04102018/91f7d5519f634eebb2f9f8ed090c3fb0.jpg</t>
  </si>
  <si>
    <t>2019-10-21</t>
  </si>
  <si>
    <t>BABALA DINING TABLE</t>
  </si>
  <si>
    <t>1/21102019/fd9cecd2e83548ac9c133f08ba8b3342.jpg</t>
  </si>
  <si>
    <t>2019-10-18</t>
  </si>
  <si>
    <t>PHOTO SHOOT PURPOSE. NON-FR FABRIC</t>
  </si>
  <si>
    <t>6 FINISHED- Code: 20190926/TEC/909314/00000600/006</t>
  </si>
  <si>
    <t>20190926/TEC/909314/00000600/006</t>
  </si>
  <si>
    <t>4/25102019/0d848dfd6552463985743715bc1a77a4.jpg</t>
  </si>
  <si>
    <t>BOSCO GARDEN DINING BENCH (909314)</t>
  </si>
  <si>
    <t>c/03112019/013cf87de950458d990b8d2f067039ea.jpg</t>
  </si>
  <si>
    <t>2 FINISHED- Code: 20190926/PAL/909314/00000600/002</t>
  </si>
  <si>
    <t>20190926/PAL/909314/00000600/002</t>
  </si>
  <si>
    <t>d/18092019/96f06e5e90ef41ab847e7296eec0324a.jpg</t>
  </si>
  <si>
    <t>BOSCO GARDEN DINING CHAIR (909314)</t>
  </si>
  <si>
    <t>6/03112019/34d04dbd45d8468f8b10e8ec7e5cb1af.jpg</t>
  </si>
  <si>
    <t>3 ISSUED- Code: 20190926/PAL/909314/00000600/003</t>
  </si>
  <si>
    <t>20190926/PAL/909314/00000600/003</t>
  </si>
  <si>
    <t>7/18092019/109d0d1201ff474d9c683a8ecbce5999.jpg</t>
  </si>
  <si>
    <t>BOSCO GARDEN DINING TABLE (909314)</t>
  </si>
  <si>
    <t>a/03112019/0658e02e18054a39bfc234b390aa63d3.jpg</t>
  </si>
  <si>
    <t>1 FINISHED- Code: 20190926/PAL/909314/00000600/001</t>
  </si>
  <si>
    <t>20190926/PAL/909314/00000600/001</t>
  </si>
  <si>
    <t>0/18092019/82fefca99b4f499bae220956e2c49393.jpg</t>
  </si>
  <si>
    <t>DALAT GARDEN 2 SEATER SOFA (909314)</t>
  </si>
  <si>
    <t>4 ISSUED- Code: 20190926/PAL/909314/00000600/004</t>
  </si>
  <si>
    <t>20190926/PAL/909314/00000600/004</t>
  </si>
  <si>
    <t>4/18092019/79149eec090c46cd8e1c277b3c8aa0b3.jpg</t>
  </si>
  <si>
    <t>DALAT GARDEN CHAIR (909314)</t>
  </si>
  <si>
    <t>5 ISSUED- Code: 20190926/PAL/909314/00000600/005</t>
  </si>
  <si>
    <t>20190926/PAL/909314/00000600/005</t>
  </si>
  <si>
    <t>0/18092019/a7f285e3d7ff425fbc58a1b246307a1f.jpg</t>
  </si>
  <si>
    <t>JALA GARDEN DINING CHAIR (909314)</t>
  </si>
  <si>
    <t>b/23102019/9eb6d9151a9a49a68c026a9a5050982a.jpg</t>
  </si>
  <si>
    <t>7 FINISHED- Code: 20190926/TEC/909314/00000600/007</t>
  </si>
  <si>
    <t>20190926/TEC/909314/00000600/007</t>
  </si>
  <si>
    <t>3/18092019/ca3f1a5724ba44639487a32de0fd5152.jpg</t>
  </si>
  <si>
    <t>TOPA 4 SEAT DINING SET (909314)</t>
  </si>
  <si>
    <t xml:space="preserve">1. (26-09-2019 13:41:41)
1 TABLE + 2 CHAIRS
</t>
  </si>
  <si>
    <t>9 ISSUED- Code: 20190926/PAL/909314/00000600/009</t>
  </si>
  <si>
    <t>20190926/PAL/909314/00000600/009</t>
  </si>
  <si>
    <t>f/18092019/5a132d4e71b847a2a64602aeb283ff6d.jpg</t>
  </si>
  <si>
    <t>8 ISSUED- Code: 20190926/PAL/909314/00000600/008</t>
  </si>
  <si>
    <t>20190926/PAL/909314/00000600/008</t>
  </si>
  <si>
    <t>9/04102018/363e094240e14c37bef7e964697824ca.jpg</t>
  </si>
  <si>
    <t xml:space="preserve">1. (30-09-2019 12:00:29)
TAKE FROM PRODUCTION 874
</t>
  </si>
  <si>
    <t>0/17102019/9a7007627b5947d5aec43a396bb2d722.jpg</t>
  </si>
  <si>
    <t>HCM SHOWROOM</t>
  </si>
  <si>
    <t>6 FINISHED- Code: 20190930/ROS/000002/00000601/006</t>
  </si>
  <si>
    <t>20190930/ROS/000002/00000601/006</t>
  </si>
  <si>
    <t>c/06102015/b0c0a065ace34d9180f51048d31c726f.jpg</t>
  </si>
  <si>
    <t>MANDAL LOUNGE SET (2X CHAIR, 1X BENCH 126X88X78 CM, 1 LOUNGE TABLE 110X70X42 CM)</t>
  </si>
  <si>
    <t xml:space="preserve">1. (26-09-2019 16:10:47)
SHOULD BE 100% THE SAME AS FOR CLIENT 1087
</t>
  </si>
  <si>
    <t>d/22102019/44862062cc3b428d8c291ebaa990fddc.jpg</t>
  </si>
  <si>
    <t>3 FINISHED- Code: 20190926/ROS/000002/00000601/003</t>
  </si>
  <si>
    <t>20190926/ROS/000002/00000601/003</t>
  </si>
  <si>
    <t>b/06102015/3786d805b2e34657813d787347e2539a.jpg</t>
  </si>
  <si>
    <t>MANDAL ROCKING CHAIR</t>
  </si>
  <si>
    <t xml:space="preserve">1. (26-09-2019 16:09:09)
SHOULD BE 100% THE SAME AS FOR CLIENT 1008
</t>
  </si>
  <si>
    <t>2/22102019/c40d617cf6d149c58d24ed0f60983bf5.jpg</t>
  </si>
  <si>
    <t>1 FINISHED- Code: 20190926/ROS/000002/00000601/001</t>
  </si>
  <si>
    <t>20190926/ROS/000002/00000601/001</t>
  </si>
  <si>
    <t>8/28082019/725f292721ed461db0a51cd67fb6bda0.jpg</t>
  </si>
  <si>
    <t>MELUN 6-SEATER DINING SET WITH WOODEN SEAT (6 X CHAIR + 1 X TABLE) (1682)</t>
  </si>
  <si>
    <t xml:space="preserve">1. (27-09-2019 11:34:58)
ONLY TABLE
</t>
  </si>
  <si>
    <t>5/30092019/7d9f7e9714b04bb1a2e548ed86a6f532.jpg</t>
  </si>
  <si>
    <t>5 FINISHED- Code: 20190927/TEC/000002/00000601/005</t>
  </si>
  <si>
    <t>20190927/TEC/000002/00000601/005</t>
  </si>
  <si>
    <t>1/27092019/61bd3fbf40c14041946d8c85167bbc94.jpg</t>
  </si>
  <si>
    <t>MELUN FOLDING SET (2 X CHAIR + 1 X TABLE) (1682)</t>
  </si>
  <si>
    <t xml:space="preserve">1. Do Thi Phuong Thao(30-09-2019 12:23:49)
finished
</t>
  </si>
  <si>
    <t xml:space="preserve">1. (27-09-2019 11:15:36)
ONLY CHAIR AS MODEL 1682
</t>
  </si>
  <si>
    <t>6/30092019/3303000502ed4127a249acd3452bf84c.jpg</t>
  </si>
  <si>
    <t>4 FINISHED- Code: 20190927/TEC/000002/00000601/004</t>
  </si>
  <si>
    <t>20190927/TEC/000002/00000601/004</t>
  </si>
  <si>
    <t>0/22032018/66ab60b3cad045b3aceeb2e53164414b.jpg</t>
  </si>
  <si>
    <t>2019-10-16</t>
  </si>
  <si>
    <t>PONTE DINING CHAIR WITH ALU (COLOUR AS 705) LEGS</t>
  </si>
  <si>
    <t xml:space="preserve">1. (09-10-2019 16:56:10)
PRODUCE SAME PONTE CHAIR AS PRODUCED FOR CLIENT 108 LAST YEAR.
</t>
  </si>
  <si>
    <t>8/17102019/6d97c1df35d549888e5c91228360c4f8.jpg</t>
  </si>
  <si>
    <t>7 FINISHED- Code: 20191009/ROS/000002/00000601/007</t>
  </si>
  <si>
    <t>20191009/ROS/000002/00000601/007</t>
  </si>
  <si>
    <t>d/27092019/8c20f31fe29d431f8b4c46a556d06f5c.jpg</t>
  </si>
  <si>
    <t>BARBADOS XL</t>
  </si>
  <si>
    <t xml:space="preserve">1. Reinhard Jolie(27-09-2019 12:00:52)
Follow the specs as shown on the technical drawing. Teak slats should be made massive.
</t>
  </si>
  <si>
    <t>f/29102019/8dc3037479474c71b6d9a50ba817f185.jpg</t>
  </si>
  <si>
    <t>2019-10-25</t>
  </si>
  <si>
    <t>PACO WORLD COLLECTIONS</t>
  </si>
  <si>
    <t>PENDING</t>
  </si>
  <si>
    <t>1 ISSUED- Code: 20190927/PAL/909543/00000602/001</t>
  </si>
  <si>
    <t>20190927/PAL/909543/00000602/001</t>
  </si>
  <si>
    <t>a/10102019/76b7967636844d42a536ecc978864a3a.jpg</t>
  </si>
  <si>
    <t>2019-10-22</t>
  </si>
  <si>
    <t>Aurora set (chair, hocker, Mira side table D 40 H 50, Mira side table D40 D50 H60)</t>
  </si>
  <si>
    <t>DR 10MM RATTAN GREY</t>
  </si>
  <si>
    <t>EUCALYPTUS LIGHT TEAK LOOK</t>
  </si>
  <si>
    <t xml:space="preserve">1. PEPIJN VAN DEN BRINK(10-10-2019 15:15:11)
Source wood for Aurora legs &amp; mira side tables through TEC, must be Eucalyptus for this client.
US test standards
</t>
  </si>
  <si>
    <t>d/29102019/b214d6375a644d89b59bd092b95140f9.jpg</t>
  </si>
  <si>
    <t>2019-10-09</t>
  </si>
  <si>
    <t>ROOMS TO GO</t>
  </si>
  <si>
    <t>Florida</t>
  </si>
  <si>
    <t>6 FINISHED- Code: 20191010/PAL/910106/00000603/006</t>
  </si>
  <si>
    <t>20191010/PAL/910106/00000603/006</t>
  </si>
  <si>
    <t>4/27092019/1f566d3817364247880c9145ec7118ad.jpg</t>
  </si>
  <si>
    <t>2019-10-08</t>
  </si>
  <si>
    <t>Lenco dining table 910106</t>
  </si>
  <si>
    <t>ROUND 10MM LIGHT BAMBOO</t>
  </si>
  <si>
    <t>EUCALYPTUS light teak look</t>
  </si>
  <si>
    <t xml:space="preserve">1. PEPIJN VAN DEN BRINK(27-09-2019 17:06:57)
-Please obtain TD of Lawang dining table from AVT team and use this for overall dimensions/construction/table top thicknesses etc. Lawang dining table (FI4K) is in our catalogue
-Change weaving of the base to match with Lenco 910106 (as per reference image)
-Eucalyptus table top to source through TEC
-Item to pass US testing
</t>
  </si>
  <si>
    <t>3/24102019/63e253167bdf48feb6130c406c7ad50c.jpg</t>
  </si>
  <si>
    <t>5 FINISHED- Code: 20190927/APO/910106/00000603/005</t>
  </si>
  <si>
    <t>20190927/APO/910106/00000603/005</t>
  </si>
  <si>
    <t>Lenco stacking dining chair 910106</t>
  </si>
  <si>
    <t>alu</t>
  </si>
  <si>
    <t>light bamboo</t>
  </si>
  <si>
    <t>Round 10mm light bamboo</t>
  </si>
  <si>
    <t>sand olefin 240</t>
  </si>
  <si>
    <t xml:space="preserve">1. PEPIJN VAN DEN BRINK(27-09-2019 16:54:42)
-Send out 4, 1 to retain
-Make chair stackable. Improve angle of the back as per general SPOGA feedback that has been shared so far
-Items to pass us testing
</t>
  </si>
  <si>
    <t>b/21102019/4f3b5e10de0f40099366075beb883028.jpg</t>
  </si>
  <si>
    <t>4 FINISHED- Code: 20190927/APO/910106/00000603/004</t>
  </si>
  <si>
    <t>20190927/APO/910106/00000603/004</t>
  </si>
  <si>
    <t>5/27092019/18f2a429a0c642a98029441ed5bac389.jpg</t>
  </si>
  <si>
    <t>Lenco stacking set 910106 (2x chair +1x bench)</t>
  </si>
  <si>
    <t>ALU FRAME AS PER 1282 LENCO</t>
  </si>
  <si>
    <t xml:space="preserve">1. PEPIJN VAN DEN BRINK(27-09-2019 16:44:08)
-Sample 2x chair + 1x bench to send out, 1x chair to retain
-Take the Lenco frames for bench &amp; chair of 1282 (different from our catalogue &amp; 1071)
-Apply same wrapping/seat weave as per 1282 but change the weaving pattern of back/arms as per 1st attachment (indicated in the red boxes). 
-Idea is to make a version which is different from 12053/1071/1282
-Items to pass US testing standards
</t>
  </si>
  <si>
    <t>8/22102019/c09a245b621a4eba9adf8dbee62d66d2.jpg</t>
  </si>
  <si>
    <t>1 FINISHED- Code: 20190927/APO/910106/00000603/001</t>
  </si>
  <si>
    <t>20190927/APO/910106/00000603/001</t>
  </si>
  <si>
    <t>SWATCH ROUND 10MM LIGHT BAMBOO (25X25 CM)</t>
  </si>
  <si>
    <t>7 ISSUED- Code: 20191014/PAL/910106/00000603/007</t>
  </si>
  <si>
    <t>20191014/PAL/910106/00000603/007</t>
  </si>
  <si>
    <t>9/04102018/725bc2c12f8849919599332889dc3a71.jpg</t>
  </si>
  <si>
    <t>TAHITI LOUNGE OVAL TABLE 100X50X40CM</t>
  </si>
  <si>
    <t>DR 10MM LIGHT BAMBOO &amp; FLAT</t>
  </si>
  <si>
    <t xml:space="preserve">1. PEPIJN VAN DEN BRINK(27-09-2019 16:54:42)
-Follow standard model as per catalogue (a599)
-Top: tempered glass transparant
-Item to pass us testing standards
</t>
  </si>
  <si>
    <t>a/21102019/87630f71ca7d4ac09b9e91a6fbc13739.jpg</t>
  </si>
  <si>
    <t>2 FINISHED- Code: 20190927/APO/910106/00000603/002</t>
  </si>
  <si>
    <t>20190927/APO/910106/00000603/002</t>
  </si>
  <si>
    <t>9/25122018/42424854b09a4b95a8e87e9014e34b84.jpg</t>
  </si>
  <si>
    <t>TAHITI LOUNGE ROUND TABLE 50X50X52CM</t>
  </si>
  <si>
    <t>DR 10MM LIGHT BAMBOO</t>
  </si>
  <si>
    <t>1/21102019/90984bd55cbb4a8494f9760ff963cf98.jpg</t>
  </si>
  <si>
    <t>3 FINISHED- Code: 20190927/APO/910106/00000603/003</t>
  </si>
  <si>
    <t>20190927/APO/910106/00000603/003</t>
  </si>
  <si>
    <t>d/27092019/259bfb4263fb45f7b92f9ceb257a37a5.jpg</t>
  </si>
  <si>
    <t>GUAVA LOUNGE CORNER SET</t>
  </si>
  <si>
    <t xml:space="preserve">1. Reinhard Jolie(27-09-2019 16:50:30)
Lounge set should have textilene seat underneath the cushions.  Table size 60x60cm. If possible the complete set should have an maximum wieight of 31KG.
</t>
  </si>
  <si>
    <t>4 CREATED- Code: 20190927/XXX/000902/00000604/004</t>
  </si>
  <si>
    <t>20190927/XXX/000902/00000604/004</t>
  </si>
  <si>
    <t>4/27092019/28585a72f8b64b90b3bf6eff501e00ee.jpg</t>
  </si>
  <si>
    <t>KOLN CHAIR</t>
  </si>
  <si>
    <t>SANDED BROWN (1072)</t>
  </si>
  <si>
    <t xml:space="preserve">1. Reinhard Jolie(27-09-2019 16:50:30)
We can take the chair from client 1072 which we have on stock at Rooftop.
</t>
  </si>
  <si>
    <t>3 CREATED- Code: 20190927/XXX/000902/00000604/003</t>
  </si>
  <si>
    <t>20190927/XXX/000902/00000604/003</t>
  </si>
  <si>
    <t>7/27092019/47a3b2deda104d60806e9e6a23e406c5.jpg</t>
  </si>
  <si>
    <t>SAFI CHAIR (902)</t>
  </si>
  <si>
    <t xml:space="preserve">1. Reinhard Jolie(27-09-2019 16:50:30)
The only thing that needs to be adjusted for the Safi chair is the comfort of the backrest. Client would like backrest a little bit more straight compared with the first sample. The backrest should come more to the front with 1.5cm from the center of each tube.
</t>
  </si>
  <si>
    <t>1 CREATED- Code: 20190927/XXX/000902/00000604/001</t>
  </si>
  <si>
    <t>20190927/XXX/000902/00000604/001</t>
  </si>
  <si>
    <t>d/27092019/1a526a87d8964beeb8fecb98d7cbafa2.jpg</t>
  </si>
  <si>
    <t>Safi table 35x35x44cm</t>
  </si>
  <si>
    <t xml:space="preserve">1. Reinhard Jolie(27-09-2019 16:50:30)
This is the same sample table as we made for client Tradepoint last year. Jasper will look at Rooftop if this sample is still available.
</t>
  </si>
  <si>
    <t>2 CREATED- Code: 20190927/XXX/000902/00000604/002</t>
  </si>
  <si>
    <t>20190927/XXX/000902/00000604/002</t>
  </si>
  <si>
    <t>5/09102019/9271ea454dcb4d0189862b90d566e2bc.jpg</t>
  </si>
  <si>
    <t>COFFEE LOUNGE SET 7 PCS ( 2 chair + 2 hocker + 1 bench + 1 side table + 1 table) (1262)</t>
  </si>
  <si>
    <t>VERMON</t>
  </si>
  <si>
    <t>LIGHT GREY (1262)</t>
  </si>
  <si>
    <t>9/24102019/4a6c2f56e55243db9d0e2cada1f9f577.jpg</t>
  </si>
  <si>
    <t>1 FINISHED- Code: 20191009/BEN/000429/00000605/001</t>
  </si>
  <si>
    <t>20191009/BEN/000429/00000605/001</t>
  </si>
  <si>
    <t>0/09102019/d2d1a991316946bfa36e9064019b4cfe.jpg</t>
  </si>
  <si>
    <t>COSTA RICA 5PCS (2 CHAIR + 1 BENCH + 1 TABLE D40 + 1 TABLE D60) (1262)</t>
  </si>
  <si>
    <t>2 ISSUED- Code: 20191009/DAN/000429/00000605/002</t>
  </si>
  <si>
    <t>20191009/DAN/000429/00000605/002</t>
  </si>
  <si>
    <t>e/09102019/bafded5d3e9c4c55b55161a1202b853a.jpg</t>
  </si>
  <si>
    <t>TAMPA FLOWER SHELF</t>
  </si>
  <si>
    <t>GREENVILLE</t>
  </si>
  <si>
    <t>3 ISSUED- Code: 20191009/DAN/000429/00000605/003</t>
  </si>
  <si>
    <t>20191009/DAN/000429/00000605/003</t>
  </si>
  <si>
    <t>0/09102019/f7424615f16c4d3d9e08542ce8df157d.jpg</t>
  </si>
  <si>
    <t>WISTON SIDE TABLE 45X45X45 CM</t>
  </si>
  <si>
    <t>4 ISSUED- Code: 20191009/DAN/000429/00000605/004</t>
  </si>
  <si>
    <t>20191009/DAN/000429/00000605/004</t>
  </si>
  <si>
    <t>7/09102019/144783e0d2f940408dcf0601857cd807.jpg</t>
  </si>
  <si>
    <t>LENCO LOUNGE CHAIR 910104</t>
  </si>
  <si>
    <t>TEST</t>
  </si>
  <si>
    <t xml:space="preserve">1. (09-10-2019 12:47:32)
SAMPLE FOR PHOTO SHOOT
NOTE TO USE ROYAL STONE GREY ONLY FOR PHOTOSHOOT SAMPLE, NOT FOR MASS PRODUCTION (TO FOLLOW ARTICLE DESCRIPTION TS)
</t>
  </si>
  <si>
    <t>APO-04-VHU; APO-05-VHU</t>
  </si>
  <si>
    <t>1 ISSUED- Code: 20191009/APO/910104/00000606/001</t>
  </si>
  <si>
    <t>20191009/APO/910104/00000606/001</t>
  </si>
  <si>
    <t>d/16102019/5264e31e1ef44fe4a004e76754ac00c0.jpg</t>
  </si>
  <si>
    <t>2019-10-27</t>
  </si>
  <si>
    <t>GUAVA CORNER SET</t>
  </si>
  <si>
    <t>STANDAARD</t>
  </si>
  <si>
    <t>ANTHRACITE COFFEE</t>
  </si>
  <si>
    <t>2019-10-30</t>
  </si>
  <si>
    <t>SHOWROOM HCM</t>
  </si>
  <si>
    <t>3 ISSUED- Code: 20191016/COF/000902/00000608/003</t>
  </si>
  <si>
    <t>20191016/COF/000902/00000608/003</t>
  </si>
  <si>
    <t>0/16102019/4af01dff9e2241fe9de19184efd27e34.jpg</t>
  </si>
  <si>
    <t>4 STITCHING</t>
  </si>
  <si>
    <t>ROYAL ANTHRACITE 180GR (776)</t>
  </si>
  <si>
    <t>3/25102019/af4d1b2869eb4c999169606699b14298.jpg</t>
  </si>
  <si>
    <t>2 ISSUED- Code: 20191016/PAL/000902/00000608/002</t>
  </si>
  <si>
    <t>20191016/PAL/000902/00000608/002</t>
  </si>
  <si>
    <t>0/16102019/29123069224e45ec9543ba01b9d5e5db.jpg</t>
  </si>
  <si>
    <t>POWDERCOATED BLACK LEGS</t>
  </si>
  <si>
    <t xml:space="preserve">1. DAVE VAN DER LINDEN(16-10-2019 17:02:38)
MAKE ADJUSTMENTS AFTER CLIENT MEETING, SEE ALSO UPDATED TD
Change base LIKE Brisbane chair 1084, Back leg chair 35,5 cm
Seat cushion shape without 2 horizontal line
and thickness as left picture but sewing
double line as black cushion in right picture
Fabric must be royal blended black 240gr
</t>
  </si>
  <si>
    <t>1 ISSUED- Code: 20191016/PAL/000902/00000608/001</t>
  </si>
  <si>
    <t>20191016/PAL/000902/00000608/001</t>
  </si>
  <si>
    <t>d/07112019/26ee63dd234b4a87978f26af4116bfd1.jpg</t>
  </si>
  <si>
    <t>2019-10-31</t>
  </si>
  <si>
    <t>BARBADOS LOUNGE CORNER SET 3PCS (LEFT ARM, RIGHT ARM, TABLE 83X83X24CM)</t>
  </si>
  <si>
    <t xml:space="preserve">1. PEPIJN VAN DEN BRINK(17-10-2019 14:41:05)
*TAKE 1 SET FROM PRODUCTION (42594) - ID 1206
*FACTORY ALLOWED TO SHORTSHIP 1 SET
</t>
  </si>
  <si>
    <t>2019-11-01</t>
  </si>
  <si>
    <t>AVT SHOWROOM / ROOFTOP</t>
  </si>
  <si>
    <t>AVT SHOWROOM REPLENISHMENT</t>
  </si>
  <si>
    <t>1 ISSUED- Code: 20191017/PAL/000002/00000609/001</t>
  </si>
  <si>
    <t>20191017/PAL/000002/00000609/001</t>
  </si>
  <si>
    <t xml:space="preserve">1. (17-10-2019 16:59:56)
*PLEASE PRODUCE 1 SET AS PER COLORS CATALOGUE
</t>
  </si>
  <si>
    <t>b/01112019/af21d27f61e045829819dd4a4172eac4.jpg</t>
  </si>
  <si>
    <t>11 FINISHED- Code: 20191017/BIG/000002/00000609/011</t>
  </si>
  <si>
    <t>20191017/BIG/000002/00000609/011</t>
  </si>
  <si>
    <t>CERVO LOUNGE SET (2X CHAIR, 3 SEATER BENCH, TABLE 100X100X51CM)</t>
  </si>
  <si>
    <t>BROWN (705)</t>
  </si>
  <si>
    <t>SERVAL ANTHRACITE OLEFIN 370 (DENSITY 28)</t>
  </si>
  <si>
    <t xml:space="preserve">1. (17-10-2019 16:56:27)
*PLEASE PRODUCE 1 SET WITH SET COLORS
</t>
  </si>
  <si>
    <t>d/01112019/24029e3894bb4273b45480865bb266ae.jpg</t>
  </si>
  <si>
    <t>10 FINISHED- Code: 20191017/BIG/000002/00000609/010</t>
  </si>
  <si>
    <t>20191017/BIG/000002/00000609/010</t>
  </si>
  <si>
    <t xml:space="preserve">1. (17-10-2019 16:24:11)
*TAKE ONE SET FROM PRODUCTION 43891 - ID 784 
* FACTORY ALLOWED TO SHORTSHIP 1 SET
</t>
  </si>
  <si>
    <t>8/28102019/01d73492e29c4bb5abfea23cbbe86480.jpg</t>
  </si>
  <si>
    <t>4 FINISHED- Code: 20191017/DAN/000002/00000609/004</t>
  </si>
  <si>
    <t>20191017/DAN/000002/00000609/004</t>
  </si>
  <si>
    <t>7/19082019/190e26e56fc0457e85ec15816510989e.jpg</t>
  </si>
  <si>
    <t>KENT LOUNGE CORNER SET 6PCS (944)</t>
  </si>
  <si>
    <t xml:space="preserve">1. (17-10-2019 17:18:32)
*TAKE ONE SET FROM PRODUCTION 42841 - ID 944
*FACTORY ALLOWED TO SHORTSHIP 1 SET
</t>
  </si>
  <si>
    <t>e/31102019/23e1774138e840fca544166110dfe873.jpg</t>
  </si>
  <si>
    <t>15 ISSUED- Code: 20191017/TEC/000002/00000609/015</t>
  </si>
  <si>
    <t>20191017/TEC/000002/00000609/015</t>
  </si>
  <si>
    <t>e/10102018/064f2fd0b1424203bac1d742d07e1659.jpg</t>
  </si>
  <si>
    <t>LAS PALMAS LOUNGE CHAIR</t>
  </si>
  <si>
    <t>serval anthracite</t>
  </si>
  <si>
    <t xml:space="preserve">1. (17-10-2019 17:03:27)
*TAKE ONE FRAME FROM PRODUCTION 43083 - ID 1227, APPLY WICKER &amp; FABRIC COLOR AS PER SAMPLE REQUEST
*FACTORY ALLOWED TO SHORTSHIP 1 CHAIR
</t>
  </si>
  <si>
    <t>e/01112019/f2c42e6da7b5474cb95c69ab780c2faf.jpg</t>
  </si>
  <si>
    <t>12 FINISHED- Code: 20191017/BIG/000002/00000609/012</t>
  </si>
  <si>
    <t>20191017/BIG/000002/00000609/012</t>
  </si>
  <si>
    <t xml:space="preserve">1. (17-10-2019 17:12:33)
*PLEASE RETURN THE SAMPLES THAT WERE SENT FOR COPYING
</t>
  </si>
  <si>
    <t>13 ISSUED- Code: 20191017/ZWE/000002/00000609/013</t>
  </si>
  <si>
    <t>20191017/ZWE/000002/00000609/013</t>
  </si>
  <si>
    <t>3/14092017/3a27bd6bbc8449c1a176bd27d0b7622c.jpg</t>
  </si>
  <si>
    <t>MELBOURNE DINING BENCH 180X40X46CM</t>
  </si>
  <si>
    <t xml:space="preserve">1. (17-10-2019 15:57:10)
*TAKE BENCH FROM PROUCTION 42572 - ID 1485 
* FACTORY ALLOWED TO SHORTHIP 1 BENCH
</t>
  </si>
  <si>
    <t>6/04112019/baed8059a42a47b28e3dd5f2d9c8fb75.jpg</t>
  </si>
  <si>
    <t>3 FINISHED- Code: 20191017/ROS/000002/00000609/003</t>
  </si>
  <si>
    <t>20191017/ROS/000002/00000609/003</t>
  </si>
  <si>
    <t>4/14092017/02f0b9cc360e4004b6c3b4b5b2fa8757.jpg</t>
  </si>
  <si>
    <t>MELBOURNE DINING TABLE 210X100X78CM</t>
  </si>
  <si>
    <t xml:space="preserve">1. (17-10-2019 15:49:39)
#TAKE ONE TABLE FROM PRODUCTION 42572 - ID 1485 
*FACTORY ALLOWED TO SHORTHIP 1 TABLE
</t>
  </si>
  <si>
    <t>d/04112019/ff4541545b9f4c3e8fb49fc7e4591aa6.jpg</t>
  </si>
  <si>
    <t>2 FINISHED- Code: 20191017/ROS/000002/00000609/002</t>
  </si>
  <si>
    <t>20191017/ROS/000002/00000609/002</t>
  </si>
  <si>
    <t xml:space="preserve">1. (17-10-2019 16:37:38)
*TAKE ONE TABLE FROM PRODUCTION 43892 - ID 984
* FACTORY ALLOWED TO SHORTSHIP 1 TABLE
</t>
  </si>
  <si>
    <t>a/28102019/c495ef18a5624aabbb8575d8d4bc9f97.jpg</t>
  </si>
  <si>
    <t>6 FINISHED- Code: 20191017/DAN/000002/00000609/006</t>
  </si>
  <si>
    <t>20191017/DAN/000002/00000609/006</t>
  </si>
  <si>
    <t xml:space="preserve">1. (17-10-2019 16:37:38)
*TAKE ONE TABLE FROM PRODUCTION 43892 - ID 984
*FACTORY ALLOWED TO SHORTSHIP ONE TABLE
</t>
  </si>
  <si>
    <t>2/28102019/8213cd29cfbb4df2bfa1f24c738c248e.jpg</t>
  </si>
  <si>
    <t>7 FINISHED- Code: 20191017/DAN/000002/00000609/007</t>
  </si>
  <si>
    <t>20191017/DAN/000002/00000609/007</t>
  </si>
  <si>
    <t xml:space="preserve">1. (17-10-2019 16:44:14)
*TAKE TWO CHAIRS FROM PRODUCTION 43001 - ID 1263
*FACTORY ALLOWED TO SHORTSHIP 2 CHAIRS
</t>
  </si>
  <si>
    <t>8 ISSUED- Code: 20191017/ROS/000002/00000609/008</t>
  </si>
  <si>
    <t>20191017/ROS/000002/00000609/008</t>
  </si>
  <si>
    <t xml:space="preserve">1. (17-10-2019 17:12:33)
*PLEASE RETURN SAMPLES THAT WERE SENT FOR COPYING
</t>
  </si>
  <si>
    <t>14 ISSUED- Code: 20191017/ZWE/000002/00000609/014</t>
  </si>
  <si>
    <t>20191017/ZWE/000002/00000609/014</t>
  </si>
  <si>
    <t>NATURAL LOOK</t>
  </si>
  <si>
    <t xml:space="preserve">1. (17-10-2019 16:28:04)
*TAKE ONE TABLE FROM PRODUCTION 42500OP - CLIENT 328
*FACTORY ALLOWED TO SHORTSHIP 1 TABLE
</t>
  </si>
  <si>
    <t>e/01112019/e8e9782a6d274ce4b5e840110da8f3c0.jpg</t>
  </si>
  <si>
    <t>5 FINISHED- Code: 20191017/APH/000002/00000609/005</t>
  </si>
  <si>
    <t>20191017/APH/000002/00000609/005</t>
  </si>
  <si>
    <t xml:space="preserve">1. (17-10-2019 16:47:12)
*PLEASE PRODUCE 2 CHAIRS AS PER CATAGLOUE
</t>
  </si>
  <si>
    <t>a/01112019/c6b0a5842a33445884fe9cf7e29d8309.jpg</t>
  </si>
  <si>
    <t>9 FINISHED- Code: 20191017/BIG/000002/00000609/009</t>
  </si>
  <si>
    <t>20191017/BIG/000002/00000609/009</t>
  </si>
  <si>
    <t>e/11042019/53b42c5f60b14147924113f4f1eecabd.jpg</t>
  </si>
  <si>
    <t>2019-11-07</t>
  </si>
  <si>
    <t xml:space="preserve">1. Ngo Duy Hung(22-10-2019 13:54:53)
MAKE SAME AS SET FOR 1262
</t>
  </si>
  <si>
    <t>e/28102019/fc4026a948fc4e7990f35b3c238eab2c.jpg</t>
  </si>
  <si>
    <t>4 FINISHED- Code: 20191022/DAN/001052/00000611/004</t>
  </si>
  <si>
    <t>20191022/DAN/001052/00000611/004</t>
  </si>
  <si>
    <t>SERVAL LIGHT BROWN OLEFIN 370</t>
  </si>
  <si>
    <t>2/25102019/7222c9aff8154abcb8bfdc17ada5e2e1.jpg</t>
  </si>
  <si>
    <t>1 ISSUED- Code: 20191018/PAL/001052/00000611/001</t>
  </si>
  <si>
    <t>20191018/PAL/001052/00000611/001</t>
  </si>
  <si>
    <t>c/25102019/57d2d80cb12f451d8c413e8dbcf5bc79.jpg</t>
  </si>
  <si>
    <t>2 ISSUED- Code: 20191018/PAL/001052/00000611/002</t>
  </si>
  <si>
    <t>20191018/PAL/001052/00000611/002</t>
  </si>
  <si>
    <t>0/18102019/5f5d9c38edc6404c92dbd92af8f0ed1a.jpg</t>
  </si>
  <si>
    <t>SERRANO LOUNGE TABLE (1200)</t>
  </si>
  <si>
    <t xml:space="preserve">1. Ngo Duy Hung(18-10-2019 05:39:01)
PLEASE MAKE WICKER COVER FRAME OF LEG
</t>
  </si>
  <si>
    <t>3/25102019/4af24e484f724a2b9c531e9cec1732b0.jpg</t>
  </si>
  <si>
    <t>3 ISSUED- Code: 20191018/PAL/001052/00000611/003</t>
  </si>
  <si>
    <t>20191018/PAL/001052/00000611/003</t>
  </si>
  <si>
    <t>6/25102019/eb4d5c546f8349b2b4e6c1fb0a403624.jpg</t>
  </si>
  <si>
    <t>MANOA DINING CHAIR</t>
  </si>
  <si>
    <t xml:space="preserve">1. Robbert de Leijser(25-10-2019 17:10:27)
USE HONOLULU BASKET.
ADD 1 HORIZONTAL TUBE.
USE 1200 CROSS LEGS LIKE VILLAGIO CHAIR.
</t>
  </si>
  <si>
    <t>2019-11-30</t>
  </si>
  <si>
    <t>AT CLIENTS</t>
  </si>
  <si>
    <t>1 CREATED- Code: 20191025/XXX/001200/00000613/001</t>
  </si>
  <si>
    <t>20191025/XXX/001200/00000613/001</t>
  </si>
  <si>
    <t>6/31102019/059cdb3c48094344bc509bd64813e683.jpg</t>
  </si>
  <si>
    <t>2019-11-05</t>
  </si>
  <si>
    <t>Arcadia lounge corner set</t>
  </si>
  <si>
    <t>flat 10mm</t>
  </si>
  <si>
    <t>kobo grey &amp; light bamboo</t>
  </si>
  <si>
    <t>Alu frame</t>
  </si>
  <si>
    <t>royal ribbon ecru</t>
  </si>
  <si>
    <t>7/05112019/ef69f71667ba49c8a2d9ecb0c56b17d3.jpg</t>
  </si>
  <si>
    <t>HANGZHOU HAILIANG FURNITURE CO.,LTD</t>
  </si>
  <si>
    <t>1 ISSUED- Code: 20191031/PAL/909589/00000616/001</t>
  </si>
  <si>
    <t>20191031/PAL/909589/00000616/001</t>
  </si>
  <si>
    <t>3/01112019/662c70a056db4306903a8a8122a3778d.jpg</t>
  </si>
  <si>
    <t>Bistro set</t>
  </si>
  <si>
    <t>Anthracite</t>
  </si>
  <si>
    <t>None</t>
  </si>
  <si>
    <t>Off white 240</t>
  </si>
  <si>
    <t>4 CREATED- Code: 20191101/PAL/909589/00000616/004</t>
  </si>
  <si>
    <t>20191101/PAL/909589/00000616/004</t>
  </si>
  <si>
    <t>e/01112019/1fd5ff96f3264a8399319cf5105751eb.jpg</t>
  </si>
  <si>
    <t>Bistro set with cushion in basket</t>
  </si>
  <si>
    <t>5 CREATED- Code: 20191101/PAL/909589/00000616/005</t>
  </si>
  <si>
    <t>20191101/PAL/909589/00000616/005</t>
  </si>
  <si>
    <t>c/01112019/ad81ba584aa64d4a96ea704e493fdd5b.jpg</t>
  </si>
  <si>
    <t>Loveseat lounge set</t>
  </si>
  <si>
    <t>HR 7mm</t>
  </si>
  <si>
    <t>3 CREATED- Code: 20191101/PAL/909589/00000616/003</t>
  </si>
  <si>
    <t>20191101/PAL/909589/00000616/003</t>
  </si>
  <si>
    <t>4/01112019/1ad111c393804e57b5efb879a1dd8d29.jpg</t>
  </si>
  <si>
    <t>Sectional</t>
  </si>
  <si>
    <t>Royal ribbon ecru</t>
  </si>
  <si>
    <t>2 CREATED- Code: 20191101/PAL/909589/00000616/002</t>
  </si>
  <si>
    <t>20191101/PAL/909589/00000616/002</t>
  </si>
  <si>
    <t>7/01082019/79fda502b2984af1a3dea3cc6465f37d.jpg</t>
  </si>
  <si>
    <t>2019-11-18</t>
  </si>
  <si>
    <t>BERGEN DINING CHAIR</t>
  </si>
  <si>
    <t>AN VIET THINH</t>
  </si>
  <si>
    <t>5 ISSUED- Code: 20191031/TEC/001591/00000617/005</t>
  </si>
  <si>
    <t>20191031/TEC/001591/00000617/005</t>
  </si>
  <si>
    <t>5/31102019/c5d9ca4c0dcb43bb9c6d5495bafb96e0.jpg</t>
  </si>
  <si>
    <t>CERVO LOUNGE SET (2X CHAIR, 3 SEATER BENCH, TABLE 120X70X51CM)</t>
  </si>
  <si>
    <t xml:space="preserve">1. Ngo Duy Hung(31-10-2019 09:10:58)
- CUSHION SOFTNESS SAME AS HARBY CUSHION
- COFFEE TABLE WITH TRANSPARENT GLASS TOP SIZE 120X70CM
</t>
  </si>
  <si>
    <t>1 ISSUED- Code: 20191031/APO/001591/00000617/001</t>
  </si>
  <si>
    <t>20191031/APO/001591/00000617/001</t>
  </si>
  <si>
    <t>0/09082019/eb4a829f1f84423989603d6ca5df534b.jpg</t>
  </si>
  <si>
    <t>DA VINCI LOUNGE SET 4PCS (2X CHAIR, BENCH, TABLE 120X60X33CM)</t>
  </si>
  <si>
    <t xml:space="preserve">1. Ngo Duy Hung(31-10-2019 09:37:31)
CUSHION SOFTNESS SAME AS HARBY CUSHION
</t>
  </si>
  <si>
    <t>2 ISSUED- Code: 20191031/PAL/001591/00000617/002</t>
  </si>
  <si>
    <t>20191031/PAL/001591/00000617/002</t>
  </si>
  <si>
    <t>1/09082019/ddd09bdacb964f999c38d9cd14bd4fc3.jpg</t>
  </si>
  <si>
    <t>DANAO LOUNGE TABLE 60X60X33</t>
  </si>
  <si>
    <t>7 ISSUED- Code: 20191031/BIG/001591/00000617/007</t>
  </si>
  <si>
    <t>20191031/BIG/001591/00000617/007</t>
  </si>
  <si>
    <t>HELSINKI LOUNGE SET 4PCS (2X CHAIR, BENCH 174CM, TABLE 80X80X28CM)</t>
  </si>
  <si>
    <t xml:space="preserve">1. Ngo Duy Hung(31-10-2019 09:55:26)
CUSHION SOFTNESS AS HARBY CUSHION
</t>
  </si>
  <si>
    <t>4 ISSUED- Code: 20191031/ROS/001591/00000617/004</t>
  </si>
  <si>
    <t>20191031/ROS/001591/00000617/004</t>
  </si>
  <si>
    <t>5/09082019/f22d172c63aa49818dc5c4950785cd31.jpg</t>
  </si>
  <si>
    <t>8 ISSUED- Code: 20191031/BIG/001591/00000617/008</t>
  </si>
  <si>
    <t>20191031/BIG/001591/00000617/008</t>
  </si>
  <si>
    <t>f/01082019/cbf002aec5154dc5bc5ec78879100500.jpg</t>
  </si>
  <si>
    <t>PANAY ROUND DINING TABLE 80X80X78CM</t>
  </si>
  <si>
    <t>6 ISSUED- Code: 20191031/TEC/001591/00000617/006</t>
  </si>
  <si>
    <t>20191031/TEC/001591/00000617/006</t>
  </si>
  <si>
    <t>7/19122018/5fab0a2b84fb44ce81187c5581280de7.jpg</t>
  </si>
  <si>
    <t>YORKSHIRE LOUNGE SET 4 PCS (2X CHAIR, 1X BENCH 182CM, 1X LOUNGE TABLE 112X82X35CM)</t>
  </si>
  <si>
    <t>3 ISSUED- Code: 20191031/APO/001591/00000617/003</t>
  </si>
  <si>
    <t>20191031/APO/001591/00000617/003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</si>
</sst>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6">
    <font>
      <sz val="11"/>
      <color theme="1"/>
      <name val="Calibri"/>
      <family val="2"/>
      <scheme val="minor"/>
    </font>
    <font>
      <sz val="10"/>
      <color theme="1"/>
      <name val="Arial"/>
      <family val="2"/>
    </font>
    <font>
      <b/>
      <sz val="10"/>
      <color theme="1"/>
      <name val="Arial"/>
      <family val="2"/>
    </font>
    <font>
      <b/>
      <sz val="14"/>
      <color theme="1"/>
      <name val="Arial"/>
      <family val="2"/>
    </font>
    <font>
      <b/>
      <sz val="12"/>
      <color theme="1"/>
      <name val="Arial"/>
      <family val="2"/>
    </font>
    <font>
      <b/>
      <sz val="10"/>
      <color rgb="FFFF0000"/>
      <name val="Arial"/>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s>
  <cellStyleXfs count="1">
    <xf numFmtId="0" fontId="0" fillId="0" borderId="0"/>
  </cellStyleXfs>
  <cellXfs count="19">
    <xf numFmtId="0" applyNumberFormat="1" fontId="0" applyFont="1" fillId="0" applyFill="1" borderId="0" applyBorder="1" xfId="0"/>
    <xf numFmtId="0" applyNumberFormat="1" fontId="1" applyFont="1" fillId="0" applyFill="1" borderId="0" applyBorder="1" xfId="0"/>
    <xf numFmtId="0" applyNumberFormat="1" fontId="1" applyFont="1" fillId="0" applyFill="1" borderId="1" applyBorder="1" xfId="0"/>
    <xf numFmtId="0" applyNumberFormat="1" fontId="3" applyFont="1" fillId="0" applyFill="1" borderId="0" applyBorder="1" xfId="0"/>
    <xf numFmtId="0" applyNumberFormat="1" fontId="1" applyFont="1" fillId="0" applyFill="1" borderId="1" applyBorder="1" xfId="0">
      <alignment vertical="top" wrapText="1"/>
    </xf>
    <xf numFmtId="0" applyNumberFormat="1" fontId="4" applyFont="1" fillId="0" applyFill="1" borderId="0" applyBorder="1" xfId="0"/>
    <xf numFmtId="0" applyNumberFormat="1" fontId="1" applyFont="1" fillId="0" applyFill="1" borderId="1" applyBorder="1" xfId="0">
      <alignment horizontal="left" vertical="top" wrapText="1"/>
    </xf>
    <xf numFmtId="0" applyNumberFormat="1" fontId="1" applyFont="1" fillId="0" applyFill="1" borderId="1" applyBorder="1" xfId="0">
      <alignment horizontal="center" vertical="top" wrapText="1"/>
    </xf>
    <xf numFmtId="14" applyNumberFormat="1" fontId="1" applyFont="1" fillId="0" applyFill="1" borderId="1" applyBorder="1" xfId="0">
      <alignment horizontal="center" vertical="top" wrapText="1"/>
    </xf>
    <xf numFmtId="0" applyNumberFormat="1" fontId="1" applyFont="1" fillId="0" applyFill="1" borderId="1" applyBorder="1" xfId="0">
      <alignment horizontal="left" vertical="top"/>
    </xf>
    <xf numFmtId="0" applyNumberFormat="1" fontId="3" applyFont="1" fillId="0" applyFill="1" borderId="4" applyBorder="1" xfId="0">
      <alignment horizontal="center"/>
    </xf>
    <xf numFmtId="0" applyNumberFormat="1" fontId="2" applyFont="1" fillId="2" applyFill="1" borderId="2" applyBorder="1" xfId="0">
      <alignment horizontal="center" vertical="center" wrapText="1"/>
    </xf>
    <xf numFmtId="0" applyNumberFormat="1" fontId="2" applyFont="1" fillId="2" applyFill="1" borderId="3" applyBorder="1" xfId="0">
      <alignment horizontal="center" vertical="center" wrapText="1"/>
    </xf>
    <xf numFmtId="0" applyNumberFormat="1" fontId="5" applyFont="1" fillId="5" applyFill="1" borderId="2" applyBorder="1" xfId="0">
      <alignment horizontal="center" vertical="center" wrapText="1"/>
    </xf>
    <xf numFmtId="0" applyNumberFormat="1" fontId="5" applyFont="1" fillId="5" applyFill="1" borderId="3" applyBorder="1" xfId="0">
      <alignment horizontal="center" vertical="center" wrapText="1"/>
    </xf>
    <xf numFmtId="0" applyNumberFormat="1" fontId="2" applyFont="1" fillId="2" applyFill="1" borderId="1" applyBorder="1" xfId="0">
      <alignment horizontal="center" vertical="center" wrapText="1"/>
    </xf>
    <xf numFmtId="0" applyNumberFormat="1" fontId="5" applyFont="1" fillId="3" applyFill="1" borderId="2" applyBorder="1" xfId="0">
      <alignment horizontal="center" vertical="center" wrapText="1"/>
    </xf>
    <xf numFmtId="0" applyNumberFormat="1" fontId="5" applyFont="1" fillId="3" applyFill="1" borderId="3" applyBorder="1" xfId="0">
      <alignment horizontal="center" vertical="center" wrapText="1"/>
    </xf>
    <xf numFmtId="0" applyNumberFormat="1" fontId="2" applyFont="1" fillId="4" applyFill="1" borderId="1" applyBorder="1" xfId="0">
      <alignment horizontal="center" vertical="center" wrapText="1"/>
    </xf>
  </cellXfs>
  <cellStyles count="1">
    <cellStyle name="Normal" xfId="0" builtinId="0"/>
  </cellStyles>
  <dxfs count="0"/>
  <tableStyles count="0" defaultTableStyle="TableStyleMedium2" defaultPivotStyle="PivotStyleMedium9"/>
  <colors>
    <mruColors>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0" Type="http://schemas.openxmlformats.org/officeDocument/2006/relationships/sharedStrings" Target="sharedStrings.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K1738"/>
  <sheetViews>
    <sheetView workbookViewId="0">
      <selection activeCell="AV2" sqref="AV2"/>
    </sheetView>
  </sheetViews>
  <sheetFormatPr defaultRowHeight="15" x14ac:dyDescent="0.25"/>
  <cols>
    <col min="1" max="1" bestFit="1" width="16.42578125" customWidth="1"/>
    <col min="2" max="2" bestFit="1" width="49.85546875" customWidth="1"/>
    <col min="3" max="3" bestFit="1" width="50.85546875" customWidth="1"/>
    <col min="4" max="4" width="50.7109375" customWidth="1"/>
    <col min="5" max="5" bestFit="1" width="49.28515625" customWidth="1"/>
    <col min="6" max="6" bestFit="1" width="49.42578125" customWidth="1"/>
    <col min="7" max="7" width="50.7109375" customWidth="1"/>
    <col min="8" max="8" bestFit="1" width="50" customWidth="1"/>
    <col min="9" max="9" bestFit="1" width="50.140625" customWidth="1"/>
    <col min="10" max="12" width="50.7109375" customWidth="1"/>
    <col min="13" max="13" bestFit="1" width="15.42578125" customWidth="1"/>
    <col min="14" max="14" bestFit="1" width="8.85546875" customWidth="1"/>
    <col min="15" max="15" bestFit="1" width="43.140625" customWidth="1"/>
    <col min="16" max="16" bestFit="1" width="13.28515625" customWidth="1"/>
    <col min="17" max="18" bestFit="1" width="23.42578125" customWidth="1"/>
    <col min="19" max="19" bestFit="1" width="9.28515625" customWidth="1"/>
    <col min="20" max="20" width="50.7109375" customWidth="1"/>
    <col min="21" max="21" bestFit="1" width="8.7109375" customWidth="1"/>
    <col min="22" max="22" bestFit="1" width="21.85546875" customWidth="1"/>
    <col min="23" max="23" bestFit="1" width="22.28515625" customWidth="1"/>
    <col min="24" max="24" bestFit="1" width="18" customWidth="1"/>
    <col min="25" max="25" bestFit="1" width="28" customWidth="1"/>
    <col min="26" max="26" bestFit="1" width="18.42578125" customWidth="1"/>
    <col min="27" max="27" bestFit="1" width="25.140625" customWidth="1"/>
    <col min="28" max="28" bestFit="1" width="53" customWidth="1"/>
    <col min="29" max="29" bestFit="1" width="32.28515625" customWidth="1"/>
    <col min="30" max="30" bestFit="1" width="28.7109375" customWidth="1"/>
    <col min="31" max="31" bestFit="1" width="15.28515625" customWidth="1"/>
    <col min="32" max="32" bestFit="1" width="21.140625" customWidth="1"/>
    <col min="33" max="33" bestFit="1" width="25" customWidth="1"/>
    <col min="34" max="34" bestFit="1" width="14.7109375" customWidth="1"/>
    <col min="35" max="35" bestFit="1" width="14.28515625" customWidth="1"/>
    <col min="36" max="36" bestFit="1" width="15.7109375" customWidth="1"/>
    <col min="37" max="37" bestFit="1" width="18.140625" customWidth="1"/>
    <col min="38" max="38" bestFit="1" width="15.5703125" customWidth="1"/>
    <col min="39" max="39" bestFit="1" width="11.85546875" customWidth="1"/>
    <col min="40" max="40" bestFit="1" width="12.28515625" customWidth="1"/>
    <col min="41" max="43" bestFit="1" width="15.5703125" customWidth="1"/>
    <col min="44" max="44" bestFit="1" width="14.7109375" customWidth="1"/>
    <col min="45" max="45" bestFit="1" width="15.7109375" customWidth="1"/>
    <col min="46" max="46" bestFit="1" width="15.140625" customWidth="1"/>
    <col min="47" max="47" bestFit="1" width="10.140625" customWidth="1"/>
    <col min="48" max="48" width="24.140625" customWidth="1"/>
    <col min="49" max="49" bestFit="1" width="21.5703125" customWidth="1"/>
    <col min="50" max="50" bestFit="1" width="21" customWidth="1"/>
    <col min="51" max="51" bestFit="1" width="14.7109375" customWidth="1"/>
    <col min="52" max="52" bestFit="1" width="22.140625" customWidth="1"/>
  </cols>
  <sheetData>
    <row r="1">
      <c r="A1" s="0" t="s">
        <v>233</v>
      </c>
      <c r="B1" s="0" t="s">
        <v>234</v>
      </c>
      <c r="C1" s="0" t="s">
        <v>235</v>
      </c>
      <c r="D1" s="0" t="s">
        <v>4</v>
      </c>
      <c r="E1" s="0" t="s">
        <v>236</v>
      </c>
      <c r="F1" s="0" t="s">
        <v>237</v>
      </c>
      <c r="G1" s="0" t="s">
        <v>238</v>
      </c>
      <c r="H1" s="0" t="s">
        <v>239</v>
      </c>
      <c r="I1" s="0" t="s">
        <v>240</v>
      </c>
      <c r="J1" s="0" t="s">
        <v>241</v>
      </c>
      <c r="K1" s="0" t="s">
        <v>242</v>
      </c>
      <c r="L1" s="0" t="s">
        <v>243</v>
      </c>
      <c r="M1" s="0" t="s">
        <v>244</v>
      </c>
      <c r="N1" s="0" t="s">
        <v>245</v>
      </c>
      <c r="O1" s="0" t="s">
        <v>246</v>
      </c>
      <c r="P1" s="0" t="s">
        <v>247</v>
      </c>
      <c r="Q1" s="0" t="s">
        <v>248</v>
      </c>
      <c r="R1" s="0" t="s">
        <v>249</v>
      </c>
      <c r="S1" s="0" t="s">
        <v>250</v>
      </c>
      <c r="T1" s="0" t="s">
        <v>251</v>
      </c>
      <c r="U1" s="0" t="s">
        <v>252</v>
      </c>
      <c r="V1" s="0" t="s">
        <v>253</v>
      </c>
      <c r="W1" s="0" t="s">
        <v>254</v>
      </c>
      <c r="X1" s="0" t="s">
        <v>255</v>
      </c>
      <c r="Y1" s="0" t="s">
        <v>34</v>
      </c>
      <c r="Z1" s="0" t="s">
        <v>256</v>
      </c>
      <c r="AA1" s="0" t="s">
        <v>33</v>
      </c>
      <c r="AB1" s="0" t="s">
        <v>257</v>
      </c>
      <c r="AC1" s="0" t="s">
        <v>258</v>
      </c>
      <c r="AD1" s="0" t="s">
        <v>30</v>
      </c>
      <c r="AE1" s="0" t="s">
        <v>31</v>
      </c>
      <c r="AF1" s="0" t="s">
        <v>259</v>
      </c>
      <c r="AG1" s="0" t="s">
        <v>260</v>
      </c>
      <c r="AH1" s="0" t="s">
        <v>261</v>
      </c>
      <c r="AI1" s="0" t="s">
        <v>262</v>
      </c>
      <c r="AJ1" s="0" t="s">
        <v>263</v>
      </c>
      <c r="AK1" s="0" t="s">
        <v>264</v>
      </c>
      <c r="AL1" s="0" t="s">
        <v>265</v>
      </c>
      <c r="AM1" s="0" t="s">
        <v>266</v>
      </c>
      <c r="AN1" s="0" t="s">
        <v>267</v>
      </c>
      <c r="AO1" s="0" t="s">
        <v>268</v>
      </c>
      <c r="AP1" s="0" t="s">
        <v>269</v>
      </c>
      <c r="AQ1" s="0" t="s">
        <v>270</v>
      </c>
      <c r="AR1" s="0" t="s">
        <v>271</v>
      </c>
      <c r="AS1" s="0" t="s">
        <v>272</v>
      </c>
      <c r="AT1" s="0" t="s">
        <v>273</v>
      </c>
      <c r="AU1" s="0" t="s">
        <v>274</v>
      </c>
      <c r="AV1" s="0" t="s">
        <v>275</v>
      </c>
      <c r="AW1" s="0" t="s">
        <v>276</v>
      </c>
      <c r="AX1" s="0" t="s">
        <v>277</v>
      </c>
      <c r="AY1" s="0" t="s">
        <v>278</v>
      </c>
      <c r="AZ1" s="0" t="s">
        <v>279</v>
      </c>
      <c r="BA1" s="0" t="s">
        <v>32</v>
      </c>
      <c r="BB1" s="0" t="s">
        <v>231</v>
      </c>
      <c r="BC1" s="0" t="s">
        <v>280</v>
      </c>
      <c r="BD1" s="0" t="s">
        <v>281</v>
      </c>
      <c r="BE1" s="0" t="s">
        <v>282</v>
      </c>
      <c r="BF1" s="0" t="s">
        <v>283</v>
      </c>
      <c r="BG1" s="0" t="s">
        <v>284</v>
      </c>
      <c r="BH1" s="0" t="s">
        <v>285</v>
      </c>
      <c r="BI1" s="0" t="s">
        <v>286</v>
      </c>
      <c r="BJ1" s="0" t="s">
        <v>287</v>
      </c>
      <c r="BK1" s="0" t="s">
        <v>288</v>
      </c>
    </row>
    <row r="2">
      <c r="A2" s="0">
        <v>4455</v>
      </c>
      <c r="B2" s="0" t="s">
        <v>289</v>
      </c>
      <c r="C2" s="0" t="s">
        <v>290</v>
      </c>
      <c r="D2" s="0" t="s">
        <v>291</v>
      </c>
      <c r="E2" s="0" t="s">
        <v>292</v>
      </c>
      <c r="F2" s="0">
        <v>1</v>
      </c>
      <c r="G2" s="0" t="s">
        <v>293</v>
      </c>
      <c r="H2" s="0" t="s">
        <v>294</v>
      </c>
      <c r="I2" s="0" t="s">
        <v>295</v>
      </c>
      <c r="T2" s="0" t="s">
        <v>296</v>
      </c>
      <c r="U2" s="0" t="s">
        <v>297</v>
      </c>
      <c r="W2" s="0" t="s">
        <v>291</v>
      </c>
      <c r="X2" s="0" t="s">
        <v>298</v>
      </c>
      <c r="Y2" s="0" t="s">
        <v>195</v>
      </c>
      <c r="Z2" s="0" t="s">
        <v>299</v>
      </c>
      <c r="AA2" s="0" t="s">
        <v>204</v>
      </c>
      <c r="AB2" s="0" t="s">
        <v>300</v>
      </c>
      <c r="AF2" s="0" t="s">
        <v>301</v>
      </c>
      <c r="AM2" s="0" t="s">
        <v>302</v>
      </c>
      <c r="AN2" s="0" t="s">
        <v>303</v>
      </c>
      <c r="AO2" s="0" t="s">
        <v>304</v>
      </c>
      <c r="AP2" s="0" t="s">
        <v>305</v>
      </c>
      <c r="AQ2" s="0" t="s">
        <v>306</v>
      </c>
      <c r="AR2" s="0" t="s">
        <v>307</v>
      </c>
      <c r="AS2" s="0">
        <v>156</v>
      </c>
      <c r="AT2" s="0">
        <v>330</v>
      </c>
      <c r="AU2" s="0">
        <v>400</v>
      </c>
      <c r="AV2" s="0" t="s">
        <v>308</v>
      </c>
      <c r="AX2" s="0" t="s">
        <v>309</v>
      </c>
      <c r="AY2" s="0" t="s">
        <v>310</v>
      </c>
      <c r="AZ2" s="0" t="s">
        <v>311</v>
      </c>
      <c r="BA2" s="0">
        <v>436</v>
      </c>
      <c r="BB2" s="0" t="s">
        <v>232</v>
      </c>
      <c r="BC2" s="0">
        <v>2</v>
      </c>
      <c r="BD2" s="0">
        <v>374053</v>
      </c>
      <c r="BE2" s="0">
        <v>519081</v>
      </c>
      <c r="BF2" s="0">
        <v>5</v>
      </c>
      <c r="BG2" s="0" t="s">
        <v>312</v>
      </c>
      <c r="BI2" s="0">
        <v>2133</v>
      </c>
      <c r="BK2" s="0" t="s">
        <v>313</v>
      </c>
    </row>
    <row r="3">
      <c r="A3" s="0">
        <v>4493</v>
      </c>
      <c r="B3" s="0" t="s">
        <v>314</v>
      </c>
      <c r="C3" s="0" t="s">
        <v>315</v>
      </c>
      <c r="D3" s="0" t="s">
        <v>316</v>
      </c>
      <c r="E3" s="0" t="s">
        <v>317</v>
      </c>
      <c r="F3" s="0">
        <v>1</v>
      </c>
      <c r="G3" s="0" t="s">
        <v>318</v>
      </c>
      <c r="J3" s="0" t="s">
        <v>319</v>
      </c>
      <c r="K3" s="0" t="s">
        <v>320</v>
      </c>
      <c r="L3" s="0" t="s">
        <v>321</v>
      </c>
      <c r="M3" s="0" t="s">
        <v>293</v>
      </c>
      <c r="N3" s="0" t="s">
        <v>294</v>
      </c>
      <c r="O3" s="0" t="s">
        <v>322</v>
      </c>
      <c r="P3" s="0" t="s">
        <v>323</v>
      </c>
      <c r="Q3" s="0" t="s">
        <v>323</v>
      </c>
      <c r="R3" s="0" t="s">
        <v>324</v>
      </c>
      <c r="T3" s="0" t="s">
        <v>325</v>
      </c>
      <c r="U3" s="0" t="s">
        <v>326</v>
      </c>
      <c r="W3" s="0" t="s">
        <v>291</v>
      </c>
      <c r="X3" s="0" t="s">
        <v>298</v>
      </c>
      <c r="Y3" s="0" t="s">
        <v>195</v>
      </c>
      <c r="Z3" s="0" t="s">
        <v>299</v>
      </c>
      <c r="AA3" s="0" t="s">
        <v>204</v>
      </c>
      <c r="AB3" s="0" t="s">
        <v>300</v>
      </c>
      <c r="AF3" s="0" t="s">
        <v>301</v>
      </c>
      <c r="AM3" s="0" t="s">
        <v>327</v>
      </c>
      <c r="AN3" s="0" t="s">
        <v>328</v>
      </c>
      <c r="AO3" s="0" t="s">
        <v>329</v>
      </c>
      <c r="AP3" s="0" t="s">
        <v>305</v>
      </c>
      <c r="AQ3" s="0" t="s">
        <v>330</v>
      </c>
      <c r="AR3" s="0" t="s">
        <v>310</v>
      </c>
      <c r="AS3" s="0">
        <v>21</v>
      </c>
      <c r="AT3" s="0">
        <v>45</v>
      </c>
      <c r="AU3" s="0">
        <v>58</v>
      </c>
      <c r="AV3" s="0" t="s">
        <v>331</v>
      </c>
      <c r="AW3" s="0" t="s">
        <v>332</v>
      </c>
      <c r="AX3" s="0" t="s">
        <v>333</v>
      </c>
      <c r="AY3" s="0" t="s">
        <v>334</v>
      </c>
      <c r="AZ3" s="0" t="s">
        <v>335</v>
      </c>
      <c r="BA3" s="0">
        <v>436</v>
      </c>
      <c r="BB3" s="0" t="s">
        <v>232</v>
      </c>
      <c r="BC3" s="0">
        <v>2</v>
      </c>
      <c r="BD3" s="0">
        <v>374043</v>
      </c>
      <c r="BE3" s="0">
        <v>519081</v>
      </c>
      <c r="BF3" s="0">
        <v>5</v>
      </c>
      <c r="BG3" s="0" t="s">
        <v>336</v>
      </c>
      <c r="BI3" s="0">
        <v>3065</v>
      </c>
      <c r="BK3" s="0" t="s">
        <v>337</v>
      </c>
    </row>
    <row r="4">
      <c r="A4" s="0">
        <v>4444</v>
      </c>
      <c r="B4" s="0" t="s">
        <v>338</v>
      </c>
      <c r="C4" s="0" t="s">
        <v>339</v>
      </c>
      <c r="D4" s="0" t="s">
        <v>291</v>
      </c>
      <c r="E4" s="0" t="s">
        <v>340</v>
      </c>
      <c r="F4" s="0">
        <v>1</v>
      </c>
      <c r="G4" s="0" t="s">
        <v>319</v>
      </c>
      <c r="H4" s="0" t="s">
        <v>341</v>
      </c>
      <c r="I4" s="0" t="s">
        <v>342</v>
      </c>
      <c r="J4" s="0" t="s">
        <v>318</v>
      </c>
      <c r="P4" s="0" t="s">
        <v>323</v>
      </c>
      <c r="Q4" s="0" t="s">
        <v>343</v>
      </c>
      <c r="R4" s="0" t="s">
        <v>344</v>
      </c>
      <c r="T4" s="0" t="s">
        <v>345</v>
      </c>
      <c r="U4" s="0" t="s">
        <v>346</v>
      </c>
      <c r="W4" s="0" t="s">
        <v>291</v>
      </c>
      <c r="X4" s="0" t="s">
        <v>347</v>
      </c>
      <c r="Y4" s="0" t="s">
        <v>195</v>
      </c>
      <c r="Z4" s="0" t="s">
        <v>299</v>
      </c>
      <c r="AA4" s="0" t="s">
        <v>204</v>
      </c>
      <c r="AB4" s="0" t="s">
        <v>300</v>
      </c>
      <c r="AF4" s="0" t="s">
        <v>301</v>
      </c>
      <c r="AM4" s="0" t="s">
        <v>348</v>
      </c>
      <c r="AN4" s="0" t="s">
        <v>349</v>
      </c>
      <c r="AO4" s="0" t="s">
        <v>350</v>
      </c>
      <c r="AP4" s="0" t="s">
        <v>305</v>
      </c>
      <c r="AU4" s="0">
        <v>143</v>
      </c>
      <c r="AX4" s="0" t="s">
        <v>351</v>
      </c>
      <c r="AY4" s="0" t="s">
        <v>352</v>
      </c>
      <c r="AZ4" s="0" t="s">
        <v>353</v>
      </c>
      <c r="BA4" s="0">
        <v>436</v>
      </c>
      <c r="BB4" s="0" t="s">
        <v>232</v>
      </c>
      <c r="BC4" s="0">
        <v>2</v>
      </c>
      <c r="BD4" s="0">
        <v>8</v>
      </c>
      <c r="BE4" s="0">
        <v>519081</v>
      </c>
      <c r="BF4" s="0">
        <v>4</v>
      </c>
      <c r="BG4" s="0" t="s">
        <v>354</v>
      </c>
      <c r="BI4" s="0">
        <v>735</v>
      </c>
      <c r="BK4" s="0" t="s">
        <v>355</v>
      </c>
    </row>
    <row r="5">
      <c r="A5" s="0">
        <v>4445</v>
      </c>
      <c r="B5" s="0" t="s">
        <v>356</v>
      </c>
      <c r="C5" s="0" t="s">
        <v>290</v>
      </c>
      <c r="D5" s="0" t="s">
        <v>291</v>
      </c>
      <c r="E5" s="0" t="s">
        <v>357</v>
      </c>
      <c r="F5" s="0">
        <v>1</v>
      </c>
      <c r="G5" s="0" t="s">
        <v>358</v>
      </c>
      <c r="H5" s="0" t="s">
        <v>294</v>
      </c>
      <c r="I5" s="0" t="s">
        <v>359</v>
      </c>
      <c r="J5" s="0" t="s">
        <v>360</v>
      </c>
      <c r="K5" s="0" t="s">
        <v>361</v>
      </c>
      <c r="L5" s="0" t="s">
        <v>362</v>
      </c>
      <c r="T5" s="0" t="s">
        <v>363</v>
      </c>
      <c r="U5" s="0" t="s">
        <v>364</v>
      </c>
      <c r="W5" s="0" t="s">
        <v>291</v>
      </c>
      <c r="X5" s="0" t="s">
        <v>298</v>
      </c>
      <c r="Y5" s="0" t="s">
        <v>195</v>
      </c>
      <c r="Z5" s="0" t="s">
        <v>299</v>
      </c>
      <c r="AA5" s="0" t="s">
        <v>204</v>
      </c>
      <c r="AB5" s="0" t="s">
        <v>300</v>
      </c>
      <c r="AF5" s="0" t="s">
        <v>301</v>
      </c>
      <c r="AM5" s="0" t="s">
        <v>365</v>
      </c>
      <c r="AN5" s="0" t="s">
        <v>366</v>
      </c>
      <c r="AO5" s="0" t="s">
        <v>367</v>
      </c>
      <c r="AP5" s="0" t="s">
        <v>305</v>
      </c>
      <c r="AQ5" s="0" t="s">
        <v>368</v>
      </c>
      <c r="AR5" s="0" t="s">
        <v>369</v>
      </c>
      <c r="AS5" s="0">
        <v>190</v>
      </c>
      <c r="AT5" s="0">
        <v>410</v>
      </c>
      <c r="AU5" s="0">
        <v>500</v>
      </c>
      <c r="AV5" s="0" t="s">
        <v>332</v>
      </c>
      <c r="AW5" s="0" t="s">
        <v>370</v>
      </c>
      <c r="AX5" s="0" t="s">
        <v>371</v>
      </c>
      <c r="AY5" s="0" t="s">
        <v>372</v>
      </c>
      <c r="AZ5" s="0" t="s">
        <v>373</v>
      </c>
      <c r="BA5" s="0">
        <v>436</v>
      </c>
      <c r="BB5" s="0" t="s">
        <v>232</v>
      </c>
      <c r="BC5" s="0">
        <v>2</v>
      </c>
      <c r="BD5" s="0">
        <v>374053</v>
      </c>
      <c r="BE5" s="0">
        <v>519081</v>
      </c>
      <c r="BF5" s="0">
        <v>5</v>
      </c>
      <c r="BG5" s="0" t="s">
        <v>374</v>
      </c>
      <c r="BI5" s="0">
        <v>1070</v>
      </c>
      <c r="BK5" s="0" t="s">
        <v>375</v>
      </c>
    </row>
    <row r="6">
      <c r="A6" s="0">
        <v>4446</v>
      </c>
      <c r="B6" s="0" t="s">
        <v>376</v>
      </c>
      <c r="C6" s="0" t="s">
        <v>290</v>
      </c>
      <c r="D6" s="0" t="s">
        <v>291</v>
      </c>
      <c r="E6" s="0" t="s">
        <v>377</v>
      </c>
      <c r="F6" s="0">
        <v>1</v>
      </c>
      <c r="G6" s="0" t="s">
        <v>378</v>
      </c>
      <c r="H6" s="0" t="s">
        <v>379</v>
      </c>
      <c r="I6" s="0" t="s">
        <v>359</v>
      </c>
      <c r="J6" s="0" t="s">
        <v>380</v>
      </c>
      <c r="K6" s="0" t="s">
        <v>381</v>
      </c>
      <c r="P6" s="0" t="s">
        <v>382</v>
      </c>
      <c r="Q6" s="0" t="s">
        <v>383</v>
      </c>
      <c r="R6" s="0" t="s">
        <v>384</v>
      </c>
      <c r="T6" s="0" t="s">
        <v>385</v>
      </c>
      <c r="U6" s="0" t="s">
        <v>386</v>
      </c>
      <c r="W6" s="0" t="s">
        <v>291</v>
      </c>
      <c r="X6" s="0" t="s">
        <v>298</v>
      </c>
      <c r="Y6" s="0" t="s">
        <v>195</v>
      </c>
      <c r="Z6" s="0" t="s">
        <v>299</v>
      </c>
      <c r="AA6" s="0" t="s">
        <v>204</v>
      </c>
      <c r="AB6" s="0" t="s">
        <v>300</v>
      </c>
      <c r="AF6" s="0" t="s">
        <v>301</v>
      </c>
      <c r="AM6" s="0" t="s">
        <v>350</v>
      </c>
      <c r="AN6" s="0" t="s">
        <v>387</v>
      </c>
      <c r="AO6" s="0" t="s">
        <v>388</v>
      </c>
      <c r="AP6" s="0" t="s">
        <v>305</v>
      </c>
      <c r="AQ6" s="0" t="s">
        <v>389</v>
      </c>
      <c r="AR6" s="0" t="s">
        <v>390</v>
      </c>
      <c r="AS6" s="0">
        <v>92</v>
      </c>
      <c r="AT6" s="0">
        <v>190</v>
      </c>
      <c r="AU6" s="0">
        <v>220</v>
      </c>
      <c r="AV6" s="0" t="s">
        <v>332</v>
      </c>
      <c r="AX6" s="0" t="s">
        <v>391</v>
      </c>
      <c r="AY6" s="0" t="s">
        <v>392</v>
      </c>
      <c r="AZ6" s="0" t="s">
        <v>393</v>
      </c>
      <c r="BA6" s="0">
        <v>436</v>
      </c>
      <c r="BB6" s="0" t="s">
        <v>232</v>
      </c>
      <c r="BC6" s="0">
        <v>2</v>
      </c>
      <c r="BD6" s="0">
        <v>374053</v>
      </c>
      <c r="BE6" s="0">
        <v>519081</v>
      </c>
      <c r="BF6" s="0">
        <v>5</v>
      </c>
      <c r="BG6" s="0" t="s">
        <v>394</v>
      </c>
      <c r="BI6" s="0">
        <v>1381</v>
      </c>
      <c r="BK6" s="0" t="s">
        <v>395</v>
      </c>
    </row>
    <row r="7">
      <c r="A7" s="0">
        <v>4443</v>
      </c>
      <c r="B7" s="0" t="s">
        <v>396</v>
      </c>
      <c r="C7" s="0" t="s">
        <v>339</v>
      </c>
      <c r="D7" s="0" t="s">
        <v>291</v>
      </c>
      <c r="E7" s="0" t="s">
        <v>397</v>
      </c>
      <c r="F7" s="0">
        <v>1</v>
      </c>
      <c r="G7" s="0" t="s">
        <v>319</v>
      </c>
      <c r="H7" s="0" t="s">
        <v>398</v>
      </c>
      <c r="I7" s="0" t="s">
        <v>399</v>
      </c>
      <c r="J7" s="0" t="s">
        <v>400</v>
      </c>
      <c r="P7" s="0" t="s">
        <v>401</v>
      </c>
      <c r="Q7" s="0" t="s">
        <v>402</v>
      </c>
      <c r="R7" s="0" t="s">
        <v>403</v>
      </c>
      <c r="T7" s="0" t="s">
        <v>404</v>
      </c>
      <c r="U7" s="0" t="s">
        <v>405</v>
      </c>
      <c r="W7" s="0" t="s">
        <v>291</v>
      </c>
      <c r="X7" s="0" t="s">
        <v>347</v>
      </c>
      <c r="Y7" s="0" t="s">
        <v>195</v>
      </c>
      <c r="Z7" s="0" t="s">
        <v>299</v>
      </c>
      <c r="AA7" s="0" t="s">
        <v>204</v>
      </c>
      <c r="AB7" s="0" t="s">
        <v>300</v>
      </c>
      <c r="AF7" s="0" t="s">
        <v>301</v>
      </c>
      <c r="AM7" s="0" t="s">
        <v>406</v>
      </c>
      <c r="AN7" s="0" t="s">
        <v>407</v>
      </c>
      <c r="AO7" s="0" t="s">
        <v>408</v>
      </c>
      <c r="AP7" s="0" t="s">
        <v>305</v>
      </c>
      <c r="AU7" s="0">
        <v>15</v>
      </c>
      <c r="AV7" s="0" t="s">
        <v>332</v>
      </c>
      <c r="AW7" s="0" t="s">
        <v>308</v>
      </c>
      <c r="AX7" s="0" t="s">
        <v>409</v>
      </c>
      <c r="AY7" s="0" t="s">
        <v>410</v>
      </c>
      <c r="AZ7" s="0" t="s">
        <v>411</v>
      </c>
      <c r="BA7" s="0">
        <v>436</v>
      </c>
      <c r="BB7" s="0" t="s">
        <v>232</v>
      </c>
      <c r="BC7" s="0">
        <v>2</v>
      </c>
      <c r="BD7" s="0">
        <v>8</v>
      </c>
      <c r="BE7" s="0">
        <v>519081</v>
      </c>
      <c r="BF7" s="0">
        <v>4</v>
      </c>
      <c r="BG7" s="0" t="s">
        <v>412</v>
      </c>
      <c r="BI7" s="0">
        <v>323</v>
      </c>
      <c r="BK7" s="0" t="s">
        <v>413</v>
      </c>
    </row>
    <row r="8">
      <c r="A8" s="0">
        <v>4491</v>
      </c>
      <c r="B8" s="0" t="s">
        <v>414</v>
      </c>
      <c r="C8" s="0" t="s">
        <v>315</v>
      </c>
      <c r="D8" s="0" t="s">
        <v>316</v>
      </c>
      <c r="E8" s="0" t="s">
        <v>415</v>
      </c>
      <c r="F8" s="0">
        <v>1</v>
      </c>
      <c r="G8" s="0" t="s">
        <v>319</v>
      </c>
      <c r="H8" s="0" t="s">
        <v>416</v>
      </c>
      <c r="I8" s="0" t="s">
        <v>417</v>
      </c>
      <c r="J8" s="0" t="s">
        <v>378</v>
      </c>
      <c r="K8" s="0" t="s">
        <v>379</v>
      </c>
      <c r="L8" s="0" t="s">
        <v>418</v>
      </c>
      <c r="M8" s="0" t="s">
        <v>318</v>
      </c>
      <c r="Q8" s="0" t="s">
        <v>323</v>
      </c>
      <c r="R8" s="0" t="s">
        <v>419</v>
      </c>
      <c r="T8" s="0" t="s">
        <v>420</v>
      </c>
      <c r="U8" s="0" t="s">
        <v>421</v>
      </c>
      <c r="W8" s="0" t="s">
        <v>291</v>
      </c>
      <c r="X8" s="0" t="s">
        <v>298</v>
      </c>
      <c r="Y8" s="0" t="s">
        <v>195</v>
      </c>
      <c r="Z8" s="0" t="s">
        <v>299</v>
      </c>
      <c r="AA8" s="0" t="s">
        <v>204</v>
      </c>
      <c r="AB8" s="0" t="s">
        <v>300</v>
      </c>
      <c r="AF8" s="0" t="s">
        <v>301</v>
      </c>
      <c r="AM8" s="0" t="s">
        <v>309</v>
      </c>
      <c r="AN8" s="0" t="s">
        <v>422</v>
      </c>
      <c r="AO8" s="0" t="s">
        <v>311</v>
      </c>
      <c r="AP8" s="0" t="s">
        <v>305</v>
      </c>
      <c r="AQ8" s="0" t="s">
        <v>423</v>
      </c>
      <c r="AR8" s="0" t="s">
        <v>424</v>
      </c>
      <c r="AS8" s="0">
        <v>162</v>
      </c>
      <c r="AT8" s="0">
        <v>342</v>
      </c>
      <c r="AU8" s="0">
        <v>456</v>
      </c>
      <c r="AV8" s="0" t="s">
        <v>308</v>
      </c>
      <c r="AX8" s="0" t="s">
        <v>309</v>
      </c>
      <c r="AY8" s="0" t="s">
        <v>425</v>
      </c>
      <c r="AZ8" s="0" t="s">
        <v>426</v>
      </c>
      <c r="BA8" s="0">
        <v>436</v>
      </c>
      <c r="BB8" s="0" t="s">
        <v>232</v>
      </c>
      <c r="BC8" s="0">
        <v>2</v>
      </c>
      <c r="BD8" s="0">
        <v>374043</v>
      </c>
      <c r="BE8" s="0">
        <v>519081</v>
      </c>
      <c r="BF8" s="0">
        <v>5</v>
      </c>
      <c r="BG8" s="0" t="s">
        <v>427</v>
      </c>
      <c r="BI8" s="0">
        <v>2727</v>
      </c>
      <c r="BK8" s="0" t="s">
        <v>428</v>
      </c>
    </row>
    <row r="9">
      <c r="A9" s="0">
        <v>4494</v>
      </c>
      <c r="B9" s="0" t="s">
        <v>429</v>
      </c>
      <c r="C9" s="0" t="s">
        <v>339</v>
      </c>
      <c r="D9" s="0" t="s">
        <v>430</v>
      </c>
      <c r="E9" s="0" t="s">
        <v>431</v>
      </c>
      <c r="F9" s="0">
        <v>1</v>
      </c>
      <c r="G9" s="0" t="s">
        <v>360</v>
      </c>
      <c r="H9" s="0" t="s">
        <v>432</v>
      </c>
      <c r="I9" s="0" t="s">
        <v>362</v>
      </c>
      <c r="P9" s="0" t="s">
        <v>433</v>
      </c>
      <c r="Q9" s="0" t="s">
        <v>434</v>
      </c>
      <c r="R9" s="0" t="s">
        <v>435</v>
      </c>
      <c r="T9" s="0" t="s">
        <v>436</v>
      </c>
      <c r="U9" s="0" t="s">
        <v>437</v>
      </c>
      <c r="W9" s="0" t="s">
        <v>291</v>
      </c>
      <c r="X9" s="0" t="s">
        <v>347</v>
      </c>
      <c r="Y9" s="0" t="s">
        <v>195</v>
      </c>
      <c r="Z9" s="0" t="s">
        <v>299</v>
      </c>
      <c r="AA9" s="0" t="s">
        <v>204</v>
      </c>
      <c r="AB9" s="0" t="s">
        <v>300</v>
      </c>
      <c r="AF9" s="0" t="s">
        <v>301</v>
      </c>
      <c r="AM9" s="0" t="s">
        <v>438</v>
      </c>
      <c r="AN9" s="0" t="s">
        <v>439</v>
      </c>
      <c r="AO9" s="0" t="s">
        <v>440</v>
      </c>
      <c r="AP9" s="0" t="s">
        <v>305</v>
      </c>
      <c r="AQ9" s="0" t="s">
        <v>441</v>
      </c>
      <c r="AR9" s="0" t="s">
        <v>442</v>
      </c>
      <c r="AU9" s="0">
        <v>42</v>
      </c>
      <c r="AV9" s="0" t="s">
        <v>332</v>
      </c>
      <c r="AW9" s="0" t="s">
        <v>332</v>
      </c>
      <c r="AX9" s="0" t="s">
        <v>443</v>
      </c>
      <c r="AY9" s="0" t="s">
        <v>444</v>
      </c>
      <c r="AZ9" s="0" t="s">
        <v>445</v>
      </c>
      <c r="BA9" s="0">
        <v>436</v>
      </c>
      <c r="BB9" s="0" t="s">
        <v>232</v>
      </c>
      <c r="BC9" s="0">
        <v>2</v>
      </c>
      <c r="BD9" s="0">
        <v>8</v>
      </c>
      <c r="BE9" s="0">
        <v>519081</v>
      </c>
      <c r="BF9" s="0">
        <v>4</v>
      </c>
      <c r="BG9" s="0" t="s">
        <v>446</v>
      </c>
      <c r="BI9" s="0">
        <v>3217</v>
      </c>
      <c r="BK9" s="0" t="s">
        <v>447</v>
      </c>
    </row>
    <row r="10">
      <c r="A10" s="0">
        <v>4492</v>
      </c>
      <c r="B10" s="0" t="s">
        <v>448</v>
      </c>
      <c r="C10" s="0" t="s">
        <v>315</v>
      </c>
      <c r="D10" s="0" t="s">
        <v>316</v>
      </c>
      <c r="E10" s="0" t="s">
        <v>449</v>
      </c>
      <c r="F10" s="0">
        <v>1</v>
      </c>
      <c r="G10" s="0" t="s">
        <v>319</v>
      </c>
      <c r="H10" s="0" t="s">
        <v>450</v>
      </c>
      <c r="I10" s="0" t="s">
        <v>321</v>
      </c>
      <c r="P10" s="0" t="s">
        <v>451</v>
      </c>
      <c r="Q10" s="0" t="s">
        <v>451</v>
      </c>
      <c r="R10" s="0" t="s">
        <v>452</v>
      </c>
      <c r="T10" s="0" t="s">
        <v>453</v>
      </c>
      <c r="U10" s="0" t="s">
        <v>454</v>
      </c>
      <c r="W10" s="0" t="s">
        <v>291</v>
      </c>
      <c r="X10" s="0" t="s">
        <v>298</v>
      </c>
      <c r="Y10" s="0" t="s">
        <v>195</v>
      </c>
      <c r="Z10" s="0" t="s">
        <v>299</v>
      </c>
      <c r="AA10" s="0" t="s">
        <v>204</v>
      </c>
      <c r="AB10" s="0" t="s">
        <v>300</v>
      </c>
      <c r="AF10" s="0" t="s">
        <v>301</v>
      </c>
      <c r="AM10" s="0" t="s">
        <v>455</v>
      </c>
      <c r="AN10" s="0" t="s">
        <v>456</v>
      </c>
      <c r="AO10" s="0" t="s">
        <v>457</v>
      </c>
      <c r="AP10" s="0" t="s">
        <v>305</v>
      </c>
      <c r="AQ10" s="0" t="s">
        <v>458</v>
      </c>
      <c r="AR10" s="0" t="s">
        <v>459</v>
      </c>
      <c r="AS10" s="0">
        <v>30</v>
      </c>
      <c r="AT10" s="0">
        <v>63</v>
      </c>
      <c r="AU10" s="0">
        <v>71</v>
      </c>
      <c r="AV10" s="0" t="s">
        <v>331</v>
      </c>
      <c r="AW10" s="0" t="s">
        <v>332</v>
      </c>
      <c r="AX10" s="0" t="s">
        <v>460</v>
      </c>
      <c r="AY10" s="0" t="s">
        <v>461</v>
      </c>
      <c r="AZ10" s="0" t="s">
        <v>462</v>
      </c>
      <c r="BA10" s="0">
        <v>436</v>
      </c>
      <c r="BB10" s="0" t="s">
        <v>232</v>
      </c>
      <c r="BC10" s="0">
        <v>2</v>
      </c>
      <c r="BD10" s="0">
        <v>374043</v>
      </c>
      <c r="BE10" s="0">
        <v>519081</v>
      </c>
      <c r="BF10" s="0">
        <v>5</v>
      </c>
      <c r="BG10" s="0" t="s">
        <v>463</v>
      </c>
      <c r="BI10" s="0">
        <v>2898</v>
      </c>
      <c r="BK10" s="0" t="s">
        <v>464</v>
      </c>
    </row>
    <row r="11">
      <c r="A11" s="0">
        <v>4448</v>
      </c>
      <c r="B11" s="0" t="s">
        <v>465</v>
      </c>
      <c r="C11" s="0" t="s">
        <v>315</v>
      </c>
      <c r="D11" s="0" t="s">
        <v>466</v>
      </c>
      <c r="E11" s="0" t="s">
        <v>467</v>
      </c>
      <c r="F11" s="0">
        <v>1</v>
      </c>
      <c r="G11" s="0" t="s">
        <v>468</v>
      </c>
      <c r="H11" s="0" t="s">
        <v>469</v>
      </c>
      <c r="J11" s="0" t="s">
        <v>319</v>
      </c>
      <c r="K11" s="0" t="s">
        <v>470</v>
      </c>
      <c r="L11" s="0" t="s">
        <v>471</v>
      </c>
      <c r="T11" s="0" t="s">
        <v>472</v>
      </c>
      <c r="U11" s="0" t="s">
        <v>473</v>
      </c>
      <c r="W11" s="0" t="s">
        <v>291</v>
      </c>
      <c r="X11" s="0" t="s">
        <v>298</v>
      </c>
      <c r="Y11" s="0" t="s">
        <v>195</v>
      </c>
      <c r="Z11" s="0" t="s">
        <v>299</v>
      </c>
      <c r="AA11" s="0" t="s">
        <v>204</v>
      </c>
      <c r="AB11" s="0" t="s">
        <v>300</v>
      </c>
      <c r="AF11" s="0" t="s">
        <v>301</v>
      </c>
      <c r="AM11" s="0" t="s">
        <v>474</v>
      </c>
      <c r="AN11" s="0" t="s">
        <v>443</v>
      </c>
      <c r="AO11" s="0" t="s">
        <v>353</v>
      </c>
      <c r="AP11" s="0" t="s">
        <v>305</v>
      </c>
      <c r="AQ11" s="0" t="s">
        <v>475</v>
      </c>
      <c r="AR11" s="0" t="s">
        <v>476</v>
      </c>
      <c r="AS11" s="0">
        <v>33</v>
      </c>
      <c r="AT11" s="0">
        <v>66</v>
      </c>
      <c r="AU11" s="0">
        <v>99</v>
      </c>
      <c r="AV11" s="0" t="s">
        <v>332</v>
      </c>
      <c r="AX11" s="0" t="s">
        <v>477</v>
      </c>
      <c r="AY11" s="0" t="s">
        <v>311</v>
      </c>
      <c r="AZ11" s="0" t="s">
        <v>311</v>
      </c>
      <c r="BA11" s="0">
        <v>436</v>
      </c>
      <c r="BB11" s="0" t="s">
        <v>232</v>
      </c>
      <c r="BC11" s="0">
        <v>2</v>
      </c>
      <c r="BD11" s="0">
        <v>374043</v>
      </c>
      <c r="BE11" s="0">
        <v>519081</v>
      </c>
      <c r="BF11" s="0">
        <v>5</v>
      </c>
      <c r="BG11" s="0" t="s">
        <v>478</v>
      </c>
      <c r="BI11" s="0">
        <v>1898</v>
      </c>
      <c r="BK11" s="0" t="s">
        <v>479</v>
      </c>
    </row>
    <row r="12">
      <c r="A12" s="0">
        <v>4457</v>
      </c>
      <c r="B12" s="0" t="s">
        <v>480</v>
      </c>
      <c r="C12" s="0" t="s">
        <v>315</v>
      </c>
      <c r="D12" s="0" t="s">
        <v>466</v>
      </c>
      <c r="E12" s="0" t="s">
        <v>481</v>
      </c>
      <c r="F12" s="0">
        <v>1</v>
      </c>
      <c r="G12" s="0" t="s">
        <v>400</v>
      </c>
      <c r="H12" s="0" t="s">
        <v>482</v>
      </c>
      <c r="J12" s="0" t="s">
        <v>319</v>
      </c>
      <c r="K12" s="0" t="s">
        <v>483</v>
      </c>
      <c r="L12" s="0" t="s">
        <v>484</v>
      </c>
      <c r="T12" s="0" t="s">
        <v>485</v>
      </c>
      <c r="U12" s="0" t="s">
        <v>486</v>
      </c>
      <c r="W12" s="0" t="s">
        <v>291</v>
      </c>
      <c r="X12" s="0" t="s">
        <v>298</v>
      </c>
      <c r="Y12" s="0" t="s">
        <v>195</v>
      </c>
      <c r="Z12" s="0" t="s">
        <v>299</v>
      </c>
      <c r="AA12" s="0" t="s">
        <v>204</v>
      </c>
      <c r="AB12" s="0" t="s">
        <v>300</v>
      </c>
      <c r="AF12" s="0" t="s">
        <v>301</v>
      </c>
      <c r="AM12" s="0" t="s">
        <v>388</v>
      </c>
      <c r="AN12" s="0" t="s">
        <v>387</v>
      </c>
      <c r="AO12" s="0" t="s">
        <v>487</v>
      </c>
      <c r="AP12" s="0" t="s">
        <v>305</v>
      </c>
      <c r="AQ12" s="0" t="s">
        <v>488</v>
      </c>
      <c r="AR12" s="0" t="s">
        <v>489</v>
      </c>
      <c r="AS12" s="0">
        <v>50</v>
      </c>
      <c r="AT12" s="0">
        <v>110</v>
      </c>
      <c r="AU12" s="0">
        <v>125</v>
      </c>
      <c r="AV12" s="0" t="s">
        <v>332</v>
      </c>
      <c r="AX12" s="0" t="s">
        <v>490</v>
      </c>
      <c r="AY12" s="0" t="s">
        <v>491</v>
      </c>
      <c r="AZ12" s="0" t="s">
        <v>350</v>
      </c>
      <c r="BA12" s="0">
        <v>436</v>
      </c>
      <c r="BB12" s="0" t="s">
        <v>232</v>
      </c>
      <c r="BC12" s="0">
        <v>2</v>
      </c>
      <c r="BD12" s="0">
        <v>374043</v>
      </c>
      <c r="BE12" s="0">
        <v>519081</v>
      </c>
      <c r="BF12" s="0">
        <v>5</v>
      </c>
      <c r="BG12" s="0" t="s">
        <v>492</v>
      </c>
      <c r="BI12" s="0">
        <v>2548</v>
      </c>
      <c r="BK12" s="0" t="s">
        <v>493</v>
      </c>
    </row>
    <row r="13">
      <c r="A13" s="0">
        <v>4447</v>
      </c>
      <c r="B13" s="0" t="s">
        <v>494</v>
      </c>
      <c r="C13" s="0" t="s">
        <v>290</v>
      </c>
      <c r="D13" s="0" t="s">
        <v>291</v>
      </c>
      <c r="E13" s="0" t="s">
        <v>495</v>
      </c>
      <c r="F13" s="0">
        <v>1</v>
      </c>
      <c r="G13" s="0" t="s">
        <v>496</v>
      </c>
      <c r="H13" s="0" t="s">
        <v>497</v>
      </c>
      <c r="J13" s="0" t="s">
        <v>293</v>
      </c>
      <c r="K13" s="0" t="s">
        <v>294</v>
      </c>
      <c r="L13" s="0" t="s">
        <v>295</v>
      </c>
      <c r="T13" s="0" t="s">
        <v>498</v>
      </c>
      <c r="U13" s="0" t="s">
        <v>499</v>
      </c>
      <c r="W13" s="0" t="s">
        <v>291</v>
      </c>
      <c r="X13" s="0" t="s">
        <v>298</v>
      </c>
      <c r="Y13" s="0" t="s">
        <v>195</v>
      </c>
      <c r="Z13" s="0" t="s">
        <v>299</v>
      </c>
      <c r="AA13" s="0" t="s">
        <v>204</v>
      </c>
      <c r="AB13" s="0" t="s">
        <v>300</v>
      </c>
      <c r="AF13" s="0" t="s">
        <v>301</v>
      </c>
      <c r="AM13" s="0" t="s">
        <v>426</v>
      </c>
      <c r="AN13" s="0" t="s">
        <v>500</v>
      </c>
      <c r="AO13" s="0" t="s">
        <v>501</v>
      </c>
      <c r="AP13" s="0" t="s">
        <v>305</v>
      </c>
      <c r="AQ13" s="0" t="s">
        <v>502</v>
      </c>
      <c r="AR13" s="0" t="s">
        <v>489</v>
      </c>
      <c r="AS13" s="0">
        <v>180</v>
      </c>
      <c r="AT13" s="0">
        <v>370</v>
      </c>
      <c r="AU13" s="0">
        <v>430</v>
      </c>
      <c r="AV13" s="0" t="s">
        <v>332</v>
      </c>
      <c r="AX13" s="0" t="s">
        <v>503</v>
      </c>
      <c r="AY13" s="0" t="s">
        <v>504</v>
      </c>
      <c r="AZ13" s="0" t="s">
        <v>442</v>
      </c>
      <c r="BA13" s="0">
        <v>436</v>
      </c>
      <c r="BB13" s="0" t="s">
        <v>232</v>
      </c>
      <c r="BC13" s="0">
        <v>2</v>
      </c>
      <c r="BD13" s="0">
        <v>374053</v>
      </c>
      <c r="BE13" s="0">
        <v>519081</v>
      </c>
      <c r="BF13" s="0">
        <v>5</v>
      </c>
      <c r="BG13" s="0" t="s">
        <v>505</v>
      </c>
      <c r="BI13" s="0">
        <v>1651</v>
      </c>
      <c r="BK13" s="0" t="s">
        <v>506</v>
      </c>
    </row>
    <row r="14">
      <c r="A14" s="0">
        <v>4456</v>
      </c>
      <c r="C14" s="0" t="s">
        <v>339</v>
      </c>
      <c r="D14" s="0" t="s">
        <v>466</v>
      </c>
      <c r="E14" s="0" t="s">
        <v>507</v>
      </c>
      <c r="F14" s="0">
        <v>1</v>
      </c>
      <c r="G14" s="0" t="s">
        <v>508</v>
      </c>
      <c r="H14" s="0" t="s">
        <v>469</v>
      </c>
      <c r="J14" s="0" t="s">
        <v>509</v>
      </c>
      <c r="K14" s="0" t="s">
        <v>469</v>
      </c>
      <c r="T14" s="0" t="s">
        <v>510</v>
      </c>
      <c r="U14" s="0" t="s">
        <v>511</v>
      </c>
      <c r="W14" s="0" t="s">
        <v>291</v>
      </c>
      <c r="X14" s="0" t="s">
        <v>347</v>
      </c>
      <c r="Y14" s="0" t="s">
        <v>195</v>
      </c>
      <c r="Z14" s="0" t="s">
        <v>299</v>
      </c>
      <c r="AA14" s="0" t="s">
        <v>204</v>
      </c>
      <c r="AB14" s="0" t="s">
        <v>300</v>
      </c>
      <c r="AF14" s="0" t="s">
        <v>301</v>
      </c>
      <c r="AM14" s="0" t="s">
        <v>512</v>
      </c>
      <c r="AN14" s="0" t="s">
        <v>513</v>
      </c>
      <c r="AO14" s="0" t="s">
        <v>514</v>
      </c>
      <c r="AP14" s="0" t="s">
        <v>305</v>
      </c>
      <c r="AQ14" s="0" t="s">
        <v>515</v>
      </c>
      <c r="AR14" s="0" t="s">
        <v>516</v>
      </c>
      <c r="AU14" s="0">
        <v>402</v>
      </c>
      <c r="AV14" s="0" t="s">
        <v>308</v>
      </c>
      <c r="AX14" s="0" t="s">
        <v>367</v>
      </c>
      <c r="AY14" s="0" t="s">
        <v>304</v>
      </c>
      <c r="AZ14" s="0" t="s">
        <v>517</v>
      </c>
      <c r="BA14" s="0">
        <v>436</v>
      </c>
      <c r="BB14" s="0" t="s">
        <v>232</v>
      </c>
      <c r="BC14" s="0">
        <v>2</v>
      </c>
      <c r="BD14" s="0">
        <v>8</v>
      </c>
      <c r="BE14" s="0">
        <v>519081</v>
      </c>
      <c r="BF14" s="0">
        <v>4</v>
      </c>
      <c r="BG14" s="0" t="s">
        <v>518</v>
      </c>
      <c r="BI14" s="0">
        <v>2353</v>
      </c>
      <c r="BK14" s="0" t="s">
        <v>519</v>
      </c>
    </row>
    <row r="15">
      <c r="A15" s="0">
        <v>4454</v>
      </c>
      <c r="B15" s="0" t="s">
        <v>520</v>
      </c>
      <c r="C15" s="0" t="s">
        <v>315</v>
      </c>
      <c r="D15" s="0" t="s">
        <v>521</v>
      </c>
      <c r="E15" s="0" t="s">
        <v>522</v>
      </c>
      <c r="F15" s="0">
        <v>2</v>
      </c>
      <c r="G15" s="0" t="s">
        <v>319</v>
      </c>
      <c r="H15" s="0" t="s">
        <v>523</v>
      </c>
      <c r="I15" s="0" t="s">
        <v>524</v>
      </c>
      <c r="J15" s="0" t="s">
        <v>525</v>
      </c>
      <c r="K15" s="0" t="s">
        <v>508</v>
      </c>
      <c r="M15" s="0" t="s">
        <v>293</v>
      </c>
      <c r="N15" s="0" t="s">
        <v>294</v>
      </c>
      <c r="O15" s="0" t="s">
        <v>295</v>
      </c>
      <c r="P15" s="0" t="s">
        <v>323</v>
      </c>
      <c r="Q15" s="0" t="s">
        <v>343</v>
      </c>
      <c r="R15" s="0" t="s">
        <v>526</v>
      </c>
      <c r="U15" s="0" t="s">
        <v>527</v>
      </c>
      <c r="W15" s="0" t="s">
        <v>528</v>
      </c>
      <c r="X15" s="0" t="s">
        <v>529</v>
      </c>
      <c r="Y15" s="0" t="s">
        <v>193</v>
      </c>
      <c r="Z15" s="0" t="s">
        <v>530</v>
      </c>
      <c r="AA15" s="0" t="s">
        <v>192</v>
      </c>
      <c r="AB15" s="0" t="s">
        <v>531</v>
      </c>
      <c r="AC15" s="0" t="s">
        <v>532</v>
      </c>
      <c r="AD15" s="0" t="s">
        <v>533</v>
      </c>
      <c r="AF15" s="0" t="s">
        <v>301</v>
      </c>
      <c r="AP15" s="0" t="s">
        <v>305</v>
      </c>
      <c r="BA15" s="0">
        <v>437</v>
      </c>
      <c r="BB15" s="0" t="s">
        <v>232</v>
      </c>
      <c r="BC15" s="0">
        <v>2</v>
      </c>
      <c r="BD15" s="0">
        <v>374043</v>
      </c>
      <c r="BE15" s="0">
        <v>519839</v>
      </c>
      <c r="BF15" s="0">
        <v>2</v>
      </c>
      <c r="BG15" s="0" t="s">
        <v>534</v>
      </c>
      <c r="BI15" s="0">
        <v>1908</v>
      </c>
      <c r="BK15" s="0" t="s">
        <v>535</v>
      </c>
    </row>
    <row r="16">
      <c r="A16" s="0">
        <v>4453</v>
      </c>
      <c r="B16" s="0" t="s">
        <v>536</v>
      </c>
      <c r="C16" s="0" t="s">
        <v>315</v>
      </c>
      <c r="D16" s="0" t="s">
        <v>521</v>
      </c>
      <c r="E16" s="0" t="s">
        <v>537</v>
      </c>
      <c r="F16" s="0">
        <v>2</v>
      </c>
      <c r="G16" s="0" t="s">
        <v>319</v>
      </c>
      <c r="H16" s="0" t="s">
        <v>523</v>
      </c>
      <c r="I16" s="0" t="s">
        <v>524</v>
      </c>
      <c r="J16" s="0" t="s">
        <v>525</v>
      </c>
      <c r="K16" s="0" t="s">
        <v>508</v>
      </c>
      <c r="M16" s="0" t="s">
        <v>293</v>
      </c>
      <c r="N16" s="0" t="s">
        <v>294</v>
      </c>
      <c r="O16" s="0" t="s">
        <v>295</v>
      </c>
      <c r="P16" s="0" t="s">
        <v>323</v>
      </c>
      <c r="Q16" s="0" t="s">
        <v>343</v>
      </c>
      <c r="R16" s="0" t="s">
        <v>526</v>
      </c>
      <c r="U16" s="0" t="s">
        <v>538</v>
      </c>
      <c r="W16" s="0" t="s">
        <v>528</v>
      </c>
      <c r="X16" s="0" t="s">
        <v>529</v>
      </c>
      <c r="Y16" s="0" t="s">
        <v>193</v>
      </c>
      <c r="Z16" s="0" t="s">
        <v>530</v>
      </c>
      <c r="AA16" s="0" t="s">
        <v>192</v>
      </c>
      <c r="AB16" s="0" t="s">
        <v>531</v>
      </c>
      <c r="AC16" s="0" t="s">
        <v>532</v>
      </c>
      <c r="AD16" s="0" t="s">
        <v>533</v>
      </c>
      <c r="AF16" s="0" t="s">
        <v>301</v>
      </c>
      <c r="AP16" s="0" t="s">
        <v>305</v>
      </c>
      <c r="BA16" s="0">
        <v>437</v>
      </c>
      <c r="BB16" s="0" t="s">
        <v>232</v>
      </c>
      <c r="BC16" s="0">
        <v>2</v>
      </c>
      <c r="BD16" s="0">
        <v>374043</v>
      </c>
      <c r="BE16" s="0">
        <v>519839</v>
      </c>
      <c r="BF16" s="0">
        <v>2</v>
      </c>
      <c r="BG16" s="0" t="s">
        <v>539</v>
      </c>
      <c r="BI16" s="0">
        <v>1663</v>
      </c>
      <c r="BK16" s="0" t="s">
        <v>540</v>
      </c>
    </row>
    <row r="17">
      <c r="A17" s="0">
        <v>4449</v>
      </c>
      <c r="B17" s="0" t="s">
        <v>541</v>
      </c>
      <c r="C17" s="0" t="s">
        <v>315</v>
      </c>
      <c r="D17" s="0" t="s">
        <v>521</v>
      </c>
      <c r="E17" s="0" t="s">
        <v>542</v>
      </c>
      <c r="F17" s="0">
        <v>1</v>
      </c>
      <c r="G17" s="0" t="s">
        <v>543</v>
      </c>
      <c r="H17" s="0" t="s">
        <v>343</v>
      </c>
      <c r="I17" s="0" t="s">
        <v>544</v>
      </c>
      <c r="J17" s="0" t="s">
        <v>525</v>
      </c>
      <c r="K17" s="0" t="s">
        <v>400</v>
      </c>
      <c r="M17" s="0" t="s">
        <v>293</v>
      </c>
      <c r="N17" s="0" t="s">
        <v>294</v>
      </c>
      <c r="O17" s="0" t="s">
        <v>295</v>
      </c>
      <c r="P17" s="0" t="s">
        <v>323</v>
      </c>
      <c r="Q17" s="0" t="s">
        <v>323</v>
      </c>
      <c r="R17" s="0" t="s">
        <v>526</v>
      </c>
      <c r="W17" s="0" t="s">
        <v>528</v>
      </c>
      <c r="X17" s="0" t="s">
        <v>529</v>
      </c>
      <c r="Y17" s="0" t="s">
        <v>193</v>
      </c>
      <c r="Z17" s="0" t="s">
        <v>530</v>
      </c>
      <c r="AA17" s="0" t="s">
        <v>192</v>
      </c>
      <c r="AB17" s="0" t="s">
        <v>531</v>
      </c>
      <c r="AC17" s="0" t="s">
        <v>532</v>
      </c>
      <c r="AD17" s="0" t="s">
        <v>533</v>
      </c>
      <c r="AF17" s="0" t="s">
        <v>301</v>
      </c>
      <c r="AP17" s="0" t="s">
        <v>305</v>
      </c>
      <c r="BA17" s="0">
        <v>437</v>
      </c>
      <c r="BB17" s="0" t="s">
        <v>232</v>
      </c>
      <c r="BC17" s="0">
        <v>2</v>
      </c>
      <c r="BD17" s="0">
        <v>374043</v>
      </c>
      <c r="BE17" s="0">
        <v>519839</v>
      </c>
      <c r="BF17" s="0">
        <v>2</v>
      </c>
      <c r="BG17" s="0" t="s">
        <v>545</v>
      </c>
      <c r="BI17" s="0">
        <v>346</v>
      </c>
      <c r="BK17" s="0" t="s">
        <v>546</v>
      </c>
    </row>
    <row r="18">
      <c r="A18" s="0">
        <v>4450</v>
      </c>
      <c r="B18" s="0" t="s">
        <v>547</v>
      </c>
      <c r="C18" s="0" t="s">
        <v>315</v>
      </c>
      <c r="D18" s="0" t="s">
        <v>521</v>
      </c>
      <c r="E18" s="0" t="s">
        <v>548</v>
      </c>
      <c r="F18" s="0">
        <v>1</v>
      </c>
      <c r="G18" s="0" t="s">
        <v>293</v>
      </c>
      <c r="H18" s="0" t="s">
        <v>294</v>
      </c>
      <c r="I18" s="0" t="s">
        <v>295</v>
      </c>
      <c r="J18" s="0" t="s">
        <v>525</v>
      </c>
      <c r="K18" s="0" t="s">
        <v>508</v>
      </c>
      <c r="L18" s="0" t="s">
        <v>549</v>
      </c>
      <c r="P18" s="0" t="s">
        <v>343</v>
      </c>
      <c r="Q18" s="0" t="s">
        <v>343</v>
      </c>
      <c r="U18" s="0" t="s">
        <v>550</v>
      </c>
      <c r="W18" s="0" t="s">
        <v>528</v>
      </c>
      <c r="X18" s="0" t="s">
        <v>529</v>
      </c>
      <c r="Y18" s="0" t="s">
        <v>193</v>
      </c>
      <c r="Z18" s="0" t="s">
        <v>530</v>
      </c>
      <c r="AA18" s="0" t="s">
        <v>192</v>
      </c>
      <c r="AB18" s="0" t="s">
        <v>531</v>
      </c>
      <c r="AC18" s="0" t="s">
        <v>532</v>
      </c>
      <c r="AD18" s="0" t="s">
        <v>533</v>
      </c>
      <c r="AF18" s="0" t="s">
        <v>301</v>
      </c>
      <c r="AP18" s="0" t="s">
        <v>305</v>
      </c>
      <c r="BA18" s="0">
        <v>437</v>
      </c>
      <c r="BB18" s="0" t="s">
        <v>232</v>
      </c>
      <c r="BC18" s="0">
        <v>2</v>
      </c>
      <c r="BD18" s="0">
        <v>374043</v>
      </c>
      <c r="BE18" s="0">
        <v>519839</v>
      </c>
      <c r="BF18" s="0">
        <v>2</v>
      </c>
      <c r="BG18" s="0" t="s">
        <v>551</v>
      </c>
      <c r="BI18" s="0">
        <v>751</v>
      </c>
      <c r="BK18" s="0" t="s">
        <v>552</v>
      </c>
    </row>
    <row r="19">
      <c r="A19" s="0">
        <v>4452</v>
      </c>
      <c r="B19" s="0" t="s">
        <v>553</v>
      </c>
      <c r="C19" s="0" t="s">
        <v>315</v>
      </c>
      <c r="D19" s="0" t="s">
        <v>521</v>
      </c>
      <c r="E19" s="0" t="s">
        <v>554</v>
      </c>
      <c r="F19" s="0">
        <v>1</v>
      </c>
      <c r="G19" s="0" t="s">
        <v>525</v>
      </c>
      <c r="H19" s="0" t="s">
        <v>508</v>
      </c>
      <c r="I19" s="0" t="s">
        <v>549</v>
      </c>
      <c r="J19" s="0" t="s">
        <v>555</v>
      </c>
      <c r="K19" s="0" t="s">
        <v>343</v>
      </c>
      <c r="L19" s="0" t="s">
        <v>549</v>
      </c>
      <c r="P19" s="0" t="s">
        <v>323</v>
      </c>
      <c r="Q19" s="0" t="s">
        <v>323</v>
      </c>
      <c r="R19" s="0" t="s">
        <v>556</v>
      </c>
      <c r="U19" s="0" t="s">
        <v>557</v>
      </c>
      <c r="W19" s="0" t="s">
        <v>528</v>
      </c>
      <c r="X19" s="0" t="s">
        <v>529</v>
      </c>
      <c r="Y19" s="0" t="s">
        <v>193</v>
      </c>
      <c r="Z19" s="0" t="s">
        <v>530</v>
      </c>
      <c r="AA19" s="0" t="s">
        <v>192</v>
      </c>
      <c r="AB19" s="0" t="s">
        <v>531</v>
      </c>
      <c r="AC19" s="0" t="s">
        <v>532</v>
      </c>
      <c r="AD19" s="0" t="s">
        <v>533</v>
      </c>
      <c r="AF19" s="0" t="s">
        <v>301</v>
      </c>
      <c r="AP19" s="0" t="s">
        <v>305</v>
      </c>
      <c r="BA19" s="0">
        <v>437</v>
      </c>
      <c r="BB19" s="0" t="s">
        <v>232</v>
      </c>
      <c r="BC19" s="0">
        <v>2</v>
      </c>
      <c r="BD19" s="0">
        <v>374043</v>
      </c>
      <c r="BE19" s="0">
        <v>519839</v>
      </c>
      <c r="BF19" s="0">
        <v>2</v>
      </c>
      <c r="BG19" s="0" t="s">
        <v>558</v>
      </c>
      <c r="BI19" s="0">
        <v>1395</v>
      </c>
      <c r="BK19" s="0" t="s">
        <v>559</v>
      </c>
    </row>
    <row r="20">
      <c r="A20" s="0">
        <v>4451</v>
      </c>
      <c r="B20" s="0" t="s">
        <v>560</v>
      </c>
      <c r="C20" s="0" t="s">
        <v>315</v>
      </c>
      <c r="D20" s="0" t="s">
        <v>521</v>
      </c>
      <c r="E20" s="0" t="s">
        <v>561</v>
      </c>
      <c r="F20" s="0">
        <v>4</v>
      </c>
      <c r="G20" s="0" t="s">
        <v>525</v>
      </c>
      <c r="H20" s="0" t="s">
        <v>508</v>
      </c>
      <c r="I20" s="0" t="s">
        <v>549</v>
      </c>
      <c r="J20" s="0" t="s">
        <v>555</v>
      </c>
      <c r="K20" s="0" t="s">
        <v>343</v>
      </c>
      <c r="L20" s="0" t="s">
        <v>549</v>
      </c>
      <c r="P20" s="0" t="s">
        <v>343</v>
      </c>
      <c r="Q20" s="0" t="s">
        <v>343</v>
      </c>
      <c r="U20" s="0" t="s">
        <v>562</v>
      </c>
      <c r="W20" s="0" t="s">
        <v>528</v>
      </c>
      <c r="X20" s="0" t="s">
        <v>529</v>
      </c>
      <c r="Y20" s="0" t="s">
        <v>193</v>
      </c>
      <c r="Z20" s="0" t="s">
        <v>530</v>
      </c>
      <c r="AA20" s="0" t="s">
        <v>192</v>
      </c>
      <c r="AB20" s="0" t="s">
        <v>531</v>
      </c>
      <c r="AC20" s="0" t="s">
        <v>532</v>
      </c>
      <c r="AD20" s="0" t="s">
        <v>533</v>
      </c>
      <c r="AF20" s="0" t="s">
        <v>301</v>
      </c>
      <c r="AP20" s="0" t="s">
        <v>305</v>
      </c>
      <c r="BA20" s="0">
        <v>437</v>
      </c>
      <c r="BB20" s="0" t="s">
        <v>232</v>
      </c>
      <c r="BC20" s="0">
        <v>2</v>
      </c>
      <c r="BD20" s="0">
        <v>374043</v>
      </c>
      <c r="BE20" s="0">
        <v>519839</v>
      </c>
      <c r="BF20" s="0">
        <v>2</v>
      </c>
      <c r="BG20" s="0" t="s">
        <v>563</v>
      </c>
      <c r="BI20" s="0">
        <v>1086</v>
      </c>
      <c r="BK20" s="0" t="s">
        <v>564</v>
      </c>
    </row>
    <row r="21">
      <c r="A21" s="0">
        <v>4458</v>
      </c>
      <c r="B21" s="0" t="s">
        <v>565</v>
      </c>
      <c r="C21" s="0" t="s">
        <v>315</v>
      </c>
      <c r="D21" s="0" t="s">
        <v>566</v>
      </c>
      <c r="E21" s="0" t="s">
        <v>567</v>
      </c>
      <c r="F21" s="0">
        <v>1</v>
      </c>
      <c r="G21" s="0" t="s">
        <v>400</v>
      </c>
      <c r="H21" s="0" t="s">
        <v>400</v>
      </c>
      <c r="I21" s="0" t="s">
        <v>469</v>
      </c>
      <c r="P21" s="0" t="s">
        <v>323</v>
      </c>
      <c r="Q21" s="0" t="s">
        <v>323</v>
      </c>
      <c r="R21" s="0" t="s">
        <v>568</v>
      </c>
      <c r="T21" s="0" t="s">
        <v>569</v>
      </c>
      <c r="W21" s="0" t="s">
        <v>566</v>
      </c>
      <c r="X21" s="0" t="s">
        <v>529</v>
      </c>
      <c r="Y21" s="0" t="s">
        <v>56</v>
      </c>
      <c r="Z21" s="0" t="s">
        <v>570</v>
      </c>
      <c r="AA21" s="0" t="s">
        <v>203</v>
      </c>
      <c r="AB21" s="0" t="s">
        <v>531</v>
      </c>
      <c r="AC21" s="0" t="s">
        <v>571</v>
      </c>
      <c r="AD21" s="0" t="s">
        <v>572</v>
      </c>
      <c r="AF21" s="0" t="s">
        <v>301</v>
      </c>
      <c r="AM21" s="0" t="s">
        <v>573</v>
      </c>
      <c r="AN21" s="0" t="s">
        <v>574</v>
      </c>
      <c r="AO21" s="0" t="s">
        <v>575</v>
      </c>
      <c r="AP21" s="0" t="s">
        <v>305</v>
      </c>
      <c r="AU21" s="0">
        <v>84</v>
      </c>
      <c r="BA21" s="0">
        <v>438</v>
      </c>
      <c r="BB21" s="0" t="s">
        <v>232</v>
      </c>
      <c r="BC21" s="0">
        <v>2</v>
      </c>
      <c r="BD21" s="0">
        <v>374043</v>
      </c>
      <c r="BE21" s="0">
        <v>519203</v>
      </c>
      <c r="BF21" s="0">
        <v>2</v>
      </c>
      <c r="BG21" s="0" t="s">
        <v>576</v>
      </c>
      <c r="BI21" s="0">
        <v>332</v>
      </c>
      <c r="BK21" s="0" t="s">
        <v>577</v>
      </c>
    </row>
    <row r="22">
      <c r="A22" s="0">
        <v>4459</v>
      </c>
      <c r="B22" s="0" t="s">
        <v>578</v>
      </c>
      <c r="C22" s="0" t="s">
        <v>579</v>
      </c>
      <c r="D22" s="0" t="s">
        <v>566</v>
      </c>
      <c r="E22" s="0" t="s">
        <v>580</v>
      </c>
      <c r="F22" s="0">
        <v>1</v>
      </c>
      <c r="G22" s="0" t="s">
        <v>293</v>
      </c>
      <c r="H22" s="0" t="s">
        <v>294</v>
      </c>
      <c r="I22" s="0" t="s">
        <v>295</v>
      </c>
      <c r="J22" s="0" t="s">
        <v>581</v>
      </c>
      <c r="K22" s="0" t="s">
        <v>582</v>
      </c>
      <c r="L22" s="0" t="s">
        <v>583</v>
      </c>
      <c r="P22" s="0" t="s">
        <v>343</v>
      </c>
      <c r="Q22" s="0" t="s">
        <v>343</v>
      </c>
      <c r="U22" s="0" t="s">
        <v>584</v>
      </c>
      <c r="W22" s="0" t="s">
        <v>566</v>
      </c>
      <c r="X22" s="0" t="s">
        <v>298</v>
      </c>
      <c r="Y22" s="0" t="s">
        <v>56</v>
      </c>
      <c r="Z22" s="0" t="s">
        <v>570</v>
      </c>
      <c r="AA22" s="0" t="s">
        <v>203</v>
      </c>
      <c r="AB22" s="0" t="s">
        <v>531</v>
      </c>
      <c r="AC22" s="0" t="s">
        <v>571</v>
      </c>
      <c r="AD22" s="0" t="s">
        <v>572</v>
      </c>
      <c r="AF22" s="0" t="s">
        <v>301</v>
      </c>
      <c r="AM22" s="0" t="s">
        <v>585</v>
      </c>
      <c r="AN22" s="0" t="s">
        <v>585</v>
      </c>
      <c r="AO22" s="0" t="s">
        <v>351</v>
      </c>
      <c r="AP22" s="0" t="s">
        <v>305</v>
      </c>
      <c r="AU22" s="0">
        <v>476</v>
      </c>
      <c r="AX22" s="0" t="s">
        <v>586</v>
      </c>
      <c r="AY22" s="0" t="s">
        <v>586</v>
      </c>
      <c r="AZ22" s="0" t="s">
        <v>587</v>
      </c>
      <c r="BA22" s="0">
        <v>438</v>
      </c>
      <c r="BB22" s="0" t="s">
        <v>232</v>
      </c>
      <c r="BC22" s="0">
        <v>2</v>
      </c>
      <c r="BD22" s="0">
        <v>374046</v>
      </c>
      <c r="BE22" s="0">
        <v>519203</v>
      </c>
      <c r="BF22" s="0">
        <v>5</v>
      </c>
      <c r="BG22" s="0" t="s">
        <v>588</v>
      </c>
      <c r="BI22" s="0">
        <v>740</v>
      </c>
      <c r="BK22" s="0" t="s">
        <v>589</v>
      </c>
    </row>
    <row r="23">
      <c r="A23" s="0">
        <v>4464</v>
      </c>
      <c r="B23" s="0" t="s">
        <v>590</v>
      </c>
      <c r="C23" s="0" t="s">
        <v>315</v>
      </c>
      <c r="D23" s="0" t="s">
        <v>566</v>
      </c>
      <c r="E23" s="0" t="s">
        <v>591</v>
      </c>
      <c r="F23" s="0">
        <v>7</v>
      </c>
      <c r="G23" s="0" t="s">
        <v>592</v>
      </c>
      <c r="H23" s="0" t="s">
        <v>593</v>
      </c>
      <c r="I23" s="0" t="s">
        <v>469</v>
      </c>
      <c r="J23" s="0" t="s">
        <v>594</v>
      </c>
      <c r="L23" s="0" t="s">
        <v>595</v>
      </c>
      <c r="P23" s="0" t="s">
        <v>323</v>
      </c>
      <c r="Q23" s="0" t="s">
        <v>323</v>
      </c>
      <c r="R23" s="0" t="s">
        <v>568</v>
      </c>
      <c r="T23" s="0" t="s">
        <v>596</v>
      </c>
      <c r="U23" s="0" t="s">
        <v>597</v>
      </c>
      <c r="W23" s="0" t="s">
        <v>566</v>
      </c>
      <c r="X23" s="0" t="s">
        <v>298</v>
      </c>
      <c r="Y23" s="0" t="s">
        <v>56</v>
      </c>
      <c r="Z23" s="0" t="s">
        <v>570</v>
      </c>
      <c r="AA23" s="0" t="s">
        <v>203</v>
      </c>
      <c r="AB23" s="0" t="s">
        <v>531</v>
      </c>
      <c r="AC23" s="0" t="s">
        <v>571</v>
      </c>
      <c r="AD23" s="0" t="s">
        <v>572</v>
      </c>
      <c r="AF23" s="0" t="s">
        <v>301</v>
      </c>
      <c r="AM23" s="0" t="s">
        <v>512</v>
      </c>
      <c r="AN23" s="0" t="s">
        <v>512</v>
      </c>
      <c r="AO23" s="0" t="s">
        <v>474</v>
      </c>
      <c r="AP23" s="0" t="s">
        <v>305</v>
      </c>
      <c r="AU23" s="0">
        <v>276</v>
      </c>
      <c r="AX23" s="0" t="s">
        <v>490</v>
      </c>
      <c r="AY23" s="0" t="s">
        <v>598</v>
      </c>
      <c r="AZ23" s="0" t="s">
        <v>599</v>
      </c>
      <c r="BA23" s="0">
        <v>438</v>
      </c>
      <c r="BB23" s="0" t="s">
        <v>232</v>
      </c>
      <c r="BC23" s="0">
        <v>2</v>
      </c>
      <c r="BD23" s="0">
        <v>374043</v>
      </c>
      <c r="BE23" s="0">
        <v>519203</v>
      </c>
      <c r="BF23" s="0">
        <v>5</v>
      </c>
      <c r="BG23" s="0" t="s">
        <v>600</v>
      </c>
      <c r="BI23" s="0">
        <v>2136</v>
      </c>
      <c r="BK23" s="0" t="s">
        <v>601</v>
      </c>
    </row>
    <row r="24">
      <c r="A24" s="0">
        <v>4468</v>
      </c>
      <c r="B24" s="0" t="s">
        <v>602</v>
      </c>
      <c r="C24" s="0" t="s">
        <v>315</v>
      </c>
      <c r="D24" s="0" t="s">
        <v>566</v>
      </c>
      <c r="E24" s="0" t="s">
        <v>603</v>
      </c>
      <c r="F24" s="0">
        <v>2</v>
      </c>
      <c r="G24" s="0" t="s">
        <v>293</v>
      </c>
      <c r="H24" s="0" t="s">
        <v>294</v>
      </c>
      <c r="I24" s="0" t="s">
        <v>295</v>
      </c>
      <c r="J24" s="0" t="s">
        <v>594</v>
      </c>
      <c r="L24" s="0" t="s">
        <v>604</v>
      </c>
      <c r="P24" s="0" t="s">
        <v>343</v>
      </c>
      <c r="Q24" s="0" t="s">
        <v>343</v>
      </c>
      <c r="T24" s="0" t="s">
        <v>605</v>
      </c>
      <c r="U24" s="0" t="s">
        <v>606</v>
      </c>
      <c r="W24" s="0" t="s">
        <v>566</v>
      </c>
      <c r="X24" s="0" t="s">
        <v>529</v>
      </c>
      <c r="Y24" s="0" t="s">
        <v>56</v>
      </c>
      <c r="Z24" s="0" t="s">
        <v>570</v>
      </c>
      <c r="AA24" s="0" t="s">
        <v>203</v>
      </c>
      <c r="AB24" s="0" t="s">
        <v>531</v>
      </c>
      <c r="AC24" s="0" t="s">
        <v>571</v>
      </c>
      <c r="AD24" s="0" t="s">
        <v>572</v>
      </c>
      <c r="AF24" s="0" t="s">
        <v>301</v>
      </c>
      <c r="AM24" s="0" t="s">
        <v>607</v>
      </c>
      <c r="AN24" s="0" t="s">
        <v>608</v>
      </c>
      <c r="AO24" s="0" t="s">
        <v>609</v>
      </c>
      <c r="AP24" s="0" t="s">
        <v>305</v>
      </c>
      <c r="AU24" s="0">
        <v>448</v>
      </c>
      <c r="AX24" s="0" t="s">
        <v>610</v>
      </c>
      <c r="AY24" s="0" t="s">
        <v>611</v>
      </c>
      <c r="AZ24" s="0" t="s">
        <v>612</v>
      </c>
      <c r="BA24" s="0">
        <v>438</v>
      </c>
      <c r="BB24" s="0" t="s">
        <v>232</v>
      </c>
      <c r="BC24" s="0">
        <v>2</v>
      </c>
      <c r="BD24" s="0">
        <v>374043</v>
      </c>
      <c r="BE24" s="0">
        <v>519203</v>
      </c>
      <c r="BF24" s="0">
        <v>2</v>
      </c>
      <c r="BG24" s="0" t="s">
        <v>613</v>
      </c>
      <c r="BI24" s="0">
        <v>2900</v>
      </c>
      <c r="BK24" s="0" t="s">
        <v>614</v>
      </c>
    </row>
    <row r="25">
      <c r="A25" s="0">
        <v>4694</v>
      </c>
      <c r="C25" s="0" t="s">
        <v>315</v>
      </c>
      <c r="D25" s="0" t="s">
        <v>615</v>
      </c>
      <c r="E25" s="0" t="s">
        <v>616</v>
      </c>
      <c r="F25" s="0">
        <v>2</v>
      </c>
      <c r="G25" s="0" t="s">
        <v>400</v>
      </c>
      <c r="I25" s="0" t="s">
        <v>617</v>
      </c>
      <c r="J25" s="0" t="s">
        <v>592</v>
      </c>
      <c r="K25" s="0" t="s">
        <v>618</v>
      </c>
      <c r="L25" s="0" t="s">
        <v>617</v>
      </c>
      <c r="P25" s="0" t="s">
        <v>619</v>
      </c>
      <c r="Q25" s="0" t="s">
        <v>619</v>
      </c>
      <c r="U25" s="0" t="s">
        <v>620</v>
      </c>
      <c r="W25" s="0" t="s">
        <v>566</v>
      </c>
      <c r="X25" s="0" t="s">
        <v>347</v>
      </c>
      <c r="Y25" s="0" t="s">
        <v>56</v>
      </c>
      <c r="Z25" s="0" t="s">
        <v>570</v>
      </c>
      <c r="AA25" s="0" t="s">
        <v>203</v>
      </c>
      <c r="AB25" s="0" t="s">
        <v>531</v>
      </c>
      <c r="AC25" s="0" t="s">
        <v>571</v>
      </c>
      <c r="AD25" s="0" t="s">
        <v>572</v>
      </c>
      <c r="AF25" s="0" t="s">
        <v>301</v>
      </c>
      <c r="AM25" s="0" t="s">
        <v>372</v>
      </c>
      <c r="AN25" s="0" t="s">
        <v>302</v>
      </c>
      <c r="AO25" s="0" t="s">
        <v>350</v>
      </c>
      <c r="AP25" s="0" t="s">
        <v>305</v>
      </c>
      <c r="BA25" s="0">
        <v>438</v>
      </c>
      <c r="BB25" s="0" t="s">
        <v>232</v>
      </c>
      <c r="BC25" s="0">
        <v>2</v>
      </c>
      <c r="BD25" s="0">
        <v>374043</v>
      </c>
      <c r="BE25" s="0">
        <v>519203</v>
      </c>
      <c r="BF25" s="0">
        <v>4</v>
      </c>
      <c r="BG25" s="0" t="s">
        <v>621</v>
      </c>
      <c r="BI25" s="0">
        <v>4749</v>
      </c>
      <c r="BK25" s="0" t="s">
        <v>622</v>
      </c>
    </row>
    <row r="26">
      <c r="A26" s="0">
        <v>4469</v>
      </c>
      <c r="B26" s="0" t="s">
        <v>623</v>
      </c>
      <c r="C26" s="0" t="s">
        <v>315</v>
      </c>
      <c r="D26" s="0" t="s">
        <v>566</v>
      </c>
      <c r="E26" s="0" t="s">
        <v>624</v>
      </c>
      <c r="F26" s="0">
        <v>2</v>
      </c>
      <c r="G26" s="0" t="s">
        <v>293</v>
      </c>
      <c r="H26" s="0" t="s">
        <v>294</v>
      </c>
      <c r="I26" s="0" t="s">
        <v>295</v>
      </c>
      <c r="J26" s="0" t="s">
        <v>594</v>
      </c>
      <c r="L26" s="0" t="s">
        <v>595</v>
      </c>
      <c r="P26" s="0" t="s">
        <v>343</v>
      </c>
      <c r="Q26" s="0" t="s">
        <v>343</v>
      </c>
      <c r="U26" s="0" t="s">
        <v>625</v>
      </c>
      <c r="W26" s="0" t="s">
        <v>566</v>
      </c>
      <c r="X26" s="0" t="s">
        <v>298</v>
      </c>
      <c r="Y26" s="0" t="s">
        <v>56</v>
      </c>
      <c r="Z26" s="0" t="s">
        <v>570</v>
      </c>
      <c r="AA26" s="0" t="s">
        <v>203</v>
      </c>
      <c r="AB26" s="0" t="s">
        <v>531</v>
      </c>
      <c r="AC26" s="0" t="s">
        <v>571</v>
      </c>
      <c r="AD26" s="0" t="s">
        <v>572</v>
      </c>
      <c r="AF26" s="0" t="s">
        <v>301</v>
      </c>
      <c r="AM26" s="0" t="s">
        <v>626</v>
      </c>
      <c r="AN26" s="0" t="s">
        <v>599</v>
      </c>
      <c r="AO26" s="0" t="s">
        <v>627</v>
      </c>
      <c r="AP26" s="0" t="s">
        <v>305</v>
      </c>
      <c r="AU26" s="0">
        <v>150</v>
      </c>
      <c r="AX26" s="0" t="s">
        <v>628</v>
      </c>
      <c r="AY26" s="0" t="s">
        <v>629</v>
      </c>
      <c r="AZ26" s="0" t="s">
        <v>389</v>
      </c>
      <c r="BA26" s="0">
        <v>438</v>
      </c>
      <c r="BB26" s="0" t="s">
        <v>232</v>
      </c>
      <c r="BC26" s="0">
        <v>2</v>
      </c>
      <c r="BD26" s="0">
        <v>374043</v>
      </c>
      <c r="BE26" s="0">
        <v>519203</v>
      </c>
      <c r="BF26" s="0">
        <v>5</v>
      </c>
      <c r="BG26" s="0" t="s">
        <v>630</v>
      </c>
      <c r="BI26" s="0">
        <v>3067</v>
      </c>
      <c r="BK26" s="0" t="s">
        <v>631</v>
      </c>
    </row>
    <row r="27">
      <c r="A27" s="0">
        <v>4471</v>
      </c>
      <c r="B27" s="0" t="s">
        <v>632</v>
      </c>
      <c r="C27" s="0" t="s">
        <v>315</v>
      </c>
      <c r="D27" s="0" t="s">
        <v>566</v>
      </c>
      <c r="E27" s="0" t="s">
        <v>633</v>
      </c>
      <c r="F27" s="0">
        <v>1</v>
      </c>
      <c r="G27" s="0" t="s">
        <v>293</v>
      </c>
      <c r="H27" s="0" t="s">
        <v>294</v>
      </c>
      <c r="I27" s="0" t="s">
        <v>295</v>
      </c>
      <c r="J27" s="0" t="s">
        <v>594</v>
      </c>
      <c r="L27" s="0" t="s">
        <v>604</v>
      </c>
      <c r="P27" s="0" t="s">
        <v>343</v>
      </c>
      <c r="Q27" s="0" t="s">
        <v>343</v>
      </c>
      <c r="T27" s="0" t="s">
        <v>634</v>
      </c>
      <c r="U27" s="0" t="s">
        <v>635</v>
      </c>
      <c r="W27" s="0" t="s">
        <v>566</v>
      </c>
      <c r="X27" s="0" t="s">
        <v>529</v>
      </c>
      <c r="Y27" s="0" t="s">
        <v>56</v>
      </c>
      <c r="Z27" s="0" t="s">
        <v>570</v>
      </c>
      <c r="AA27" s="0" t="s">
        <v>203</v>
      </c>
      <c r="AB27" s="0" t="s">
        <v>531</v>
      </c>
      <c r="AC27" s="0" t="s">
        <v>571</v>
      </c>
      <c r="AD27" s="0" t="s">
        <v>572</v>
      </c>
      <c r="AF27" s="0" t="s">
        <v>301</v>
      </c>
      <c r="AM27" s="0" t="s">
        <v>636</v>
      </c>
      <c r="AN27" s="0" t="s">
        <v>599</v>
      </c>
      <c r="AO27" s="0" t="s">
        <v>627</v>
      </c>
      <c r="AP27" s="0" t="s">
        <v>305</v>
      </c>
      <c r="AU27" s="0">
        <v>128</v>
      </c>
      <c r="AX27" s="0" t="s">
        <v>637</v>
      </c>
      <c r="AY27" s="0" t="s">
        <v>477</v>
      </c>
      <c r="AZ27" s="0" t="s">
        <v>389</v>
      </c>
      <c r="BA27" s="0">
        <v>438</v>
      </c>
      <c r="BB27" s="0" t="s">
        <v>232</v>
      </c>
      <c r="BC27" s="0">
        <v>2</v>
      </c>
      <c r="BD27" s="0">
        <v>374043</v>
      </c>
      <c r="BE27" s="0">
        <v>519203</v>
      </c>
      <c r="BF27" s="0">
        <v>2</v>
      </c>
      <c r="BG27" s="0" t="s">
        <v>638</v>
      </c>
      <c r="BI27" s="0">
        <v>3361</v>
      </c>
      <c r="BK27" s="0" t="s">
        <v>639</v>
      </c>
    </row>
    <row r="28">
      <c r="A28" s="0">
        <v>4693</v>
      </c>
      <c r="C28" s="0" t="s">
        <v>315</v>
      </c>
      <c r="D28" s="0" t="s">
        <v>615</v>
      </c>
      <c r="E28" s="0" t="s">
        <v>640</v>
      </c>
      <c r="F28" s="0">
        <v>2</v>
      </c>
      <c r="G28" s="0" t="s">
        <v>400</v>
      </c>
      <c r="I28" s="0" t="s">
        <v>617</v>
      </c>
      <c r="J28" s="0" t="s">
        <v>592</v>
      </c>
      <c r="K28" s="0" t="s">
        <v>618</v>
      </c>
      <c r="L28" s="0" t="s">
        <v>617</v>
      </c>
      <c r="P28" s="0" t="s">
        <v>619</v>
      </c>
      <c r="Q28" s="0" t="s">
        <v>619</v>
      </c>
      <c r="U28" s="0" t="s">
        <v>641</v>
      </c>
      <c r="W28" s="0" t="s">
        <v>566</v>
      </c>
      <c r="X28" s="0" t="s">
        <v>347</v>
      </c>
      <c r="Y28" s="0" t="s">
        <v>56</v>
      </c>
      <c r="Z28" s="0" t="s">
        <v>570</v>
      </c>
      <c r="AA28" s="0" t="s">
        <v>203</v>
      </c>
      <c r="AB28" s="0" t="s">
        <v>531</v>
      </c>
      <c r="AC28" s="0" t="s">
        <v>571</v>
      </c>
      <c r="AD28" s="0" t="s">
        <v>572</v>
      </c>
      <c r="AF28" s="0" t="s">
        <v>301</v>
      </c>
      <c r="AM28" s="0" t="s">
        <v>372</v>
      </c>
      <c r="AN28" s="0" t="s">
        <v>302</v>
      </c>
      <c r="AO28" s="0" t="s">
        <v>350</v>
      </c>
      <c r="AP28" s="0" t="s">
        <v>305</v>
      </c>
      <c r="BA28" s="0">
        <v>438</v>
      </c>
      <c r="BB28" s="0" t="s">
        <v>232</v>
      </c>
      <c r="BC28" s="0">
        <v>2</v>
      </c>
      <c r="BD28" s="0">
        <v>374043</v>
      </c>
      <c r="BE28" s="0">
        <v>519203</v>
      </c>
      <c r="BF28" s="0">
        <v>4</v>
      </c>
      <c r="BG28" s="0" t="s">
        <v>642</v>
      </c>
      <c r="BI28" s="0">
        <v>4727</v>
      </c>
      <c r="BK28" s="0" t="s">
        <v>643</v>
      </c>
    </row>
    <row r="29">
      <c r="A29" s="0">
        <v>4472</v>
      </c>
      <c r="B29" s="0" t="s">
        <v>644</v>
      </c>
      <c r="C29" s="0" t="s">
        <v>315</v>
      </c>
      <c r="D29" s="0" t="s">
        <v>566</v>
      </c>
      <c r="E29" s="0" t="s">
        <v>645</v>
      </c>
      <c r="F29" s="0">
        <v>1</v>
      </c>
      <c r="G29" s="0" t="s">
        <v>592</v>
      </c>
      <c r="H29" s="0" t="s">
        <v>618</v>
      </c>
      <c r="I29" s="0" t="s">
        <v>646</v>
      </c>
      <c r="J29" s="0" t="s">
        <v>594</v>
      </c>
      <c r="L29" s="0" t="s">
        <v>647</v>
      </c>
      <c r="P29" s="0" t="s">
        <v>323</v>
      </c>
      <c r="Q29" s="0" t="s">
        <v>323</v>
      </c>
      <c r="R29" s="0" t="s">
        <v>648</v>
      </c>
      <c r="U29" s="0" t="s">
        <v>649</v>
      </c>
      <c r="W29" s="0" t="s">
        <v>566</v>
      </c>
      <c r="X29" s="0" t="s">
        <v>298</v>
      </c>
      <c r="Y29" s="0" t="s">
        <v>56</v>
      </c>
      <c r="Z29" s="0" t="s">
        <v>570</v>
      </c>
      <c r="AA29" s="0" t="s">
        <v>203</v>
      </c>
      <c r="AB29" s="0" t="s">
        <v>531</v>
      </c>
      <c r="AC29" s="0" t="s">
        <v>571</v>
      </c>
      <c r="AD29" s="0" t="s">
        <v>572</v>
      </c>
      <c r="AF29" s="0" t="s">
        <v>301</v>
      </c>
      <c r="AM29" s="0" t="s">
        <v>650</v>
      </c>
      <c r="AN29" s="0" t="s">
        <v>651</v>
      </c>
      <c r="AO29" s="0" t="s">
        <v>304</v>
      </c>
      <c r="AP29" s="0" t="s">
        <v>305</v>
      </c>
      <c r="AU29" s="0">
        <v>126</v>
      </c>
      <c r="AX29" s="0" t="s">
        <v>652</v>
      </c>
      <c r="AY29" s="0" t="s">
        <v>585</v>
      </c>
      <c r="AZ29" s="0" t="s">
        <v>487</v>
      </c>
      <c r="BA29" s="0">
        <v>438</v>
      </c>
      <c r="BB29" s="0" t="s">
        <v>232</v>
      </c>
      <c r="BC29" s="0">
        <v>2</v>
      </c>
      <c r="BD29" s="0">
        <v>374043</v>
      </c>
      <c r="BE29" s="0">
        <v>519203</v>
      </c>
      <c r="BF29" s="0">
        <v>5</v>
      </c>
      <c r="BG29" s="0" t="s">
        <v>653</v>
      </c>
      <c r="BI29" s="0">
        <v>3489</v>
      </c>
      <c r="BK29" s="0" t="s">
        <v>654</v>
      </c>
    </row>
    <row r="30">
      <c r="A30" s="0">
        <v>4479</v>
      </c>
      <c r="B30" s="0" t="s">
        <v>655</v>
      </c>
      <c r="C30" s="0" t="s">
        <v>656</v>
      </c>
      <c r="D30" s="0" t="s">
        <v>566</v>
      </c>
      <c r="E30" s="0" t="s">
        <v>657</v>
      </c>
      <c r="F30" s="0">
        <v>1</v>
      </c>
      <c r="G30" s="0" t="s">
        <v>293</v>
      </c>
      <c r="H30" s="0" t="s">
        <v>294</v>
      </c>
      <c r="I30" s="0" t="s">
        <v>295</v>
      </c>
      <c r="J30" s="0" t="s">
        <v>319</v>
      </c>
      <c r="K30" s="0" t="s">
        <v>658</v>
      </c>
      <c r="L30" s="0" t="s">
        <v>659</v>
      </c>
      <c r="M30" s="0" t="s">
        <v>594</v>
      </c>
      <c r="O30" s="0" t="s">
        <v>660</v>
      </c>
      <c r="P30" s="0" t="s">
        <v>323</v>
      </c>
      <c r="Q30" s="0" t="s">
        <v>323</v>
      </c>
      <c r="R30" s="0" t="s">
        <v>661</v>
      </c>
      <c r="T30" s="0" t="s">
        <v>662</v>
      </c>
      <c r="U30" s="0" t="s">
        <v>663</v>
      </c>
      <c r="W30" s="0" t="s">
        <v>566</v>
      </c>
      <c r="X30" s="0" t="s">
        <v>298</v>
      </c>
      <c r="Y30" s="0" t="s">
        <v>56</v>
      </c>
      <c r="Z30" s="0" t="s">
        <v>570</v>
      </c>
      <c r="AA30" s="0" t="s">
        <v>203</v>
      </c>
      <c r="AB30" s="0" t="s">
        <v>531</v>
      </c>
      <c r="AC30" s="0" t="s">
        <v>571</v>
      </c>
      <c r="AD30" s="0" t="s">
        <v>572</v>
      </c>
      <c r="AF30" s="0" t="s">
        <v>301</v>
      </c>
      <c r="AM30" s="0" t="s">
        <v>664</v>
      </c>
      <c r="AN30" s="0" t="s">
        <v>349</v>
      </c>
      <c r="AO30" s="0" t="s">
        <v>350</v>
      </c>
      <c r="AP30" s="0" t="s">
        <v>305</v>
      </c>
      <c r="AU30" s="0">
        <v>75</v>
      </c>
      <c r="AX30" s="0" t="s">
        <v>665</v>
      </c>
      <c r="AY30" s="0" t="s">
        <v>666</v>
      </c>
      <c r="AZ30" s="0" t="s">
        <v>302</v>
      </c>
      <c r="BA30" s="0">
        <v>438</v>
      </c>
      <c r="BB30" s="0" t="s">
        <v>232</v>
      </c>
      <c r="BC30" s="0">
        <v>2</v>
      </c>
      <c r="BD30" s="0">
        <v>10</v>
      </c>
      <c r="BE30" s="0">
        <v>519203</v>
      </c>
      <c r="BF30" s="0">
        <v>5</v>
      </c>
      <c r="BG30" s="0" t="s">
        <v>667</v>
      </c>
      <c r="BI30" s="0">
        <v>4146</v>
      </c>
      <c r="BK30" s="0" t="s">
        <v>668</v>
      </c>
    </row>
    <row r="31">
      <c r="A31" s="0">
        <v>4473</v>
      </c>
      <c r="B31" s="0" t="s">
        <v>669</v>
      </c>
      <c r="C31" s="0" t="s">
        <v>315</v>
      </c>
      <c r="D31" s="0" t="s">
        <v>566</v>
      </c>
      <c r="E31" s="0" t="s">
        <v>670</v>
      </c>
      <c r="F31" s="0">
        <v>1</v>
      </c>
      <c r="G31" s="0" t="s">
        <v>592</v>
      </c>
      <c r="H31" s="0" t="s">
        <v>618</v>
      </c>
      <c r="I31" s="0" t="s">
        <v>671</v>
      </c>
      <c r="J31" s="0" t="s">
        <v>594</v>
      </c>
      <c r="L31" s="0" t="s">
        <v>672</v>
      </c>
      <c r="P31" s="0" t="s">
        <v>323</v>
      </c>
      <c r="Q31" s="0" t="s">
        <v>323</v>
      </c>
      <c r="R31" s="0" t="s">
        <v>673</v>
      </c>
      <c r="U31" s="0" t="s">
        <v>674</v>
      </c>
      <c r="W31" s="0" t="s">
        <v>566</v>
      </c>
      <c r="X31" s="0" t="s">
        <v>298</v>
      </c>
      <c r="Y31" s="0" t="s">
        <v>56</v>
      </c>
      <c r="Z31" s="0" t="s">
        <v>570</v>
      </c>
      <c r="AA31" s="0" t="s">
        <v>203</v>
      </c>
      <c r="AB31" s="0" t="s">
        <v>531</v>
      </c>
      <c r="AC31" s="0" t="s">
        <v>571</v>
      </c>
      <c r="AD31" s="0" t="s">
        <v>572</v>
      </c>
      <c r="AF31" s="0" t="s">
        <v>301</v>
      </c>
      <c r="AM31" s="0" t="s">
        <v>650</v>
      </c>
      <c r="AN31" s="0" t="s">
        <v>651</v>
      </c>
      <c r="AO31" s="0" t="s">
        <v>304</v>
      </c>
      <c r="AP31" s="0" t="s">
        <v>305</v>
      </c>
      <c r="AU31" s="0">
        <v>126</v>
      </c>
      <c r="AX31" s="0" t="s">
        <v>652</v>
      </c>
      <c r="AY31" s="0" t="s">
        <v>585</v>
      </c>
      <c r="AZ31" s="0" t="s">
        <v>487</v>
      </c>
      <c r="BA31" s="0">
        <v>438</v>
      </c>
      <c r="BB31" s="0" t="s">
        <v>232</v>
      </c>
      <c r="BC31" s="0">
        <v>2</v>
      </c>
      <c r="BD31" s="0">
        <v>374043</v>
      </c>
      <c r="BE31" s="0">
        <v>519203</v>
      </c>
      <c r="BF31" s="0">
        <v>5</v>
      </c>
      <c r="BG31" s="0" t="s">
        <v>675</v>
      </c>
      <c r="BI31" s="0">
        <v>3602</v>
      </c>
      <c r="BK31" s="0" t="s">
        <v>676</v>
      </c>
    </row>
    <row r="32">
      <c r="A32" s="0">
        <v>4474</v>
      </c>
      <c r="B32" s="0" t="s">
        <v>677</v>
      </c>
      <c r="C32" s="0" t="s">
        <v>315</v>
      </c>
      <c r="D32" s="0" t="s">
        <v>566</v>
      </c>
      <c r="E32" s="0" t="s">
        <v>678</v>
      </c>
      <c r="F32" s="0">
        <v>1</v>
      </c>
      <c r="G32" s="0" t="s">
        <v>592</v>
      </c>
      <c r="H32" s="0" t="s">
        <v>618</v>
      </c>
      <c r="I32" s="0" t="s">
        <v>646</v>
      </c>
      <c r="J32" s="0" t="s">
        <v>594</v>
      </c>
      <c r="L32" s="0" t="s">
        <v>647</v>
      </c>
      <c r="P32" s="0" t="s">
        <v>343</v>
      </c>
      <c r="Q32" s="0" t="s">
        <v>343</v>
      </c>
      <c r="R32" s="0" t="s">
        <v>648</v>
      </c>
      <c r="T32" s="0" t="s">
        <v>679</v>
      </c>
      <c r="U32" s="0" t="s">
        <v>680</v>
      </c>
      <c r="W32" s="0" t="s">
        <v>566</v>
      </c>
      <c r="X32" s="0" t="s">
        <v>347</v>
      </c>
      <c r="Y32" s="0" t="s">
        <v>56</v>
      </c>
      <c r="Z32" s="0" t="s">
        <v>570</v>
      </c>
      <c r="AA32" s="0" t="s">
        <v>203</v>
      </c>
      <c r="AB32" s="0" t="s">
        <v>531</v>
      </c>
      <c r="AC32" s="0" t="s">
        <v>571</v>
      </c>
      <c r="AD32" s="0" t="s">
        <v>572</v>
      </c>
      <c r="AF32" s="0" t="s">
        <v>301</v>
      </c>
      <c r="AM32" s="0" t="s">
        <v>650</v>
      </c>
      <c r="AN32" s="0" t="s">
        <v>681</v>
      </c>
      <c r="AO32" s="0" t="s">
        <v>304</v>
      </c>
      <c r="AP32" s="0" t="s">
        <v>305</v>
      </c>
      <c r="AU32" s="0">
        <v>51</v>
      </c>
      <c r="AX32" s="0" t="s">
        <v>682</v>
      </c>
      <c r="AY32" s="0" t="s">
        <v>683</v>
      </c>
      <c r="AZ32" s="0" t="s">
        <v>487</v>
      </c>
      <c r="BA32" s="0">
        <v>438</v>
      </c>
      <c r="BB32" s="0" t="s">
        <v>232</v>
      </c>
      <c r="BC32" s="0">
        <v>2</v>
      </c>
      <c r="BD32" s="0">
        <v>374043</v>
      </c>
      <c r="BE32" s="0">
        <v>519203</v>
      </c>
      <c r="BF32" s="0">
        <v>4</v>
      </c>
      <c r="BG32" s="0" t="s">
        <v>684</v>
      </c>
      <c r="BI32" s="0">
        <v>3712</v>
      </c>
      <c r="BK32" s="0" t="s">
        <v>685</v>
      </c>
    </row>
    <row r="33">
      <c r="A33" s="0">
        <v>4475</v>
      </c>
      <c r="B33" s="0" t="s">
        <v>686</v>
      </c>
      <c r="C33" s="0" t="s">
        <v>315</v>
      </c>
      <c r="D33" s="0" t="s">
        <v>566</v>
      </c>
      <c r="E33" s="0" t="s">
        <v>687</v>
      </c>
      <c r="F33" s="0">
        <v>1</v>
      </c>
      <c r="G33" s="0" t="s">
        <v>592</v>
      </c>
      <c r="H33" s="0" t="s">
        <v>618</v>
      </c>
      <c r="I33" s="0" t="s">
        <v>671</v>
      </c>
      <c r="J33" s="0" t="s">
        <v>594</v>
      </c>
      <c r="L33" s="0" t="s">
        <v>672</v>
      </c>
      <c r="P33" s="0" t="s">
        <v>323</v>
      </c>
      <c r="Q33" s="0" t="s">
        <v>323</v>
      </c>
      <c r="R33" s="0" t="s">
        <v>673</v>
      </c>
      <c r="T33" s="0" t="s">
        <v>679</v>
      </c>
      <c r="U33" s="0" t="s">
        <v>688</v>
      </c>
      <c r="W33" s="0" t="s">
        <v>566</v>
      </c>
      <c r="X33" s="0" t="s">
        <v>298</v>
      </c>
      <c r="Y33" s="0" t="s">
        <v>56</v>
      </c>
      <c r="Z33" s="0" t="s">
        <v>570</v>
      </c>
      <c r="AA33" s="0" t="s">
        <v>203</v>
      </c>
      <c r="AB33" s="0" t="s">
        <v>531</v>
      </c>
      <c r="AC33" s="0" t="s">
        <v>571</v>
      </c>
      <c r="AD33" s="0" t="s">
        <v>572</v>
      </c>
      <c r="AF33" s="0" t="s">
        <v>301</v>
      </c>
      <c r="AM33" s="0" t="s">
        <v>650</v>
      </c>
      <c r="AN33" s="0" t="s">
        <v>681</v>
      </c>
      <c r="AO33" s="0" t="s">
        <v>304</v>
      </c>
      <c r="AP33" s="0" t="s">
        <v>305</v>
      </c>
      <c r="AU33" s="0">
        <v>51</v>
      </c>
      <c r="AX33" s="0" t="s">
        <v>682</v>
      </c>
      <c r="AY33" s="0" t="s">
        <v>683</v>
      </c>
      <c r="AZ33" s="0" t="s">
        <v>487</v>
      </c>
      <c r="BA33" s="0">
        <v>438</v>
      </c>
      <c r="BB33" s="0" t="s">
        <v>232</v>
      </c>
      <c r="BC33" s="0">
        <v>2</v>
      </c>
      <c r="BD33" s="0">
        <v>374043</v>
      </c>
      <c r="BE33" s="0">
        <v>519203</v>
      </c>
      <c r="BF33" s="0">
        <v>5</v>
      </c>
      <c r="BG33" s="0" t="s">
        <v>689</v>
      </c>
      <c r="BI33" s="0">
        <v>3808</v>
      </c>
      <c r="BK33" s="0" t="s">
        <v>690</v>
      </c>
    </row>
    <row r="34">
      <c r="A34" s="0">
        <v>4480</v>
      </c>
      <c r="B34" s="0" t="s">
        <v>691</v>
      </c>
      <c r="C34" s="0" t="s">
        <v>656</v>
      </c>
      <c r="D34" s="0" t="s">
        <v>566</v>
      </c>
      <c r="E34" s="0" t="s">
        <v>692</v>
      </c>
      <c r="F34" s="0">
        <v>1</v>
      </c>
      <c r="G34" s="0" t="s">
        <v>293</v>
      </c>
      <c r="H34" s="0" t="s">
        <v>294</v>
      </c>
      <c r="I34" s="0" t="s">
        <v>295</v>
      </c>
      <c r="J34" s="0" t="s">
        <v>319</v>
      </c>
      <c r="K34" s="0" t="s">
        <v>658</v>
      </c>
      <c r="L34" s="0" t="s">
        <v>659</v>
      </c>
      <c r="M34" s="0" t="s">
        <v>594</v>
      </c>
      <c r="O34" s="0" t="s">
        <v>660</v>
      </c>
      <c r="P34" s="0" t="s">
        <v>323</v>
      </c>
      <c r="Q34" s="0" t="s">
        <v>323</v>
      </c>
      <c r="R34" s="0" t="s">
        <v>661</v>
      </c>
      <c r="T34" s="0" t="s">
        <v>662</v>
      </c>
      <c r="U34" s="0" t="s">
        <v>693</v>
      </c>
      <c r="W34" s="0" t="s">
        <v>566</v>
      </c>
      <c r="X34" s="0" t="s">
        <v>347</v>
      </c>
      <c r="Y34" s="0" t="s">
        <v>56</v>
      </c>
      <c r="Z34" s="0" t="s">
        <v>570</v>
      </c>
      <c r="AA34" s="0" t="s">
        <v>203</v>
      </c>
      <c r="AB34" s="0" t="s">
        <v>531</v>
      </c>
      <c r="AC34" s="0" t="s">
        <v>571</v>
      </c>
      <c r="AD34" s="0" t="s">
        <v>572</v>
      </c>
      <c r="AF34" s="0" t="s">
        <v>301</v>
      </c>
      <c r="AM34" s="0" t="s">
        <v>349</v>
      </c>
      <c r="AN34" s="0" t="s">
        <v>350</v>
      </c>
      <c r="AO34" s="0" t="s">
        <v>350</v>
      </c>
      <c r="AP34" s="0" t="s">
        <v>305</v>
      </c>
      <c r="AU34" s="0">
        <v>212</v>
      </c>
      <c r="AX34" s="0" t="s">
        <v>574</v>
      </c>
      <c r="AY34" s="0" t="s">
        <v>574</v>
      </c>
      <c r="AZ34" s="0" t="s">
        <v>694</v>
      </c>
      <c r="BA34" s="0">
        <v>438</v>
      </c>
      <c r="BB34" s="0" t="s">
        <v>232</v>
      </c>
      <c r="BC34" s="0">
        <v>2</v>
      </c>
      <c r="BD34" s="0">
        <v>10</v>
      </c>
      <c r="BE34" s="0">
        <v>519203</v>
      </c>
      <c r="BF34" s="0">
        <v>4</v>
      </c>
      <c r="BG34" s="0" t="s">
        <v>695</v>
      </c>
      <c r="BI34" s="0">
        <v>4216</v>
      </c>
      <c r="BK34" s="0" t="s">
        <v>696</v>
      </c>
    </row>
    <row r="35">
      <c r="A35" s="0">
        <v>4476</v>
      </c>
      <c r="B35" s="0" t="s">
        <v>697</v>
      </c>
      <c r="C35" s="0" t="s">
        <v>579</v>
      </c>
      <c r="D35" s="0" t="s">
        <v>566</v>
      </c>
      <c r="E35" s="0" t="s">
        <v>698</v>
      </c>
      <c r="F35" s="0">
        <v>1</v>
      </c>
      <c r="G35" s="0" t="s">
        <v>293</v>
      </c>
      <c r="H35" s="0" t="s">
        <v>294</v>
      </c>
      <c r="I35" s="0" t="s">
        <v>295</v>
      </c>
      <c r="J35" s="0" t="s">
        <v>581</v>
      </c>
      <c r="K35" s="0" t="s">
        <v>582</v>
      </c>
      <c r="L35" s="0" t="s">
        <v>583</v>
      </c>
      <c r="P35" s="0" t="s">
        <v>343</v>
      </c>
      <c r="Q35" s="0" t="s">
        <v>343</v>
      </c>
      <c r="T35" s="0" t="s">
        <v>699</v>
      </c>
      <c r="U35" s="0" t="s">
        <v>700</v>
      </c>
      <c r="W35" s="0" t="s">
        <v>566</v>
      </c>
      <c r="X35" s="0" t="s">
        <v>298</v>
      </c>
      <c r="Y35" s="0" t="s">
        <v>56</v>
      </c>
      <c r="Z35" s="0" t="s">
        <v>570</v>
      </c>
      <c r="AA35" s="0" t="s">
        <v>203</v>
      </c>
      <c r="AB35" s="0" t="s">
        <v>531</v>
      </c>
      <c r="AC35" s="0" t="s">
        <v>571</v>
      </c>
      <c r="AD35" s="0" t="s">
        <v>572</v>
      </c>
      <c r="AF35" s="0" t="s">
        <v>301</v>
      </c>
      <c r="AM35" s="0" t="s">
        <v>701</v>
      </c>
      <c r="AN35" s="0" t="s">
        <v>599</v>
      </c>
      <c r="AO35" s="0" t="s">
        <v>351</v>
      </c>
      <c r="AP35" s="0" t="s">
        <v>305</v>
      </c>
      <c r="AU35" s="0">
        <v>150</v>
      </c>
      <c r="BA35" s="0">
        <v>438</v>
      </c>
      <c r="BB35" s="0" t="s">
        <v>232</v>
      </c>
      <c r="BC35" s="0">
        <v>2</v>
      </c>
      <c r="BD35" s="0">
        <v>374046</v>
      </c>
      <c r="BE35" s="0">
        <v>519203</v>
      </c>
      <c r="BF35" s="0">
        <v>5</v>
      </c>
      <c r="BG35" s="0" t="s">
        <v>702</v>
      </c>
      <c r="BI35" s="0">
        <v>3899</v>
      </c>
      <c r="BK35" s="0" t="s">
        <v>703</v>
      </c>
    </row>
    <row r="36">
      <c r="A36" s="0">
        <v>4460</v>
      </c>
      <c r="C36" s="0" t="s">
        <v>315</v>
      </c>
      <c r="D36" s="0" t="s">
        <v>566</v>
      </c>
      <c r="E36" s="0" t="s">
        <v>704</v>
      </c>
      <c r="F36" s="0">
        <v>1</v>
      </c>
      <c r="G36" s="0" t="s">
        <v>293</v>
      </c>
      <c r="H36" s="0" t="s">
        <v>294</v>
      </c>
      <c r="I36" s="0" t="s">
        <v>295</v>
      </c>
      <c r="J36" s="0" t="s">
        <v>594</v>
      </c>
      <c r="L36" s="0" t="s">
        <v>705</v>
      </c>
      <c r="M36" s="0" t="s">
        <v>496</v>
      </c>
      <c r="O36" s="0" t="s">
        <v>469</v>
      </c>
      <c r="P36" s="0" t="s">
        <v>323</v>
      </c>
      <c r="Q36" s="0" t="s">
        <v>323</v>
      </c>
      <c r="R36" s="0" t="s">
        <v>648</v>
      </c>
      <c r="T36" s="0" t="s">
        <v>706</v>
      </c>
      <c r="W36" s="0" t="s">
        <v>566</v>
      </c>
      <c r="X36" s="0" t="s">
        <v>529</v>
      </c>
      <c r="Y36" s="0" t="s">
        <v>56</v>
      </c>
      <c r="Z36" s="0" t="s">
        <v>570</v>
      </c>
      <c r="AA36" s="0" t="s">
        <v>203</v>
      </c>
      <c r="AB36" s="0" t="s">
        <v>531</v>
      </c>
      <c r="AC36" s="0" t="s">
        <v>571</v>
      </c>
      <c r="AD36" s="0" t="s">
        <v>572</v>
      </c>
      <c r="AF36" s="0" t="s">
        <v>301</v>
      </c>
      <c r="AM36" s="0" t="s">
        <v>474</v>
      </c>
      <c r="AN36" s="0" t="s">
        <v>599</v>
      </c>
      <c r="AO36" s="0" t="s">
        <v>352</v>
      </c>
      <c r="AP36" s="0" t="s">
        <v>305</v>
      </c>
      <c r="AU36" s="0">
        <v>205</v>
      </c>
      <c r="AX36" s="0" t="s">
        <v>707</v>
      </c>
      <c r="AY36" s="0" t="s">
        <v>503</v>
      </c>
      <c r="AZ36" s="0" t="s">
        <v>694</v>
      </c>
      <c r="BA36" s="0">
        <v>438</v>
      </c>
      <c r="BB36" s="0" t="s">
        <v>232</v>
      </c>
      <c r="BC36" s="0">
        <v>2</v>
      </c>
      <c r="BD36" s="0">
        <v>374043</v>
      </c>
      <c r="BE36" s="0">
        <v>519203</v>
      </c>
      <c r="BF36" s="0">
        <v>2</v>
      </c>
      <c r="BG36" s="0" t="s">
        <v>708</v>
      </c>
      <c r="BI36" s="0">
        <v>1075</v>
      </c>
      <c r="BK36" s="0" t="s">
        <v>709</v>
      </c>
    </row>
    <row r="37">
      <c r="A37" s="0">
        <v>4461</v>
      </c>
      <c r="B37" s="0" t="s">
        <v>710</v>
      </c>
      <c r="C37" s="0" t="s">
        <v>315</v>
      </c>
      <c r="D37" s="0" t="s">
        <v>566</v>
      </c>
      <c r="E37" s="0" t="s">
        <v>711</v>
      </c>
      <c r="F37" s="0">
        <v>1</v>
      </c>
      <c r="G37" s="0" t="s">
        <v>293</v>
      </c>
      <c r="H37" s="0" t="s">
        <v>294</v>
      </c>
      <c r="I37" s="0" t="s">
        <v>295</v>
      </c>
      <c r="P37" s="0" t="s">
        <v>323</v>
      </c>
      <c r="Q37" s="0" t="s">
        <v>323</v>
      </c>
      <c r="R37" s="0" t="s">
        <v>648</v>
      </c>
      <c r="T37" s="0" t="s">
        <v>712</v>
      </c>
      <c r="U37" s="0" t="s">
        <v>713</v>
      </c>
      <c r="W37" s="0" t="s">
        <v>566</v>
      </c>
      <c r="X37" s="0" t="s">
        <v>298</v>
      </c>
      <c r="Y37" s="0" t="s">
        <v>56</v>
      </c>
      <c r="Z37" s="0" t="s">
        <v>570</v>
      </c>
      <c r="AA37" s="0" t="s">
        <v>203</v>
      </c>
      <c r="AB37" s="0" t="s">
        <v>531</v>
      </c>
      <c r="AC37" s="0" t="s">
        <v>571</v>
      </c>
      <c r="AD37" s="0" t="s">
        <v>572</v>
      </c>
      <c r="AF37" s="0" t="s">
        <v>301</v>
      </c>
      <c r="AM37" s="0" t="s">
        <v>474</v>
      </c>
      <c r="AN37" s="0" t="s">
        <v>599</v>
      </c>
      <c r="AO37" s="0" t="s">
        <v>352</v>
      </c>
      <c r="AP37" s="0" t="s">
        <v>305</v>
      </c>
      <c r="AU37" s="0">
        <v>205</v>
      </c>
      <c r="BA37" s="0">
        <v>438</v>
      </c>
      <c r="BB37" s="0" t="s">
        <v>232</v>
      </c>
      <c r="BC37" s="0">
        <v>2</v>
      </c>
      <c r="BD37" s="0">
        <v>374043</v>
      </c>
      <c r="BE37" s="0">
        <v>519203</v>
      </c>
      <c r="BF37" s="0">
        <v>5</v>
      </c>
      <c r="BG37" s="0" t="s">
        <v>714</v>
      </c>
      <c r="BI37" s="0">
        <v>1386</v>
      </c>
      <c r="BK37" s="0" t="s">
        <v>715</v>
      </c>
    </row>
    <row r="38">
      <c r="A38" s="0">
        <v>4462</v>
      </c>
      <c r="B38" s="0" t="s">
        <v>716</v>
      </c>
      <c r="C38" s="0" t="s">
        <v>315</v>
      </c>
      <c r="D38" s="0" t="s">
        <v>566</v>
      </c>
      <c r="E38" s="0" t="s">
        <v>717</v>
      </c>
      <c r="F38" s="0">
        <v>1</v>
      </c>
      <c r="G38" s="0" t="s">
        <v>293</v>
      </c>
      <c r="H38" s="0" t="s">
        <v>294</v>
      </c>
      <c r="I38" s="0" t="s">
        <v>295</v>
      </c>
      <c r="J38" s="0" t="s">
        <v>594</v>
      </c>
      <c r="L38" s="0" t="s">
        <v>705</v>
      </c>
      <c r="M38" s="0" t="s">
        <v>496</v>
      </c>
      <c r="O38" s="0" t="s">
        <v>469</v>
      </c>
      <c r="P38" s="0" t="s">
        <v>323</v>
      </c>
      <c r="Q38" s="0" t="s">
        <v>323</v>
      </c>
      <c r="R38" s="0" t="s">
        <v>648</v>
      </c>
      <c r="T38" s="0" t="s">
        <v>706</v>
      </c>
      <c r="W38" s="0" t="s">
        <v>566</v>
      </c>
      <c r="X38" s="0" t="s">
        <v>529</v>
      </c>
      <c r="Y38" s="0" t="s">
        <v>56</v>
      </c>
      <c r="Z38" s="0" t="s">
        <v>570</v>
      </c>
      <c r="AA38" s="0" t="s">
        <v>203</v>
      </c>
      <c r="AB38" s="0" t="s">
        <v>531</v>
      </c>
      <c r="AC38" s="0" t="s">
        <v>571</v>
      </c>
      <c r="AD38" s="0" t="s">
        <v>572</v>
      </c>
      <c r="AF38" s="0" t="s">
        <v>301</v>
      </c>
      <c r="AM38" s="0" t="s">
        <v>474</v>
      </c>
      <c r="AN38" s="0" t="s">
        <v>718</v>
      </c>
      <c r="AO38" s="0" t="s">
        <v>352</v>
      </c>
      <c r="AP38" s="0" t="s">
        <v>305</v>
      </c>
      <c r="AU38" s="0">
        <v>250</v>
      </c>
      <c r="AX38" s="0" t="s">
        <v>335</v>
      </c>
      <c r="AY38" s="0" t="s">
        <v>462</v>
      </c>
      <c r="AZ38" s="0" t="s">
        <v>393</v>
      </c>
      <c r="BA38" s="0">
        <v>438</v>
      </c>
      <c r="BB38" s="0" t="s">
        <v>232</v>
      </c>
      <c r="BC38" s="0">
        <v>2</v>
      </c>
      <c r="BD38" s="0">
        <v>374043</v>
      </c>
      <c r="BE38" s="0">
        <v>519203</v>
      </c>
      <c r="BF38" s="0">
        <v>2</v>
      </c>
      <c r="BG38" s="0" t="s">
        <v>719</v>
      </c>
      <c r="BI38" s="0">
        <v>1657</v>
      </c>
      <c r="BK38" s="0" t="s">
        <v>720</v>
      </c>
    </row>
    <row r="39">
      <c r="A39" s="0">
        <v>4463</v>
      </c>
      <c r="B39" s="0" t="s">
        <v>721</v>
      </c>
      <c r="C39" s="0" t="s">
        <v>315</v>
      </c>
      <c r="D39" s="0" t="s">
        <v>566</v>
      </c>
      <c r="E39" s="0" t="s">
        <v>722</v>
      </c>
      <c r="F39" s="0">
        <v>1</v>
      </c>
      <c r="G39" s="0" t="s">
        <v>293</v>
      </c>
      <c r="H39" s="0" t="s">
        <v>294</v>
      </c>
      <c r="I39" s="0" t="s">
        <v>295</v>
      </c>
      <c r="P39" s="0" t="s">
        <v>323</v>
      </c>
      <c r="Q39" s="0" t="s">
        <v>323</v>
      </c>
      <c r="R39" s="0" t="s">
        <v>648</v>
      </c>
      <c r="T39" s="0" t="s">
        <v>712</v>
      </c>
      <c r="U39" s="0" t="s">
        <v>723</v>
      </c>
      <c r="W39" s="0" t="s">
        <v>566</v>
      </c>
      <c r="X39" s="0" t="s">
        <v>298</v>
      </c>
      <c r="Y39" s="0" t="s">
        <v>56</v>
      </c>
      <c r="Z39" s="0" t="s">
        <v>570</v>
      </c>
      <c r="AA39" s="0" t="s">
        <v>203</v>
      </c>
      <c r="AB39" s="0" t="s">
        <v>531</v>
      </c>
      <c r="AC39" s="0" t="s">
        <v>571</v>
      </c>
      <c r="AD39" s="0" t="s">
        <v>572</v>
      </c>
      <c r="AF39" s="0" t="s">
        <v>301</v>
      </c>
      <c r="AM39" s="0" t="s">
        <v>474</v>
      </c>
      <c r="AN39" s="0" t="s">
        <v>718</v>
      </c>
      <c r="AO39" s="0" t="s">
        <v>352</v>
      </c>
      <c r="AP39" s="0" t="s">
        <v>305</v>
      </c>
      <c r="AU39" s="0">
        <v>202</v>
      </c>
      <c r="BA39" s="0">
        <v>438</v>
      </c>
      <c r="BB39" s="0" t="s">
        <v>232</v>
      </c>
      <c r="BC39" s="0">
        <v>2</v>
      </c>
      <c r="BD39" s="0">
        <v>374043</v>
      </c>
      <c r="BE39" s="0">
        <v>519203</v>
      </c>
      <c r="BF39" s="0">
        <v>5</v>
      </c>
      <c r="BG39" s="0" t="s">
        <v>724</v>
      </c>
      <c r="BI39" s="0">
        <v>1902</v>
      </c>
      <c r="BK39" s="0" t="s">
        <v>725</v>
      </c>
    </row>
    <row r="40">
      <c r="A40" s="0">
        <v>4465</v>
      </c>
      <c r="B40" s="0" t="s">
        <v>726</v>
      </c>
      <c r="C40" s="0" t="s">
        <v>315</v>
      </c>
      <c r="D40" s="0" t="s">
        <v>566</v>
      </c>
      <c r="E40" s="0" t="s">
        <v>727</v>
      </c>
      <c r="F40" s="0">
        <v>2</v>
      </c>
      <c r="G40" s="0" t="s">
        <v>728</v>
      </c>
      <c r="H40" s="0" t="s">
        <v>618</v>
      </c>
      <c r="I40" s="0" t="s">
        <v>729</v>
      </c>
      <c r="J40" s="0" t="s">
        <v>594</v>
      </c>
      <c r="L40" s="0" t="s">
        <v>730</v>
      </c>
      <c r="P40" s="0" t="s">
        <v>323</v>
      </c>
      <c r="Q40" s="0" t="s">
        <v>323</v>
      </c>
      <c r="R40" s="0" t="s">
        <v>324</v>
      </c>
      <c r="T40" s="0" t="s">
        <v>731</v>
      </c>
      <c r="U40" s="0" t="s">
        <v>732</v>
      </c>
      <c r="W40" s="0" t="s">
        <v>566</v>
      </c>
      <c r="X40" s="0" t="s">
        <v>529</v>
      </c>
      <c r="Y40" s="0" t="s">
        <v>56</v>
      </c>
      <c r="Z40" s="0" t="s">
        <v>570</v>
      </c>
      <c r="AA40" s="0" t="s">
        <v>203</v>
      </c>
      <c r="AB40" s="0" t="s">
        <v>531</v>
      </c>
      <c r="AC40" s="0" t="s">
        <v>571</v>
      </c>
      <c r="AD40" s="0" t="s">
        <v>572</v>
      </c>
      <c r="AF40" s="0" t="s">
        <v>301</v>
      </c>
      <c r="AM40" s="0" t="s">
        <v>512</v>
      </c>
      <c r="AN40" s="0" t="s">
        <v>512</v>
      </c>
      <c r="AO40" s="0" t="s">
        <v>487</v>
      </c>
      <c r="AP40" s="0" t="s">
        <v>305</v>
      </c>
      <c r="AU40" s="0">
        <v>276</v>
      </c>
      <c r="AX40" s="0" t="s">
        <v>490</v>
      </c>
      <c r="AY40" s="0" t="s">
        <v>598</v>
      </c>
      <c r="AZ40" s="0" t="s">
        <v>599</v>
      </c>
      <c r="BA40" s="0">
        <v>438</v>
      </c>
      <c r="BB40" s="0" t="s">
        <v>232</v>
      </c>
      <c r="BC40" s="0">
        <v>2</v>
      </c>
      <c r="BD40" s="0">
        <v>374043</v>
      </c>
      <c r="BE40" s="0">
        <v>519203</v>
      </c>
      <c r="BF40" s="0">
        <v>2</v>
      </c>
      <c r="BG40" s="0" t="s">
        <v>733</v>
      </c>
      <c r="BI40" s="0">
        <v>2355</v>
      </c>
      <c r="BK40" s="0" t="s">
        <v>734</v>
      </c>
    </row>
    <row r="41">
      <c r="A41" s="0">
        <v>4466</v>
      </c>
      <c r="B41" s="0" t="s">
        <v>735</v>
      </c>
      <c r="C41" s="0" t="s">
        <v>315</v>
      </c>
      <c r="D41" s="0" t="s">
        <v>566</v>
      </c>
      <c r="E41" s="0" t="s">
        <v>736</v>
      </c>
      <c r="F41" s="0">
        <v>2</v>
      </c>
      <c r="G41" s="0" t="s">
        <v>728</v>
      </c>
      <c r="H41" s="0" t="s">
        <v>618</v>
      </c>
      <c r="I41" s="0" t="s">
        <v>729</v>
      </c>
      <c r="J41" s="0" t="s">
        <v>594</v>
      </c>
      <c r="L41" s="0" t="s">
        <v>730</v>
      </c>
      <c r="P41" s="0" t="s">
        <v>323</v>
      </c>
      <c r="Q41" s="0" t="s">
        <v>323</v>
      </c>
      <c r="R41" s="0" t="s">
        <v>324</v>
      </c>
      <c r="T41" s="0" t="s">
        <v>737</v>
      </c>
      <c r="U41" s="0" t="s">
        <v>738</v>
      </c>
      <c r="W41" s="0" t="s">
        <v>566</v>
      </c>
      <c r="X41" s="0" t="s">
        <v>529</v>
      </c>
      <c r="Y41" s="0" t="s">
        <v>56</v>
      </c>
      <c r="Z41" s="0" t="s">
        <v>570</v>
      </c>
      <c r="AA41" s="0" t="s">
        <v>203</v>
      </c>
      <c r="AB41" s="0" t="s">
        <v>531</v>
      </c>
      <c r="AC41" s="0" t="s">
        <v>571</v>
      </c>
      <c r="AD41" s="0" t="s">
        <v>572</v>
      </c>
      <c r="AF41" s="0" t="s">
        <v>301</v>
      </c>
      <c r="AM41" s="0" t="s">
        <v>585</v>
      </c>
      <c r="AN41" s="0" t="s">
        <v>491</v>
      </c>
      <c r="AO41" s="0" t="s">
        <v>651</v>
      </c>
      <c r="AP41" s="0" t="s">
        <v>305</v>
      </c>
      <c r="AU41" s="0">
        <v>84</v>
      </c>
      <c r="AX41" s="0" t="s">
        <v>371</v>
      </c>
      <c r="AY41" s="0" t="s">
        <v>739</v>
      </c>
      <c r="AZ41" s="0" t="s">
        <v>350</v>
      </c>
      <c r="BA41" s="0">
        <v>438</v>
      </c>
      <c r="BB41" s="0" t="s">
        <v>232</v>
      </c>
      <c r="BC41" s="0">
        <v>2</v>
      </c>
      <c r="BD41" s="0">
        <v>374043</v>
      </c>
      <c r="BE41" s="0">
        <v>519203</v>
      </c>
      <c r="BF41" s="0">
        <v>2</v>
      </c>
      <c r="BG41" s="0" t="s">
        <v>740</v>
      </c>
      <c r="BI41" s="0">
        <v>2551</v>
      </c>
      <c r="BK41" s="0" t="s">
        <v>741</v>
      </c>
    </row>
    <row r="42">
      <c r="A42" s="0">
        <v>4467</v>
      </c>
      <c r="B42" s="0" t="s">
        <v>742</v>
      </c>
      <c r="C42" s="0" t="s">
        <v>315</v>
      </c>
      <c r="D42" s="0" t="s">
        <v>566</v>
      </c>
      <c r="E42" s="0" t="s">
        <v>743</v>
      </c>
      <c r="F42" s="0">
        <v>2</v>
      </c>
      <c r="G42" s="0" t="s">
        <v>728</v>
      </c>
      <c r="H42" s="0" t="s">
        <v>618</v>
      </c>
      <c r="I42" s="0" t="s">
        <v>729</v>
      </c>
      <c r="J42" s="0" t="s">
        <v>594</v>
      </c>
      <c r="L42" s="0" t="s">
        <v>730</v>
      </c>
      <c r="P42" s="0" t="s">
        <v>323</v>
      </c>
      <c r="Q42" s="0" t="s">
        <v>323</v>
      </c>
      <c r="R42" s="0" t="s">
        <v>324</v>
      </c>
      <c r="T42" s="0" t="s">
        <v>737</v>
      </c>
      <c r="U42" s="0" t="s">
        <v>744</v>
      </c>
      <c r="W42" s="0" t="s">
        <v>566</v>
      </c>
      <c r="X42" s="0" t="s">
        <v>529</v>
      </c>
      <c r="Y42" s="0" t="s">
        <v>56</v>
      </c>
      <c r="Z42" s="0" t="s">
        <v>570</v>
      </c>
      <c r="AA42" s="0" t="s">
        <v>203</v>
      </c>
      <c r="AB42" s="0" t="s">
        <v>531</v>
      </c>
      <c r="AC42" s="0" t="s">
        <v>571</v>
      </c>
      <c r="AD42" s="0" t="s">
        <v>572</v>
      </c>
      <c r="AF42" s="0" t="s">
        <v>301</v>
      </c>
      <c r="AM42" s="0" t="s">
        <v>585</v>
      </c>
      <c r="AN42" s="0" t="s">
        <v>745</v>
      </c>
      <c r="AO42" s="0" t="s">
        <v>651</v>
      </c>
      <c r="AP42" s="0" t="s">
        <v>305</v>
      </c>
      <c r="AU42" s="0">
        <v>42</v>
      </c>
      <c r="AX42" s="0" t="s">
        <v>746</v>
      </c>
      <c r="AY42" s="0" t="s">
        <v>739</v>
      </c>
      <c r="AZ42" s="0" t="s">
        <v>747</v>
      </c>
      <c r="BA42" s="0">
        <v>438</v>
      </c>
      <c r="BB42" s="0" t="s">
        <v>232</v>
      </c>
      <c r="BC42" s="0">
        <v>2</v>
      </c>
      <c r="BD42" s="0">
        <v>374043</v>
      </c>
      <c r="BE42" s="0">
        <v>519203</v>
      </c>
      <c r="BF42" s="0">
        <v>2</v>
      </c>
      <c r="BG42" s="0" t="s">
        <v>748</v>
      </c>
      <c r="BI42" s="0">
        <v>2729</v>
      </c>
      <c r="BK42" s="0" t="s">
        <v>749</v>
      </c>
    </row>
    <row r="43">
      <c r="A43" s="0">
        <v>4470</v>
      </c>
      <c r="B43" s="0" t="s">
        <v>750</v>
      </c>
      <c r="C43" s="0" t="s">
        <v>315</v>
      </c>
      <c r="D43" s="0" t="s">
        <v>566</v>
      </c>
      <c r="E43" s="0" t="s">
        <v>751</v>
      </c>
      <c r="F43" s="0">
        <v>2</v>
      </c>
      <c r="G43" s="0" t="s">
        <v>293</v>
      </c>
      <c r="H43" s="0" t="s">
        <v>294</v>
      </c>
      <c r="I43" s="0" t="s">
        <v>295</v>
      </c>
      <c r="J43" s="0" t="s">
        <v>594</v>
      </c>
      <c r="L43" s="0" t="s">
        <v>604</v>
      </c>
      <c r="P43" s="0" t="s">
        <v>343</v>
      </c>
      <c r="Q43" s="0" t="s">
        <v>343</v>
      </c>
      <c r="T43" s="0" t="s">
        <v>752</v>
      </c>
      <c r="U43" s="0" t="s">
        <v>753</v>
      </c>
      <c r="W43" s="0" t="s">
        <v>566</v>
      </c>
      <c r="X43" s="0" t="s">
        <v>529</v>
      </c>
      <c r="Y43" s="0" t="s">
        <v>56</v>
      </c>
      <c r="Z43" s="0" t="s">
        <v>570</v>
      </c>
      <c r="AA43" s="0" t="s">
        <v>203</v>
      </c>
      <c r="AB43" s="0" t="s">
        <v>531</v>
      </c>
      <c r="AC43" s="0" t="s">
        <v>571</v>
      </c>
      <c r="AD43" s="0" t="s">
        <v>572</v>
      </c>
      <c r="AF43" s="0" t="s">
        <v>301</v>
      </c>
      <c r="AM43" s="0" t="s">
        <v>701</v>
      </c>
      <c r="AN43" s="0" t="s">
        <v>599</v>
      </c>
      <c r="AO43" s="0" t="s">
        <v>627</v>
      </c>
      <c r="AP43" s="0" t="s">
        <v>305</v>
      </c>
      <c r="AU43" s="0">
        <v>171</v>
      </c>
      <c r="AX43" s="0" t="s">
        <v>754</v>
      </c>
      <c r="AY43" s="0" t="s">
        <v>477</v>
      </c>
      <c r="AZ43" s="0" t="s">
        <v>389</v>
      </c>
      <c r="BA43" s="0">
        <v>438</v>
      </c>
      <c r="BB43" s="0" t="s">
        <v>232</v>
      </c>
      <c r="BC43" s="0">
        <v>2</v>
      </c>
      <c r="BD43" s="0">
        <v>374043</v>
      </c>
      <c r="BE43" s="0">
        <v>519203</v>
      </c>
      <c r="BF43" s="0">
        <v>2</v>
      </c>
      <c r="BG43" s="0" t="s">
        <v>755</v>
      </c>
      <c r="BI43" s="0">
        <v>3219</v>
      </c>
      <c r="BK43" s="0" t="s">
        <v>756</v>
      </c>
    </row>
    <row r="44">
      <c r="A44" s="0">
        <v>4477</v>
      </c>
      <c r="B44" s="0" t="s">
        <v>757</v>
      </c>
      <c r="C44" s="0" t="s">
        <v>315</v>
      </c>
      <c r="D44" s="0" t="s">
        <v>566</v>
      </c>
      <c r="E44" s="0" t="s">
        <v>758</v>
      </c>
      <c r="F44" s="0">
        <v>1</v>
      </c>
      <c r="G44" s="0" t="s">
        <v>759</v>
      </c>
      <c r="H44" s="0" t="s">
        <v>759</v>
      </c>
      <c r="I44" s="0" t="s">
        <v>646</v>
      </c>
      <c r="J44" s="0" t="s">
        <v>594</v>
      </c>
      <c r="L44" s="0" t="s">
        <v>647</v>
      </c>
      <c r="P44" s="0" t="s">
        <v>343</v>
      </c>
      <c r="Q44" s="0" t="s">
        <v>343</v>
      </c>
      <c r="T44" s="0" t="s">
        <v>760</v>
      </c>
      <c r="U44" s="0" t="s">
        <v>761</v>
      </c>
      <c r="W44" s="0" t="s">
        <v>566</v>
      </c>
      <c r="X44" s="0" t="s">
        <v>298</v>
      </c>
      <c r="Y44" s="0" t="s">
        <v>56</v>
      </c>
      <c r="Z44" s="0" t="s">
        <v>570</v>
      </c>
      <c r="AA44" s="0" t="s">
        <v>203</v>
      </c>
      <c r="AB44" s="0" t="s">
        <v>531</v>
      </c>
      <c r="AC44" s="0" t="s">
        <v>571</v>
      </c>
      <c r="AD44" s="0" t="s">
        <v>572</v>
      </c>
      <c r="AF44" s="0" t="s">
        <v>301</v>
      </c>
      <c r="AM44" s="0" t="s">
        <v>762</v>
      </c>
      <c r="AN44" s="0" t="s">
        <v>763</v>
      </c>
      <c r="AO44" s="0" t="s">
        <v>764</v>
      </c>
      <c r="AP44" s="0" t="s">
        <v>305</v>
      </c>
      <c r="AU44" s="0">
        <v>724</v>
      </c>
      <c r="AX44" s="0" t="s">
        <v>765</v>
      </c>
      <c r="AY44" s="0" t="s">
        <v>392</v>
      </c>
      <c r="AZ44" s="0" t="s">
        <v>489</v>
      </c>
      <c r="BA44" s="0">
        <v>438</v>
      </c>
      <c r="BB44" s="0" t="s">
        <v>232</v>
      </c>
      <c r="BC44" s="0">
        <v>2</v>
      </c>
      <c r="BD44" s="0">
        <v>374043</v>
      </c>
      <c r="BE44" s="0">
        <v>519203</v>
      </c>
      <c r="BF44" s="0">
        <v>5</v>
      </c>
      <c r="BG44" s="0" t="s">
        <v>766</v>
      </c>
      <c r="BI44" s="0">
        <v>3987</v>
      </c>
      <c r="BK44" s="0" t="s">
        <v>767</v>
      </c>
    </row>
    <row r="45">
      <c r="A45" s="0">
        <v>4478</v>
      </c>
      <c r="B45" s="0" t="s">
        <v>768</v>
      </c>
      <c r="C45" s="0" t="s">
        <v>315</v>
      </c>
      <c r="D45" s="0" t="s">
        <v>566</v>
      </c>
      <c r="E45" s="0" t="s">
        <v>769</v>
      </c>
      <c r="F45" s="0">
        <v>1</v>
      </c>
      <c r="G45" s="0" t="s">
        <v>759</v>
      </c>
      <c r="H45" s="0" t="s">
        <v>759</v>
      </c>
      <c r="I45" s="0" t="s">
        <v>671</v>
      </c>
      <c r="J45" s="0" t="s">
        <v>594</v>
      </c>
      <c r="L45" s="0" t="s">
        <v>672</v>
      </c>
      <c r="P45" s="0" t="s">
        <v>343</v>
      </c>
      <c r="Q45" s="0" t="s">
        <v>343</v>
      </c>
      <c r="T45" s="0" t="s">
        <v>760</v>
      </c>
      <c r="U45" s="0" t="s">
        <v>770</v>
      </c>
      <c r="W45" s="0" t="s">
        <v>566</v>
      </c>
      <c r="X45" s="0" t="s">
        <v>347</v>
      </c>
      <c r="Y45" s="0" t="s">
        <v>56</v>
      </c>
      <c r="Z45" s="0" t="s">
        <v>570</v>
      </c>
      <c r="AA45" s="0" t="s">
        <v>203</v>
      </c>
      <c r="AB45" s="0" t="s">
        <v>531</v>
      </c>
      <c r="AC45" s="0" t="s">
        <v>571</v>
      </c>
      <c r="AD45" s="0" t="s">
        <v>572</v>
      </c>
      <c r="AF45" s="0" t="s">
        <v>301</v>
      </c>
      <c r="AM45" s="0" t="s">
        <v>762</v>
      </c>
      <c r="AN45" s="0" t="s">
        <v>763</v>
      </c>
      <c r="AO45" s="0" t="s">
        <v>764</v>
      </c>
      <c r="AP45" s="0" t="s">
        <v>305</v>
      </c>
      <c r="AU45" s="0">
        <v>724</v>
      </c>
      <c r="AX45" s="0" t="s">
        <v>765</v>
      </c>
      <c r="AY45" s="0" t="s">
        <v>392</v>
      </c>
      <c r="AZ45" s="0" t="s">
        <v>489</v>
      </c>
      <c r="BA45" s="0">
        <v>438</v>
      </c>
      <c r="BB45" s="0" t="s">
        <v>232</v>
      </c>
      <c r="BC45" s="0">
        <v>2</v>
      </c>
      <c r="BD45" s="0">
        <v>374043</v>
      </c>
      <c r="BE45" s="0">
        <v>519203</v>
      </c>
      <c r="BF45" s="0">
        <v>4</v>
      </c>
      <c r="BG45" s="0" t="s">
        <v>771</v>
      </c>
      <c r="BI45" s="0">
        <v>4069</v>
      </c>
      <c r="BK45" s="0" t="s">
        <v>772</v>
      </c>
    </row>
    <row r="46">
      <c r="A46" s="0">
        <v>4481</v>
      </c>
      <c r="B46" s="0" t="s">
        <v>773</v>
      </c>
      <c r="C46" s="0" t="s">
        <v>315</v>
      </c>
      <c r="D46" s="0" t="s">
        <v>566</v>
      </c>
      <c r="E46" s="0" t="s">
        <v>774</v>
      </c>
      <c r="F46" s="0">
        <v>2</v>
      </c>
      <c r="G46" s="0" t="s">
        <v>555</v>
      </c>
      <c r="H46" s="0" t="s">
        <v>775</v>
      </c>
      <c r="I46" s="0" t="s">
        <v>776</v>
      </c>
      <c r="J46" s="0" t="s">
        <v>594</v>
      </c>
      <c r="L46" s="0" t="s">
        <v>777</v>
      </c>
      <c r="P46" s="0" t="s">
        <v>343</v>
      </c>
      <c r="Q46" s="0" t="s">
        <v>343</v>
      </c>
      <c r="T46" s="0" t="s">
        <v>778</v>
      </c>
      <c r="U46" s="0" t="s">
        <v>779</v>
      </c>
      <c r="W46" s="0" t="s">
        <v>566</v>
      </c>
      <c r="X46" s="0" t="s">
        <v>298</v>
      </c>
      <c r="Y46" s="0" t="s">
        <v>56</v>
      </c>
      <c r="Z46" s="0" t="s">
        <v>570</v>
      </c>
      <c r="AA46" s="0" t="s">
        <v>203</v>
      </c>
      <c r="AB46" s="0" t="s">
        <v>531</v>
      </c>
      <c r="AC46" s="0" t="s">
        <v>571</v>
      </c>
      <c r="AD46" s="0" t="s">
        <v>572</v>
      </c>
      <c r="AF46" s="0" t="s">
        <v>301</v>
      </c>
      <c r="AM46" s="0" t="s">
        <v>372</v>
      </c>
      <c r="AN46" s="0" t="s">
        <v>302</v>
      </c>
      <c r="AO46" s="0" t="s">
        <v>350</v>
      </c>
      <c r="AP46" s="0" t="s">
        <v>305</v>
      </c>
      <c r="AU46" s="0">
        <v>360</v>
      </c>
      <c r="AX46" s="0" t="s">
        <v>780</v>
      </c>
      <c r="AY46" s="0" t="s">
        <v>348</v>
      </c>
      <c r="AZ46" s="0" t="s">
        <v>781</v>
      </c>
      <c r="BA46" s="0">
        <v>438</v>
      </c>
      <c r="BB46" s="0" t="s">
        <v>232</v>
      </c>
      <c r="BC46" s="0">
        <v>2</v>
      </c>
      <c r="BD46" s="0">
        <v>374043</v>
      </c>
      <c r="BE46" s="0">
        <v>519203</v>
      </c>
      <c r="BF46" s="0">
        <v>5</v>
      </c>
      <c r="BG46" s="0" t="s">
        <v>782</v>
      </c>
      <c r="BI46" s="0">
        <v>4282</v>
      </c>
      <c r="BK46" s="0" t="s">
        <v>783</v>
      </c>
    </row>
    <row r="47">
      <c r="A47" s="0">
        <v>4482</v>
      </c>
      <c r="B47" s="0" t="s">
        <v>784</v>
      </c>
      <c r="C47" s="0" t="s">
        <v>315</v>
      </c>
      <c r="D47" s="0" t="s">
        <v>566</v>
      </c>
      <c r="E47" s="0" t="s">
        <v>785</v>
      </c>
      <c r="F47" s="0">
        <v>2</v>
      </c>
      <c r="G47" s="0" t="s">
        <v>555</v>
      </c>
      <c r="H47" s="0" t="s">
        <v>786</v>
      </c>
      <c r="I47" s="0" t="s">
        <v>660</v>
      </c>
      <c r="J47" s="0" t="s">
        <v>594</v>
      </c>
      <c r="L47" s="0" t="s">
        <v>787</v>
      </c>
      <c r="P47" s="0" t="s">
        <v>343</v>
      </c>
      <c r="Q47" s="0" t="s">
        <v>343</v>
      </c>
      <c r="T47" s="0" t="s">
        <v>778</v>
      </c>
      <c r="U47" s="0" t="s">
        <v>788</v>
      </c>
      <c r="W47" s="0" t="s">
        <v>566</v>
      </c>
      <c r="X47" s="0" t="s">
        <v>529</v>
      </c>
      <c r="Y47" s="0" t="s">
        <v>56</v>
      </c>
      <c r="Z47" s="0" t="s">
        <v>570</v>
      </c>
      <c r="AA47" s="0" t="s">
        <v>203</v>
      </c>
      <c r="AB47" s="0" t="s">
        <v>531</v>
      </c>
      <c r="AC47" s="0" t="s">
        <v>571</v>
      </c>
      <c r="AD47" s="0" t="s">
        <v>572</v>
      </c>
      <c r="AF47" s="0" t="s">
        <v>301</v>
      </c>
      <c r="AM47" s="0" t="s">
        <v>372</v>
      </c>
      <c r="AN47" s="0" t="s">
        <v>302</v>
      </c>
      <c r="AO47" s="0" t="s">
        <v>350</v>
      </c>
      <c r="AP47" s="0" t="s">
        <v>305</v>
      </c>
      <c r="AU47" s="0">
        <v>360</v>
      </c>
      <c r="AX47" s="0" t="s">
        <v>780</v>
      </c>
      <c r="AY47" s="0" t="s">
        <v>348</v>
      </c>
      <c r="AZ47" s="0" t="s">
        <v>781</v>
      </c>
      <c r="BA47" s="0">
        <v>438</v>
      </c>
      <c r="BB47" s="0" t="s">
        <v>232</v>
      </c>
      <c r="BC47" s="0">
        <v>2</v>
      </c>
      <c r="BD47" s="0">
        <v>374043</v>
      </c>
      <c r="BE47" s="0">
        <v>519203</v>
      </c>
      <c r="BF47" s="0">
        <v>2</v>
      </c>
      <c r="BG47" s="0" t="s">
        <v>789</v>
      </c>
      <c r="BI47" s="0">
        <v>4345</v>
      </c>
      <c r="BK47" s="0" t="s">
        <v>790</v>
      </c>
    </row>
    <row r="48">
      <c r="A48" s="0">
        <v>4483</v>
      </c>
      <c r="B48" s="0" t="s">
        <v>791</v>
      </c>
      <c r="C48" s="0" t="s">
        <v>315</v>
      </c>
      <c r="D48" s="0" t="s">
        <v>566</v>
      </c>
      <c r="E48" s="0" t="s">
        <v>792</v>
      </c>
      <c r="F48" s="0">
        <v>2</v>
      </c>
      <c r="G48" s="0" t="s">
        <v>555</v>
      </c>
      <c r="H48" s="0" t="s">
        <v>775</v>
      </c>
      <c r="I48" s="0" t="s">
        <v>776</v>
      </c>
      <c r="J48" s="0" t="s">
        <v>594</v>
      </c>
      <c r="L48" s="0" t="s">
        <v>793</v>
      </c>
      <c r="P48" s="0" t="s">
        <v>343</v>
      </c>
      <c r="Q48" s="0" t="s">
        <v>343</v>
      </c>
      <c r="T48" s="0" t="s">
        <v>778</v>
      </c>
      <c r="U48" s="0" t="s">
        <v>794</v>
      </c>
      <c r="W48" s="0" t="s">
        <v>566</v>
      </c>
      <c r="X48" s="0" t="s">
        <v>298</v>
      </c>
      <c r="Y48" s="0" t="s">
        <v>56</v>
      </c>
      <c r="Z48" s="0" t="s">
        <v>570</v>
      </c>
      <c r="AA48" s="0" t="s">
        <v>203</v>
      </c>
      <c r="AB48" s="0" t="s">
        <v>531</v>
      </c>
      <c r="AC48" s="0" t="s">
        <v>571</v>
      </c>
      <c r="AD48" s="0" t="s">
        <v>572</v>
      </c>
      <c r="AF48" s="0" t="s">
        <v>301</v>
      </c>
      <c r="AM48" s="0" t="s">
        <v>372</v>
      </c>
      <c r="AN48" s="0" t="s">
        <v>302</v>
      </c>
      <c r="AO48" s="0" t="s">
        <v>350</v>
      </c>
      <c r="AP48" s="0" t="s">
        <v>305</v>
      </c>
      <c r="AU48" s="0">
        <v>384</v>
      </c>
      <c r="AX48" s="0" t="s">
        <v>780</v>
      </c>
      <c r="AY48" s="0" t="s">
        <v>348</v>
      </c>
      <c r="AZ48" s="0" t="s">
        <v>781</v>
      </c>
      <c r="BA48" s="0">
        <v>438</v>
      </c>
      <c r="BB48" s="0" t="s">
        <v>232</v>
      </c>
      <c r="BC48" s="0">
        <v>2</v>
      </c>
      <c r="BD48" s="0">
        <v>374043</v>
      </c>
      <c r="BE48" s="0">
        <v>519203</v>
      </c>
      <c r="BF48" s="0">
        <v>5</v>
      </c>
      <c r="BG48" s="0" t="s">
        <v>795</v>
      </c>
      <c r="BI48" s="0">
        <v>4404</v>
      </c>
      <c r="BK48" s="0" t="s">
        <v>796</v>
      </c>
    </row>
    <row r="49">
      <c r="A49" s="0">
        <v>4484</v>
      </c>
      <c r="B49" s="0" t="s">
        <v>797</v>
      </c>
      <c r="C49" s="0" t="s">
        <v>315</v>
      </c>
      <c r="D49" s="0" t="s">
        <v>566</v>
      </c>
      <c r="E49" s="0" t="s">
        <v>798</v>
      </c>
      <c r="F49" s="0">
        <v>2</v>
      </c>
      <c r="G49" s="0" t="s">
        <v>555</v>
      </c>
      <c r="H49" s="0" t="s">
        <v>786</v>
      </c>
      <c r="I49" s="0" t="s">
        <v>660</v>
      </c>
      <c r="J49" s="0" t="s">
        <v>594</v>
      </c>
      <c r="L49" s="0" t="s">
        <v>787</v>
      </c>
      <c r="P49" s="0" t="s">
        <v>343</v>
      </c>
      <c r="Q49" s="0" t="s">
        <v>343</v>
      </c>
      <c r="T49" s="0" t="s">
        <v>778</v>
      </c>
      <c r="U49" s="0" t="s">
        <v>799</v>
      </c>
      <c r="W49" s="0" t="s">
        <v>566</v>
      </c>
      <c r="X49" s="0" t="s">
        <v>529</v>
      </c>
      <c r="Y49" s="0" t="s">
        <v>56</v>
      </c>
      <c r="Z49" s="0" t="s">
        <v>570</v>
      </c>
      <c r="AA49" s="0" t="s">
        <v>203</v>
      </c>
      <c r="AB49" s="0" t="s">
        <v>531</v>
      </c>
      <c r="AC49" s="0" t="s">
        <v>571</v>
      </c>
      <c r="AD49" s="0" t="s">
        <v>572</v>
      </c>
      <c r="AF49" s="0" t="s">
        <v>301</v>
      </c>
      <c r="AM49" s="0" t="s">
        <v>372</v>
      </c>
      <c r="AN49" s="0" t="s">
        <v>302</v>
      </c>
      <c r="AO49" s="0" t="s">
        <v>350</v>
      </c>
      <c r="AP49" s="0" t="s">
        <v>305</v>
      </c>
      <c r="AU49" s="0">
        <v>384</v>
      </c>
      <c r="AX49" s="0" t="s">
        <v>780</v>
      </c>
      <c r="AY49" s="0" t="s">
        <v>348</v>
      </c>
      <c r="AZ49" s="0" t="s">
        <v>781</v>
      </c>
      <c r="BA49" s="0">
        <v>438</v>
      </c>
      <c r="BB49" s="0" t="s">
        <v>232</v>
      </c>
      <c r="BC49" s="0">
        <v>2</v>
      </c>
      <c r="BD49" s="0">
        <v>374043</v>
      </c>
      <c r="BE49" s="0">
        <v>519203</v>
      </c>
      <c r="BF49" s="0">
        <v>2</v>
      </c>
      <c r="BG49" s="0" t="s">
        <v>800</v>
      </c>
      <c r="BI49" s="0">
        <v>4455</v>
      </c>
      <c r="BK49" s="0" t="s">
        <v>801</v>
      </c>
    </row>
    <row r="50">
      <c r="A50" s="0">
        <v>4485</v>
      </c>
      <c r="B50" s="0" t="s">
        <v>802</v>
      </c>
      <c r="C50" s="0" t="s">
        <v>315</v>
      </c>
      <c r="D50" s="0" t="s">
        <v>566</v>
      </c>
      <c r="E50" s="0" t="s">
        <v>803</v>
      </c>
      <c r="F50" s="0">
        <v>1</v>
      </c>
      <c r="G50" s="0" t="s">
        <v>804</v>
      </c>
      <c r="H50" s="0" t="s">
        <v>805</v>
      </c>
      <c r="I50" s="0" t="s">
        <v>469</v>
      </c>
      <c r="P50" s="0" t="s">
        <v>343</v>
      </c>
      <c r="Q50" s="0" t="s">
        <v>343</v>
      </c>
      <c r="U50" s="0" t="s">
        <v>806</v>
      </c>
      <c r="W50" s="0" t="s">
        <v>566</v>
      </c>
      <c r="X50" s="0" t="s">
        <v>298</v>
      </c>
      <c r="Y50" s="0" t="s">
        <v>56</v>
      </c>
      <c r="Z50" s="0" t="s">
        <v>570</v>
      </c>
      <c r="AA50" s="0" t="s">
        <v>203</v>
      </c>
      <c r="AB50" s="0" t="s">
        <v>531</v>
      </c>
      <c r="AC50" s="0" t="s">
        <v>571</v>
      </c>
      <c r="AD50" s="0" t="s">
        <v>572</v>
      </c>
      <c r="AF50" s="0" t="s">
        <v>301</v>
      </c>
      <c r="AM50" s="0" t="s">
        <v>392</v>
      </c>
      <c r="AN50" s="0" t="s">
        <v>807</v>
      </c>
      <c r="AO50" s="0" t="s">
        <v>627</v>
      </c>
      <c r="AP50" s="0" t="s">
        <v>305</v>
      </c>
      <c r="AU50" s="0">
        <v>6000</v>
      </c>
      <c r="AX50" s="0" t="s">
        <v>808</v>
      </c>
      <c r="AY50" s="0" t="s">
        <v>809</v>
      </c>
      <c r="AZ50" s="0" t="s">
        <v>502</v>
      </c>
      <c r="BA50" s="0">
        <v>438</v>
      </c>
      <c r="BB50" s="0" t="s">
        <v>232</v>
      </c>
      <c r="BC50" s="0">
        <v>2</v>
      </c>
      <c r="BD50" s="0">
        <v>374043</v>
      </c>
      <c r="BE50" s="0">
        <v>519203</v>
      </c>
      <c r="BF50" s="0">
        <v>5</v>
      </c>
      <c r="BG50" s="0" t="s">
        <v>810</v>
      </c>
      <c r="BI50" s="0">
        <v>4502</v>
      </c>
      <c r="BK50" s="0" t="s">
        <v>811</v>
      </c>
    </row>
    <row r="51">
      <c r="A51" s="0">
        <v>4486</v>
      </c>
      <c r="B51" s="0" t="s">
        <v>812</v>
      </c>
      <c r="C51" s="0" t="s">
        <v>315</v>
      </c>
      <c r="D51" s="0" t="s">
        <v>566</v>
      </c>
      <c r="E51" s="0" t="s">
        <v>813</v>
      </c>
      <c r="F51" s="0">
        <v>1</v>
      </c>
      <c r="G51" s="0" t="s">
        <v>814</v>
      </c>
      <c r="H51" s="0" t="s">
        <v>805</v>
      </c>
      <c r="I51" s="0" t="s">
        <v>469</v>
      </c>
      <c r="P51" s="0" t="s">
        <v>343</v>
      </c>
      <c r="Q51" s="0" t="s">
        <v>343</v>
      </c>
      <c r="U51" s="0" t="s">
        <v>815</v>
      </c>
      <c r="W51" s="0" t="s">
        <v>566</v>
      </c>
      <c r="X51" s="0" t="s">
        <v>298</v>
      </c>
      <c r="Y51" s="0" t="s">
        <v>56</v>
      </c>
      <c r="Z51" s="0" t="s">
        <v>570</v>
      </c>
      <c r="AA51" s="0" t="s">
        <v>203</v>
      </c>
      <c r="AB51" s="0" t="s">
        <v>531</v>
      </c>
      <c r="AC51" s="0" t="s">
        <v>571</v>
      </c>
      <c r="AD51" s="0" t="s">
        <v>572</v>
      </c>
      <c r="AF51" s="0" t="s">
        <v>301</v>
      </c>
      <c r="AM51" s="0" t="s">
        <v>387</v>
      </c>
      <c r="AN51" s="0" t="s">
        <v>816</v>
      </c>
      <c r="AO51" s="0" t="s">
        <v>387</v>
      </c>
      <c r="AP51" s="0" t="s">
        <v>305</v>
      </c>
      <c r="AU51" s="0">
        <v>8000</v>
      </c>
      <c r="AX51" s="0" t="s">
        <v>817</v>
      </c>
      <c r="AY51" s="0" t="s">
        <v>818</v>
      </c>
      <c r="AZ51" s="0" t="s">
        <v>502</v>
      </c>
      <c r="BA51" s="0">
        <v>438</v>
      </c>
      <c r="BB51" s="0" t="s">
        <v>232</v>
      </c>
      <c r="BC51" s="0">
        <v>2</v>
      </c>
      <c r="BD51" s="0">
        <v>374043</v>
      </c>
      <c r="BE51" s="0">
        <v>519203</v>
      </c>
      <c r="BF51" s="0">
        <v>5</v>
      </c>
      <c r="BG51" s="0" t="s">
        <v>819</v>
      </c>
      <c r="BI51" s="0">
        <v>4552</v>
      </c>
      <c r="BK51" s="0" t="s">
        <v>820</v>
      </c>
    </row>
    <row r="52">
      <c r="A52" s="0">
        <v>4487</v>
      </c>
      <c r="B52" s="0" t="s">
        <v>821</v>
      </c>
      <c r="C52" s="0" t="s">
        <v>315</v>
      </c>
      <c r="D52" s="0" t="s">
        <v>566</v>
      </c>
      <c r="E52" s="0" t="s">
        <v>822</v>
      </c>
      <c r="F52" s="0">
        <v>1</v>
      </c>
      <c r="G52" s="0" t="s">
        <v>814</v>
      </c>
      <c r="H52" s="0" t="s">
        <v>805</v>
      </c>
      <c r="I52" s="0" t="s">
        <v>469</v>
      </c>
      <c r="P52" s="0" t="s">
        <v>343</v>
      </c>
      <c r="Q52" s="0" t="s">
        <v>343</v>
      </c>
      <c r="U52" s="0" t="s">
        <v>823</v>
      </c>
      <c r="W52" s="0" t="s">
        <v>566</v>
      </c>
      <c r="X52" s="0" t="s">
        <v>298</v>
      </c>
      <c r="Y52" s="0" t="s">
        <v>56</v>
      </c>
      <c r="Z52" s="0" t="s">
        <v>570</v>
      </c>
      <c r="AA52" s="0" t="s">
        <v>203</v>
      </c>
      <c r="AB52" s="0" t="s">
        <v>531</v>
      </c>
      <c r="AC52" s="0" t="s">
        <v>571</v>
      </c>
      <c r="AD52" s="0" t="s">
        <v>572</v>
      </c>
      <c r="AF52" s="0" t="s">
        <v>301</v>
      </c>
      <c r="AM52" s="0" t="s">
        <v>392</v>
      </c>
      <c r="AN52" s="0" t="s">
        <v>392</v>
      </c>
      <c r="AO52" s="0" t="s">
        <v>824</v>
      </c>
      <c r="AP52" s="0" t="s">
        <v>305</v>
      </c>
      <c r="AU52" s="0">
        <v>6500</v>
      </c>
      <c r="AX52" s="0" t="s">
        <v>808</v>
      </c>
      <c r="AY52" s="0" t="s">
        <v>818</v>
      </c>
      <c r="AZ52" s="0" t="s">
        <v>502</v>
      </c>
      <c r="BA52" s="0">
        <v>438</v>
      </c>
      <c r="BB52" s="0" t="s">
        <v>232</v>
      </c>
      <c r="BC52" s="0">
        <v>2</v>
      </c>
      <c r="BD52" s="0">
        <v>374043</v>
      </c>
      <c r="BE52" s="0">
        <v>519203</v>
      </c>
      <c r="BF52" s="0">
        <v>5</v>
      </c>
      <c r="BG52" s="0" t="s">
        <v>825</v>
      </c>
      <c r="BI52" s="0">
        <v>4599</v>
      </c>
      <c r="BK52" s="0" t="s">
        <v>826</v>
      </c>
    </row>
    <row r="53">
      <c r="A53" s="0">
        <v>4488</v>
      </c>
      <c r="B53" s="0" t="s">
        <v>827</v>
      </c>
      <c r="C53" s="0" t="s">
        <v>315</v>
      </c>
      <c r="D53" s="0" t="s">
        <v>566</v>
      </c>
      <c r="E53" s="0" t="s">
        <v>828</v>
      </c>
      <c r="F53" s="0">
        <v>1</v>
      </c>
      <c r="G53" s="0" t="s">
        <v>814</v>
      </c>
      <c r="H53" s="0" t="s">
        <v>805</v>
      </c>
      <c r="I53" s="0" t="s">
        <v>469</v>
      </c>
      <c r="P53" s="0" t="s">
        <v>343</v>
      </c>
      <c r="Q53" s="0" t="s">
        <v>343</v>
      </c>
      <c r="U53" s="0" t="s">
        <v>829</v>
      </c>
      <c r="W53" s="0" t="s">
        <v>566</v>
      </c>
      <c r="X53" s="0" t="s">
        <v>298</v>
      </c>
      <c r="Y53" s="0" t="s">
        <v>56</v>
      </c>
      <c r="Z53" s="0" t="s">
        <v>570</v>
      </c>
      <c r="AA53" s="0" t="s">
        <v>203</v>
      </c>
      <c r="AB53" s="0" t="s">
        <v>531</v>
      </c>
      <c r="AC53" s="0" t="s">
        <v>571</v>
      </c>
      <c r="AD53" s="0" t="s">
        <v>572</v>
      </c>
      <c r="AF53" s="0" t="s">
        <v>301</v>
      </c>
      <c r="AM53" s="0" t="s">
        <v>830</v>
      </c>
      <c r="AN53" s="0" t="s">
        <v>392</v>
      </c>
      <c r="AO53" s="0" t="s">
        <v>816</v>
      </c>
      <c r="AP53" s="0" t="s">
        <v>305</v>
      </c>
      <c r="AU53" s="0">
        <v>6500</v>
      </c>
      <c r="AX53" s="0" t="s">
        <v>808</v>
      </c>
      <c r="AY53" s="0" t="s">
        <v>818</v>
      </c>
      <c r="AZ53" s="0" t="s">
        <v>502</v>
      </c>
      <c r="BA53" s="0">
        <v>438</v>
      </c>
      <c r="BB53" s="0" t="s">
        <v>232</v>
      </c>
      <c r="BC53" s="0">
        <v>2</v>
      </c>
      <c r="BD53" s="0">
        <v>374043</v>
      </c>
      <c r="BE53" s="0">
        <v>519203</v>
      </c>
      <c r="BF53" s="0">
        <v>5</v>
      </c>
      <c r="BG53" s="0" t="s">
        <v>831</v>
      </c>
      <c r="BI53" s="0">
        <v>4638</v>
      </c>
      <c r="BK53" s="0" t="s">
        <v>832</v>
      </c>
    </row>
    <row r="54">
      <c r="A54" s="0">
        <v>4489</v>
      </c>
      <c r="B54" s="0" t="s">
        <v>833</v>
      </c>
      <c r="C54" s="0" t="s">
        <v>315</v>
      </c>
      <c r="D54" s="0" t="s">
        <v>566</v>
      </c>
      <c r="E54" s="0" t="s">
        <v>834</v>
      </c>
      <c r="F54" s="0">
        <v>1</v>
      </c>
      <c r="G54" s="0" t="s">
        <v>814</v>
      </c>
      <c r="H54" s="0" t="s">
        <v>805</v>
      </c>
      <c r="I54" s="0" t="s">
        <v>469</v>
      </c>
      <c r="P54" s="0" t="s">
        <v>343</v>
      </c>
      <c r="Q54" s="0" t="s">
        <v>343</v>
      </c>
      <c r="U54" s="0" t="s">
        <v>835</v>
      </c>
      <c r="W54" s="0" t="s">
        <v>566</v>
      </c>
      <c r="X54" s="0" t="s">
        <v>347</v>
      </c>
      <c r="Y54" s="0" t="s">
        <v>56</v>
      </c>
      <c r="Z54" s="0" t="s">
        <v>570</v>
      </c>
      <c r="AA54" s="0" t="s">
        <v>203</v>
      </c>
      <c r="AB54" s="0" t="s">
        <v>531</v>
      </c>
      <c r="AC54" s="0" t="s">
        <v>571</v>
      </c>
      <c r="AD54" s="0" t="s">
        <v>572</v>
      </c>
      <c r="AF54" s="0" t="s">
        <v>301</v>
      </c>
      <c r="AM54" s="0" t="s">
        <v>836</v>
      </c>
      <c r="AN54" s="0" t="s">
        <v>392</v>
      </c>
      <c r="AO54" s="0" t="s">
        <v>816</v>
      </c>
      <c r="AP54" s="0" t="s">
        <v>305</v>
      </c>
      <c r="AU54" s="0">
        <v>5000</v>
      </c>
      <c r="AX54" s="0" t="s">
        <v>808</v>
      </c>
      <c r="AY54" s="0" t="s">
        <v>809</v>
      </c>
      <c r="AZ54" s="0" t="s">
        <v>502</v>
      </c>
      <c r="BA54" s="0">
        <v>438</v>
      </c>
      <c r="BB54" s="0" t="s">
        <v>232</v>
      </c>
      <c r="BC54" s="0">
        <v>2</v>
      </c>
      <c r="BD54" s="0">
        <v>374043</v>
      </c>
      <c r="BE54" s="0">
        <v>519203</v>
      </c>
      <c r="BF54" s="0">
        <v>4</v>
      </c>
      <c r="BG54" s="0" t="s">
        <v>837</v>
      </c>
      <c r="BI54" s="0">
        <v>4670</v>
      </c>
      <c r="BK54" s="0" t="s">
        <v>838</v>
      </c>
    </row>
    <row r="55">
      <c r="A55" s="0">
        <v>4490</v>
      </c>
      <c r="B55" s="0" t="s">
        <v>839</v>
      </c>
      <c r="C55" s="0" t="s">
        <v>315</v>
      </c>
      <c r="D55" s="0" t="s">
        <v>566</v>
      </c>
      <c r="E55" s="0" t="s">
        <v>840</v>
      </c>
      <c r="F55" s="0">
        <v>1</v>
      </c>
      <c r="G55" s="0" t="s">
        <v>814</v>
      </c>
      <c r="H55" s="0" t="s">
        <v>805</v>
      </c>
      <c r="I55" s="0" t="s">
        <v>469</v>
      </c>
      <c r="P55" s="0" t="s">
        <v>343</v>
      </c>
      <c r="Q55" s="0" t="s">
        <v>343</v>
      </c>
      <c r="W55" s="0" t="s">
        <v>566</v>
      </c>
      <c r="X55" s="0" t="s">
        <v>841</v>
      </c>
      <c r="Y55" s="0" t="s">
        <v>56</v>
      </c>
      <c r="Z55" s="0" t="s">
        <v>570</v>
      </c>
      <c r="AA55" s="0" t="s">
        <v>203</v>
      </c>
      <c r="AB55" s="0" t="s">
        <v>531</v>
      </c>
      <c r="AC55" s="0" t="s">
        <v>571</v>
      </c>
      <c r="AD55" s="0" t="s">
        <v>572</v>
      </c>
      <c r="AF55" s="0" t="s">
        <v>301</v>
      </c>
      <c r="AM55" s="0" t="s">
        <v>842</v>
      </c>
      <c r="AN55" s="0" t="s">
        <v>387</v>
      </c>
      <c r="AO55" s="0" t="s">
        <v>818</v>
      </c>
      <c r="AP55" s="0" t="s">
        <v>305</v>
      </c>
      <c r="AU55" s="0">
        <v>5000</v>
      </c>
      <c r="AX55" s="0" t="s">
        <v>808</v>
      </c>
      <c r="AY55" s="0" t="s">
        <v>809</v>
      </c>
      <c r="AZ55" s="0" t="s">
        <v>502</v>
      </c>
      <c r="BA55" s="0">
        <v>438</v>
      </c>
      <c r="BB55" s="0" t="s">
        <v>232</v>
      </c>
      <c r="BC55" s="0">
        <v>2</v>
      </c>
      <c r="BD55" s="0">
        <v>374043</v>
      </c>
      <c r="BE55" s="0">
        <v>519203</v>
      </c>
      <c r="BF55" s="0">
        <v>9</v>
      </c>
      <c r="BG55" s="0" t="s">
        <v>843</v>
      </c>
      <c r="BI55" s="0">
        <v>4702</v>
      </c>
      <c r="BK55" s="0" t="s">
        <v>844</v>
      </c>
    </row>
    <row r="56">
      <c r="A56" s="0">
        <v>4597</v>
      </c>
      <c r="B56" s="0" t="s">
        <v>845</v>
      </c>
      <c r="C56" s="0" t="s">
        <v>315</v>
      </c>
      <c r="D56" s="0" t="s">
        <v>846</v>
      </c>
      <c r="E56" s="0" t="s">
        <v>847</v>
      </c>
      <c r="F56" s="0">
        <v>1</v>
      </c>
      <c r="G56" s="0" t="s">
        <v>508</v>
      </c>
      <c r="I56" s="0" t="s">
        <v>497</v>
      </c>
      <c r="J56" s="0" t="s">
        <v>543</v>
      </c>
      <c r="L56" s="0" t="s">
        <v>848</v>
      </c>
      <c r="P56" s="0" t="s">
        <v>323</v>
      </c>
      <c r="R56" s="0" t="s">
        <v>849</v>
      </c>
      <c r="T56" s="0" t="s">
        <v>850</v>
      </c>
      <c r="U56" s="0" t="s">
        <v>851</v>
      </c>
      <c r="W56" s="0" t="s">
        <v>852</v>
      </c>
      <c r="X56" s="0" t="s">
        <v>347</v>
      </c>
      <c r="Y56" s="0" t="s">
        <v>146</v>
      </c>
      <c r="Z56" s="0" t="s">
        <v>853</v>
      </c>
      <c r="AA56" s="0" t="s">
        <v>202</v>
      </c>
      <c r="AB56" s="0" t="s">
        <v>300</v>
      </c>
      <c r="AF56" s="0" t="s">
        <v>301</v>
      </c>
      <c r="AM56" s="0" t="s">
        <v>513</v>
      </c>
      <c r="AN56" s="0" t="s">
        <v>504</v>
      </c>
      <c r="AO56" s="0" t="s">
        <v>598</v>
      </c>
      <c r="AP56" s="0" t="s">
        <v>305</v>
      </c>
      <c r="AQ56" s="0" t="s">
        <v>854</v>
      </c>
      <c r="AR56" s="0" t="s">
        <v>307</v>
      </c>
      <c r="AS56" s="0">
        <v>208</v>
      </c>
      <c r="AT56" s="0">
        <v>464</v>
      </c>
      <c r="AU56" s="0">
        <v>560</v>
      </c>
      <c r="AV56" s="0" t="s">
        <v>331</v>
      </c>
      <c r="AX56" s="0" t="s">
        <v>387</v>
      </c>
      <c r="AY56" s="0" t="s">
        <v>310</v>
      </c>
      <c r="AZ56" s="0" t="s">
        <v>855</v>
      </c>
      <c r="BA56" s="0">
        <v>443</v>
      </c>
      <c r="BB56" s="0" t="s">
        <v>232</v>
      </c>
      <c r="BC56" s="0">
        <v>2</v>
      </c>
      <c r="BD56" s="0">
        <v>374043</v>
      </c>
      <c r="BE56" s="0">
        <v>58728</v>
      </c>
      <c r="BF56" s="0">
        <v>4</v>
      </c>
      <c r="BG56" s="0" t="s">
        <v>856</v>
      </c>
      <c r="BI56" s="0">
        <v>4070</v>
      </c>
      <c r="BK56" s="0" t="s">
        <v>857</v>
      </c>
    </row>
    <row r="57">
      <c r="A57" s="0">
        <v>4551</v>
      </c>
      <c r="B57" s="0" t="s">
        <v>858</v>
      </c>
      <c r="C57" s="0" t="s">
        <v>656</v>
      </c>
      <c r="D57" s="0" t="s">
        <v>846</v>
      </c>
      <c r="E57" s="0" t="s">
        <v>859</v>
      </c>
      <c r="F57" s="0">
        <v>1</v>
      </c>
      <c r="G57" s="0" t="s">
        <v>293</v>
      </c>
      <c r="H57" s="0" t="s">
        <v>294</v>
      </c>
      <c r="I57" s="0" t="s">
        <v>860</v>
      </c>
      <c r="U57" s="0" t="s">
        <v>861</v>
      </c>
      <c r="W57" s="0" t="s">
        <v>852</v>
      </c>
      <c r="X57" s="0" t="s">
        <v>347</v>
      </c>
      <c r="Y57" s="0" t="s">
        <v>146</v>
      </c>
      <c r="Z57" s="0" t="s">
        <v>853</v>
      </c>
      <c r="AA57" s="0" t="s">
        <v>202</v>
      </c>
      <c r="AB57" s="0" t="s">
        <v>300</v>
      </c>
      <c r="AF57" s="0" t="s">
        <v>301</v>
      </c>
      <c r="AM57" s="0" t="s">
        <v>862</v>
      </c>
      <c r="AN57" s="0" t="s">
        <v>780</v>
      </c>
      <c r="AO57" s="0" t="s">
        <v>311</v>
      </c>
      <c r="AP57" s="0" t="s">
        <v>305</v>
      </c>
      <c r="BA57" s="0">
        <v>443</v>
      </c>
      <c r="BB57" s="0" t="s">
        <v>232</v>
      </c>
      <c r="BC57" s="0">
        <v>2</v>
      </c>
      <c r="BD57" s="0">
        <v>10</v>
      </c>
      <c r="BE57" s="0">
        <v>58728</v>
      </c>
      <c r="BF57" s="0">
        <v>4</v>
      </c>
      <c r="BG57" s="0" t="s">
        <v>863</v>
      </c>
      <c r="BI57" s="0">
        <v>3490</v>
      </c>
      <c r="BK57" s="0" t="s">
        <v>864</v>
      </c>
    </row>
    <row r="58">
      <c r="A58" s="0">
        <v>4552</v>
      </c>
      <c r="B58" s="0" t="s">
        <v>865</v>
      </c>
      <c r="C58" s="0" t="s">
        <v>315</v>
      </c>
      <c r="D58" s="0" t="s">
        <v>846</v>
      </c>
      <c r="E58" s="0" t="s">
        <v>866</v>
      </c>
      <c r="F58" s="0">
        <v>1</v>
      </c>
      <c r="G58" s="0" t="s">
        <v>400</v>
      </c>
      <c r="J58" s="0" t="s">
        <v>319</v>
      </c>
      <c r="K58" s="0" t="s">
        <v>450</v>
      </c>
      <c r="L58" s="0" t="s">
        <v>417</v>
      </c>
      <c r="P58" s="0" t="s">
        <v>867</v>
      </c>
      <c r="Q58" s="0" t="s">
        <v>868</v>
      </c>
      <c r="R58" s="0" t="s">
        <v>869</v>
      </c>
      <c r="U58" s="0" t="s">
        <v>870</v>
      </c>
      <c r="W58" s="0" t="s">
        <v>852</v>
      </c>
      <c r="X58" s="0" t="s">
        <v>347</v>
      </c>
      <c r="Y58" s="0" t="s">
        <v>146</v>
      </c>
      <c r="Z58" s="0" t="s">
        <v>853</v>
      </c>
      <c r="AA58" s="0" t="s">
        <v>202</v>
      </c>
      <c r="AB58" s="0" t="s">
        <v>300</v>
      </c>
      <c r="AF58" s="0" t="s">
        <v>301</v>
      </c>
      <c r="AM58" s="0" t="s">
        <v>871</v>
      </c>
      <c r="AN58" s="0" t="s">
        <v>872</v>
      </c>
      <c r="AO58" s="0" t="s">
        <v>873</v>
      </c>
      <c r="AP58" s="0" t="s">
        <v>305</v>
      </c>
      <c r="AQ58" s="0" t="s">
        <v>874</v>
      </c>
      <c r="AR58" s="0" t="s">
        <v>390</v>
      </c>
      <c r="AS58" s="0">
        <v>36</v>
      </c>
      <c r="AT58" s="0">
        <v>78</v>
      </c>
      <c r="AU58" s="0">
        <v>104</v>
      </c>
      <c r="AV58" s="0" t="s">
        <v>308</v>
      </c>
      <c r="AX58" s="0" t="s">
        <v>353</v>
      </c>
      <c r="AY58" s="0" t="s">
        <v>627</v>
      </c>
      <c r="AZ58" s="0" t="s">
        <v>747</v>
      </c>
      <c r="BA58" s="0">
        <v>443</v>
      </c>
      <c r="BB58" s="0" t="s">
        <v>232</v>
      </c>
      <c r="BC58" s="0">
        <v>2</v>
      </c>
      <c r="BD58" s="0">
        <v>374043</v>
      </c>
      <c r="BE58" s="0">
        <v>58728</v>
      </c>
      <c r="BF58" s="0">
        <v>4</v>
      </c>
      <c r="BG58" s="0" t="s">
        <v>875</v>
      </c>
      <c r="BI58" s="0">
        <v>3603</v>
      </c>
      <c r="BK58" s="0" t="s">
        <v>876</v>
      </c>
    </row>
    <row r="59">
      <c r="A59" s="0">
        <v>4525</v>
      </c>
      <c r="B59" s="0" t="s">
        <v>877</v>
      </c>
      <c r="C59" s="0" t="s">
        <v>339</v>
      </c>
      <c r="D59" s="0" t="s">
        <v>846</v>
      </c>
      <c r="E59" s="0" t="s">
        <v>878</v>
      </c>
      <c r="F59" s="0">
        <v>1</v>
      </c>
      <c r="G59" s="0" t="s">
        <v>319</v>
      </c>
      <c r="H59" s="0" t="s">
        <v>879</v>
      </c>
      <c r="I59" s="0" t="s">
        <v>524</v>
      </c>
      <c r="J59" s="0" t="s">
        <v>508</v>
      </c>
      <c r="P59" s="0" t="s">
        <v>323</v>
      </c>
      <c r="Q59" s="0" t="s">
        <v>343</v>
      </c>
      <c r="R59" s="0" t="s">
        <v>880</v>
      </c>
      <c r="U59" s="0" t="s">
        <v>881</v>
      </c>
      <c r="W59" s="0" t="s">
        <v>852</v>
      </c>
      <c r="X59" s="0" t="s">
        <v>347</v>
      </c>
      <c r="Y59" s="0" t="s">
        <v>146</v>
      </c>
      <c r="Z59" s="0" t="s">
        <v>853</v>
      </c>
      <c r="AA59" s="0" t="s">
        <v>202</v>
      </c>
      <c r="AB59" s="0" t="s">
        <v>300</v>
      </c>
      <c r="AF59" s="0" t="s">
        <v>301</v>
      </c>
      <c r="AM59" s="0" t="s">
        <v>683</v>
      </c>
      <c r="AN59" s="0" t="s">
        <v>683</v>
      </c>
      <c r="AO59" s="0" t="s">
        <v>304</v>
      </c>
      <c r="AP59" s="0" t="s">
        <v>305</v>
      </c>
      <c r="AQ59" s="0" t="s">
        <v>882</v>
      </c>
      <c r="AR59" s="0" t="s">
        <v>883</v>
      </c>
      <c r="AS59" s="0">
        <v>238</v>
      </c>
      <c r="AT59" s="0">
        <v>476</v>
      </c>
      <c r="AU59" s="0">
        <v>560</v>
      </c>
      <c r="AV59" s="0" t="s">
        <v>332</v>
      </c>
      <c r="AX59" s="0" t="s">
        <v>367</v>
      </c>
      <c r="AY59" s="0" t="s">
        <v>367</v>
      </c>
      <c r="AZ59" s="0" t="s">
        <v>390</v>
      </c>
      <c r="BA59" s="0">
        <v>443</v>
      </c>
      <c r="BB59" s="0" t="s">
        <v>232</v>
      </c>
      <c r="BC59" s="0">
        <v>2</v>
      </c>
      <c r="BD59" s="0">
        <v>8</v>
      </c>
      <c r="BE59" s="0">
        <v>58728</v>
      </c>
      <c r="BF59" s="0">
        <v>4</v>
      </c>
      <c r="BG59" s="0" t="s">
        <v>884</v>
      </c>
      <c r="BI59" s="0">
        <v>741</v>
      </c>
      <c r="BK59" s="0" t="s">
        <v>885</v>
      </c>
    </row>
    <row r="60">
      <c r="A60" s="0">
        <v>4524</v>
      </c>
      <c r="B60" s="0" t="s">
        <v>886</v>
      </c>
      <c r="C60" s="0" t="s">
        <v>339</v>
      </c>
      <c r="D60" s="0" t="s">
        <v>846</v>
      </c>
      <c r="E60" s="0" t="s">
        <v>887</v>
      </c>
      <c r="F60" s="0">
        <v>1</v>
      </c>
      <c r="G60" s="0" t="s">
        <v>319</v>
      </c>
      <c r="H60" s="0" t="s">
        <v>879</v>
      </c>
      <c r="I60" s="0" t="s">
        <v>524</v>
      </c>
      <c r="J60" s="0" t="s">
        <v>508</v>
      </c>
      <c r="P60" s="0" t="s">
        <v>323</v>
      </c>
      <c r="Q60" s="0" t="s">
        <v>343</v>
      </c>
      <c r="R60" s="0" t="s">
        <v>880</v>
      </c>
      <c r="T60" s="0" t="s">
        <v>888</v>
      </c>
      <c r="U60" s="0" t="s">
        <v>889</v>
      </c>
      <c r="W60" s="0" t="s">
        <v>852</v>
      </c>
      <c r="X60" s="0" t="s">
        <v>347</v>
      </c>
      <c r="Y60" s="0" t="s">
        <v>146</v>
      </c>
      <c r="Z60" s="0" t="s">
        <v>853</v>
      </c>
      <c r="AA60" s="0" t="s">
        <v>202</v>
      </c>
      <c r="AB60" s="0" t="s">
        <v>300</v>
      </c>
      <c r="AF60" s="0" t="s">
        <v>301</v>
      </c>
      <c r="AM60" s="0" t="s">
        <v>890</v>
      </c>
      <c r="AN60" s="0" t="s">
        <v>891</v>
      </c>
      <c r="AO60" s="0" t="s">
        <v>892</v>
      </c>
      <c r="AP60" s="0" t="s">
        <v>305</v>
      </c>
      <c r="AQ60" s="0" t="s">
        <v>893</v>
      </c>
      <c r="AR60" s="0" t="s">
        <v>894</v>
      </c>
      <c r="AS60" s="0">
        <v>16</v>
      </c>
      <c r="AT60" s="0">
        <v>32</v>
      </c>
      <c r="AU60" s="0">
        <v>38</v>
      </c>
      <c r="AV60" s="0" t="s">
        <v>895</v>
      </c>
      <c r="AW60" s="0" t="s">
        <v>331</v>
      </c>
      <c r="AX60" s="0" t="s">
        <v>896</v>
      </c>
      <c r="AY60" s="0" t="s">
        <v>897</v>
      </c>
      <c r="AZ60" s="0" t="s">
        <v>898</v>
      </c>
      <c r="BA60" s="0">
        <v>443</v>
      </c>
      <c r="BB60" s="0" t="s">
        <v>232</v>
      </c>
      <c r="BC60" s="0">
        <v>2</v>
      </c>
      <c r="BD60" s="0">
        <v>8</v>
      </c>
      <c r="BE60" s="0">
        <v>58728</v>
      </c>
      <c r="BF60" s="0">
        <v>4</v>
      </c>
      <c r="BG60" s="0" t="s">
        <v>899</v>
      </c>
      <c r="BI60" s="0">
        <v>333</v>
      </c>
      <c r="BK60" s="0" t="s">
        <v>900</v>
      </c>
    </row>
    <row r="61">
      <c r="A61" s="0">
        <v>4531</v>
      </c>
      <c r="B61" s="0" t="s">
        <v>901</v>
      </c>
      <c r="C61" s="0" t="s">
        <v>315</v>
      </c>
      <c r="D61" s="0" t="s">
        <v>846</v>
      </c>
      <c r="E61" s="0" t="s">
        <v>902</v>
      </c>
      <c r="F61" s="0">
        <v>1</v>
      </c>
      <c r="G61" s="0" t="s">
        <v>319</v>
      </c>
      <c r="H61" s="0" t="s">
        <v>450</v>
      </c>
      <c r="I61" s="0" t="s">
        <v>469</v>
      </c>
      <c r="J61" s="0" t="s">
        <v>400</v>
      </c>
      <c r="M61" s="0" t="s">
        <v>759</v>
      </c>
      <c r="P61" s="0" t="s">
        <v>323</v>
      </c>
      <c r="Q61" s="0" t="s">
        <v>323</v>
      </c>
      <c r="R61" s="0" t="s">
        <v>903</v>
      </c>
      <c r="T61" s="0" t="s">
        <v>904</v>
      </c>
      <c r="U61" s="0" t="s">
        <v>905</v>
      </c>
      <c r="W61" s="0" t="s">
        <v>852</v>
      </c>
      <c r="X61" s="0" t="s">
        <v>347</v>
      </c>
      <c r="Y61" s="0" t="s">
        <v>146</v>
      </c>
      <c r="Z61" s="0" t="s">
        <v>853</v>
      </c>
      <c r="AA61" s="0" t="s">
        <v>202</v>
      </c>
      <c r="AB61" s="0" t="s">
        <v>300</v>
      </c>
      <c r="AF61" s="0" t="s">
        <v>301</v>
      </c>
      <c r="AM61" s="0" t="s">
        <v>906</v>
      </c>
      <c r="AN61" s="0" t="s">
        <v>907</v>
      </c>
      <c r="AO61" s="0" t="s">
        <v>908</v>
      </c>
      <c r="AP61" s="0" t="s">
        <v>305</v>
      </c>
      <c r="AQ61" s="0" t="s">
        <v>909</v>
      </c>
      <c r="AR61" s="0" t="s">
        <v>585</v>
      </c>
      <c r="AS61" s="0">
        <v>30</v>
      </c>
      <c r="AT61" s="0">
        <v>60</v>
      </c>
      <c r="AU61" s="0">
        <v>64</v>
      </c>
      <c r="AV61" s="0" t="s">
        <v>331</v>
      </c>
      <c r="AW61" s="0" t="s">
        <v>910</v>
      </c>
      <c r="AX61" s="0" t="s">
        <v>911</v>
      </c>
      <c r="AY61" s="0" t="s">
        <v>491</v>
      </c>
      <c r="AZ61" s="0" t="s">
        <v>912</v>
      </c>
      <c r="BA61" s="0">
        <v>443</v>
      </c>
      <c r="BB61" s="0" t="s">
        <v>232</v>
      </c>
      <c r="BC61" s="0">
        <v>2</v>
      </c>
      <c r="BD61" s="0">
        <v>374043</v>
      </c>
      <c r="BE61" s="0">
        <v>58728</v>
      </c>
      <c r="BF61" s="0">
        <v>4</v>
      </c>
      <c r="BG61" s="0" t="s">
        <v>913</v>
      </c>
      <c r="BI61" s="0">
        <v>2356</v>
      </c>
      <c r="BK61" s="0" t="s">
        <v>914</v>
      </c>
    </row>
    <row r="62">
      <c r="A62" s="0">
        <v>4550</v>
      </c>
      <c r="B62" s="0" t="s">
        <v>915</v>
      </c>
      <c r="C62" s="0" t="s">
        <v>916</v>
      </c>
      <c r="D62" s="0" t="s">
        <v>846</v>
      </c>
      <c r="E62" s="0" t="s">
        <v>917</v>
      </c>
      <c r="F62" s="0">
        <v>1</v>
      </c>
      <c r="G62" s="0" t="s">
        <v>293</v>
      </c>
      <c r="H62" s="0" t="s">
        <v>294</v>
      </c>
      <c r="I62" s="0" t="s">
        <v>918</v>
      </c>
      <c r="P62" s="0" t="s">
        <v>323</v>
      </c>
      <c r="Q62" s="0" t="s">
        <v>343</v>
      </c>
      <c r="R62" s="0" t="s">
        <v>324</v>
      </c>
      <c r="T62" s="0" t="s">
        <v>919</v>
      </c>
      <c r="U62" s="0" t="s">
        <v>920</v>
      </c>
      <c r="W62" s="0" t="s">
        <v>852</v>
      </c>
      <c r="X62" s="0" t="s">
        <v>347</v>
      </c>
      <c r="Y62" s="0" t="s">
        <v>146</v>
      </c>
      <c r="Z62" s="0" t="s">
        <v>853</v>
      </c>
      <c r="AA62" s="0" t="s">
        <v>202</v>
      </c>
      <c r="AB62" s="0" t="s">
        <v>300</v>
      </c>
      <c r="AF62" s="0" t="s">
        <v>301</v>
      </c>
      <c r="AM62" s="0" t="s">
        <v>921</v>
      </c>
      <c r="AN62" s="0" t="s">
        <v>922</v>
      </c>
      <c r="AO62" s="0" t="s">
        <v>923</v>
      </c>
      <c r="AP62" s="0" t="s">
        <v>305</v>
      </c>
      <c r="AQ62" s="0" t="s">
        <v>808</v>
      </c>
      <c r="AR62" s="0" t="s">
        <v>924</v>
      </c>
      <c r="AS62" s="0">
        <v>58</v>
      </c>
      <c r="AT62" s="0">
        <v>124</v>
      </c>
      <c r="AU62" s="0">
        <v>144</v>
      </c>
      <c r="AV62" s="0" t="s">
        <v>332</v>
      </c>
      <c r="AW62" s="0" t="s">
        <v>332</v>
      </c>
      <c r="AX62" s="0" t="s">
        <v>925</v>
      </c>
      <c r="AY62" s="0" t="s">
        <v>608</v>
      </c>
      <c r="AZ62" s="0" t="s">
        <v>926</v>
      </c>
      <c r="BA62" s="0">
        <v>443</v>
      </c>
      <c r="BB62" s="0" t="s">
        <v>232</v>
      </c>
      <c r="BC62" s="0">
        <v>2</v>
      </c>
      <c r="BD62" s="0">
        <v>15</v>
      </c>
      <c r="BE62" s="0">
        <v>58728</v>
      </c>
      <c r="BF62" s="0">
        <v>4</v>
      </c>
      <c r="BG62" s="0" t="s">
        <v>927</v>
      </c>
      <c r="BI62" s="0">
        <v>3362</v>
      </c>
      <c r="BK62" s="0" t="s">
        <v>928</v>
      </c>
    </row>
    <row r="63">
      <c r="A63" s="0">
        <v>4526</v>
      </c>
      <c r="B63" s="0" t="s">
        <v>929</v>
      </c>
      <c r="C63" s="0" t="s">
        <v>930</v>
      </c>
      <c r="D63" s="0" t="s">
        <v>846</v>
      </c>
      <c r="E63" s="0" t="s">
        <v>931</v>
      </c>
      <c r="F63" s="0">
        <v>1</v>
      </c>
      <c r="G63" s="0" t="s">
        <v>293</v>
      </c>
      <c r="H63" s="0" t="s">
        <v>294</v>
      </c>
      <c r="I63" s="0" t="s">
        <v>918</v>
      </c>
      <c r="T63" s="0" t="s">
        <v>932</v>
      </c>
      <c r="U63" s="0" t="s">
        <v>933</v>
      </c>
      <c r="W63" s="0" t="s">
        <v>852</v>
      </c>
      <c r="X63" s="0" t="s">
        <v>347</v>
      </c>
      <c r="Y63" s="0" t="s">
        <v>146</v>
      </c>
      <c r="Z63" s="0" t="s">
        <v>853</v>
      </c>
      <c r="AA63" s="0" t="s">
        <v>202</v>
      </c>
      <c r="AB63" s="0" t="s">
        <v>300</v>
      </c>
      <c r="AF63" s="0" t="s">
        <v>301</v>
      </c>
      <c r="AM63" s="0" t="s">
        <v>934</v>
      </c>
      <c r="AN63" s="0" t="s">
        <v>935</v>
      </c>
      <c r="AO63" s="0" t="s">
        <v>936</v>
      </c>
      <c r="AP63" s="0" t="s">
        <v>305</v>
      </c>
      <c r="AQ63" s="0" t="s">
        <v>937</v>
      </c>
      <c r="AR63" s="0" t="s">
        <v>938</v>
      </c>
      <c r="AS63" s="0">
        <v>119</v>
      </c>
      <c r="AT63" s="0">
        <v>250</v>
      </c>
      <c r="AU63" s="0">
        <v>287</v>
      </c>
      <c r="AW63" s="0" t="s">
        <v>308</v>
      </c>
      <c r="AX63" s="0" t="s">
        <v>939</v>
      </c>
      <c r="AY63" s="0" t="s">
        <v>940</v>
      </c>
      <c r="AZ63" s="0" t="s">
        <v>941</v>
      </c>
      <c r="BA63" s="0">
        <v>443</v>
      </c>
      <c r="BB63" s="0" t="s">
        <v>232</v>
      </c>
      <c r="BC63" s="0">
        <v>2</v>
      </c>
      <c r="BD63" s="0">
        <v>374049</v>
      </c>
      <c r="BE63" s="0">
        <v>58728</v>
      </c>
      <c r="BF63" s="0">
        <v>4</v>
      </c>
      <c r="BG63" s="0" t="s">
        <v>942</v>
      </c>
      <c r="BI63" s="0">
        <v>1076</v>
      </c>
      <c r="BK63" s="0" t="s">
        <v>943</v>
      </c>
    </row>
    <row r="64">
      <c r="A64" s="0">
        <v>4528</v>
      </c>
      <c r="B64" s="0" t="s">
        <v>944</v>
      </c>
      <c r="C64" s="0" t="s">
        <v>945</v>
      </c>
      <c r="D64" s="0" t="s">
        <v>846</v>
      </c>
      <c r="E64" s="0" t="s">
        <v>946</v>
      </c>
      <c r="F64" s="0">
        <v>1</v>
      </c>
      <c r="G64" s="0" t="s">
        <v>400</v>
      </c>
      <c r="J64" s="0" t="s">
        <v>319</v>
      </c>
      <c r="K64" s="0" t="s">
        <v>947</v>
      </c>
      <c r="L64" s="0" t="s">
        <v>948</v>
      </c>
      <c r="P64" s="0" t="s">
        <v>949</v>
      </c>
      <c r="Q64" s="0" t="s">
        <v>950</v>
      </c>
      <c r="R64" s="0" t="s">
        <v>951</v>
      </c>
      <c r="U64" s="0" t="s">
        <v>952</v>
      </c>
      <c r="W64" s="0" t="s">
        <v>852</v>
      </c>
      <c r="X64" s="0" t="s">
        <v>347</v>
      </c>
      <c r="Y64" s="0" t="s">
        <v>146</v>
      </c>
      <c r="Z64" s="0" t="s">
        <v>853</v>
      </c>
      <c r="AA64" s="0" t="s">
        <v>202</v>
      </c>
      <c r="AB64" s="0" t="s">
        <v>300</v>
      </c>
      <c r="AF64" s="0" t="s">
        <v>301</v>
      </c>
      <c r="AM64" s="0" t="s">
        <v>585</v>
      </c>
      <c r="AN64" s="0" t="s">
        <v>607</v>
      </c>
      <c r="AO64" s="0" t="s">
        <v>747</v>
      </c>
      <c r="AP64" s="0" t="s">
        <v>305</v>
      </c>
      <c r="AQ64" s="0" t="s">
        <v>953</v>
      </c>
      <c r="AR64" s="0" t="s">
        <v>954</v>
      </c>
      <c r="AS64" s="0">
        <v>21</v>
      </c>
      <c r="AT64" s="0">
        <v>50</v>
      </c>
      <c r="AU64" s="0">
        <v>65</v>
      </c>
      <c r="AV64" s="0" t="s">
        <v>332</v>
      </c>
      <c r="AX64" s="0" t="s">
        <v>491</v>
      </c>
      <c r="AY64" s="0" t="s">
        <v>460</v>
      </c>
      <c r="AZ64" s="0" t="s">
        <v>392</v>
      </c>
      <c r="BA64" s="0">
        <v>443</v>
      </c>
      <c r="BB64" s="0" t="s">
        <v>232</v>
      </c>
      <c r="BC64" s="0">
        <v>2</v>
      </c>
      <c r="BD64" s="0">
        <v>14</v>
      </c>
      <c r="BE64" s="0">
        <v>58728</v>
      </c>
      <c r="BF64" s="0">
        <v>4</v>
      </c>
      <c r="BG64" s="0" t="s">
        <v>955</v>
      </c>
      <c r="BI64" s="0">
        <v>1658</v>
      </c>
      <c r="BK64" s="0" t="s">
        <v>956</v>
      </c>
    </row>
    <row r="65">
      <c r="A65" s="0">
        <v>4529</v>
      </c>
      <c r="B65" s="0" t="s">
        <v>957</v>
      </c>
      <c r="C65" s="0" t="s">
        <v>945</v>
      </c>
      <c r="D65" s="0" t="s">
        <v>846</v>
      </c>
      <c r="E65" s="0" t="s">
        <v>958</v>
      </c>
      <c r="F65" s="0">
        <v>1</v>
      </c>
      <c r="G65" s="0" t="s">
        <v>400</v>
      </c>
      <c r="J65" s="0" t="s">
        <v>319</v>
      </c>
      <c r="K65" s="0" t="s">
        <v>947</v>
      </c>
      <c r="L65" s="0" t="s">
        <v>948</v>
      </c>
      <c r="P65" s="0" t="s">
        <v>959</v>
      </c>
      <c r="Q65" s="0" t="s">
        <v>960</v>
      </c>
      <c r="R65" s="0" t="s">
        <v>961</v>
      </c>
      <c r="T65" s="0" t="s">
        <v>962</v>
      </c>
      <c r="U65" s="0" t="s">
        <v>963</v>
      </c>
      <c r="W65" s="0" t="s">
        <v>852</v>
      </c>
      <c r="X65" s="0" t="s">
        <v>347</v>
      </c>
      <c r="Y65" s="0" t="s">
        <v>146</v>
      </c>
      <c r="Z65" s="0" t="s">
        <v>853</v>
      </c>
      <c r="AA65" s="0" t="s">
        <v>202</v>
      </c>
      <c r="AB65" s="0" t="s">
        <v>300</v>
      </c>
      <c r="AF65" s="0" t="s">
        <v>301</v>
      </c>
      <c r="AM65" s="0" t="s">
        <v>585</v>
      </c>
      <c r="AN65" s="0" t="s">
        <v>964</v>
      </c>
      <c r="AO65" s="0" t="s">
        <v>747</v>
      </c>
      <c r="AP65" s="0" t="s">
        <v>305</v>
      </c>
      <c r="AQ65" s="0" t="s">
        <v>965</v>
      </c>
      <c r="AR65" s="0" t="s">
        <v>390</v>
      </c>
      <c r="AS65" s="0">
        <v>52</v>
      </c>
      <c r="AT65" s="0">
        <v>110</v>
      </c>
      <c r="AU65" s="0">
        <v>131</v>
      </c>
      <c r="AV65" s="0" t="s">
        <v>332</v>
      </c>
      <c r="AX65" s="0" t="s">
        <v>491</v>
      </c>
      <c r="AY65" s="0" t="s">
        <v>513</v>
      </c>
      <c r="AZ65" s="0" t="s">
        <v>392</v>
      </c>
      <c r="BA65" s="0">
        <v>443</v>
      </c>
      <c r="BB65" s="0" t="s">
        <v>232</v>
      </c>
      <c r="BC65" s="0">
        <v>2</v>
      </c>
      <c r="BD65" s="0">
        <v>14</v>
      </c>
      <c r="BE65" s="0">
        <v>58728</v>
      </c>
      <c r="BF65" s="0">
        <v>4</v>
      </c>
      <c r="BG65" s="0" t="s">
        <v>966</v>
      </c>
      <c r="BI65" s="0">
        <v>1903</v>
      </c>
      <c r="BK65" s="0" t="s">
        <v>967</v>
      </c>
    </row>
    <row r="66">
      <c r="A66" s="0">
        <v>4553</v>
      </c>
      <c r="B66" s="0" t="s">
        <v>968</v>
      </c>
      <c r="C66" s="0" t="s">
        <v>315</v>
      </c>
      <c r="D66" s="0" t="s">
        <v>846</v>
      </c>
      <c r="E66" s="0" t="s">
        <v>969</v>
      </c>
      <c r="F66" s="0">
        <v>1</v>
      </c>
      <c r="G66" s="0" t="s">
        <v>319</v>
      </c>
      <c r="H66" s="0" t="s">
        <v>970</v>
      </c>
      <c r="I66" s="0" t="s">
        <v>417</v>
      </c>
      <c r="J66" s="0" t="s">
        <v>400</v>
      </c>
      <c r="P66" s="0" t="s">
        <v>949</v>
      </c>
      <c r="Q66" s="0" t="s">
        <v>949</v>
      </c>
      <c r="R66" s="0" t="s">
        <v>971</v>
      </c>
      <c r="U66" s="0" t="s">
        <v>972</v>
      </c>
      <c r="W66" s="0" t="s">
        <v>852</v>
      </c>
      <c r="X66" s="0" t="s">
        <v>347</v>
      </c>
      <c r="Y66" s="0" t="s">
        <v>146</v>
      </c>
      <c r="Z66" s="0" t="s">
        <v>853</v>
      </c>
      <c r="AA66" s="0" t="s">
        <v>202</v>
      </c>
      <c r="AB66" s="0" t="s">
        <v>300</v>
      </c>
      <c r="AF66" s="0" t="s">
        <v>301</v>
      </c>
      <c r="AM66" s="0" t="s">
        <v>973</v>
      </c>
      <c r="AN66" s="0" t="s">
        <v>974</v>
      </c>
      <c r="AO66" s="0" t="s">
        <v>975</v>
      </c>
      <c r="AP66" s="0" t="s">
        <v>305</v>
      </c>
      <c r="AQ66" s="0" t="s">
        <v>976</v>
      </c>
      <c r="AR66" s="0" t="s">
        <v>598</v>
      </c>
      <c r="AS66" s="0">
        <v>12</v>
      </c>
      <c r="AT66" s="0">
        <v>24</v>
      </c>
      <c r="AU66" s="0">
        <v>35</v>
      </c>
      <c r="AV66" s="0" t="s">
        <v>977</v>
      </c>
      <c r="AW66" s="0" t="s">
        <v>910</v>
      </c>
      <c r="AX66" s="0" t="s">
        <v>978</v>
      </c>
      <c r="AY66" s="0" t="s">
        <v>979</v>
      </c>
      <c r="AZ66" s="0" t="s">
        <v>650</v>
      </c>
      <c r="BA66" s="0">
        <v>443</v>
      </c>
      <c r="BB66" s="0" t="s">
        <v>232</v>
      </c>
      <c r="BC66" s="0">
        <v>2</v>
      </c>
      <c r="BD66" s="0">
        <v>374043</v>
      </c>
      <c r="BE66" s="0">
        <v>58728</v>
      </c>
      <c r="BF66" s="0">
        <v>4</v>
      </c>
      <c r="BG66" s="0" t="s">
        <v>980</v>
      </c>
      <c r="BI66" s="0">
        <v>3809</v>
      </c>
      <c r="BK66" s="0" t="s">
        <v>981</v>
      </c>
    </row>
    <row r="67">
      <c r="A67" s="0">
        <v>4547</v>
      </c>
      <c r="B67" s="0" t="s">
        <v>982</v>
      </c>
      <c r="C67" s="0" t="s">
        <v>339</v>
      </c>
      <c r="D67" s="0" t="s">
        <v>846</v>
      </c>
      <c r="E67" s="0" t="s">
        <v>983</v>
      </c>
      <c r="F67" s="0">
        <v>1</v>
      </c>
      <c r="G67" s="0" t="s">
        <v>508</v>
      </c>
      <c r="I67" s="0" t="s">
        <v>549</v>
      </c>
      <c r="J67" s="0" t="s">
        <v>984</v>
      </c>
      <c r="K67" s="0" t="s">
        <v>985</v>
      </c>
      <c r="L67" s="0" t="s">
        <v>986</v>
      </c>
      <c r="M67" s="0" t="s">
        <v>293</v>
      </c>
      <c r="N67" s="0" t="s">
        <v>294</v>
      </c>
      <c r="O67" s="0" t="s">
        <v>987</v>
      </c>
      <c r="P67" s="0" t="s">
        <v>323</v>
      </c>
      <c r="Q67" s="0" t="s">
        <v>323</v>
      </c>
      <c r="R67" s="0" t="s">
        <v>988</v>
      </c>
      <c r="T67" s="0" t="s">
        <v>989</v>
      </c>
      <c r="U67" s="0" t="s">
        <v>990</v>
      </c>
      <c r="W67" s="0" t="s">
        <v>852</v>
      </c>
      <c r="X67" s="0" t="s">
        <v>347</v>
      </c>
      <c r="Y67" s="0" t="s">
        <v>146</v>
      </c>
      <c r="Z67" s="0" t="s">
        <v>853</v>
      </c>
      <c r="AA67" s="0" t="s">
        <v>202</v>
      </c>
      <c r="AB67" s="0" t="s">
        <v>300</v>
      </c>
      <c r="AF67" s="0" t="s">
        <v>301</v>
      </c>
      <c r="AM67" s="0" t="s">
        <v>991</v>
      </c>
      <c r="AN67" s="0" t="s">
        <v>992</v>
      </c>
      <c r="AO67" s="0" t="s">
        <v>993</v>
      </c>
      <c r="AP67" s="0" t="s">
        <v>305</v>
      </c>
      <c r="AQ67" s="0" t="s">
        <v>994</v>
      </c>
      <c r="AS67" s="0">
        <v>29</v>
      </c>
      <c r="AT67" s="0">
        <v>59</v>
      </c>
      <c r="AU67" s="0">
        <v>70</v>
      </c>
      <c r="AV67" s="0" t="s">
        <v>995</v>
      </c>
      <c r="AW67" s="0" t="s">
        <v>308</v>
      </c>
      <c r="AX67" s="0" t="s">
        <v>996</v>
      </c>
      <c r="AY67" s="0" t="s">
        <v>997</v>
      </c>
      <c r="AZ67" s="0" t="s">
        <v>998</v>
      </c>
      <c r="BA67" s="0">
        <v>443</v>
      </c>
      <c r="BB67" s="0" t="s">
        <v>232</v>
      </c>
      <c r="BC67" s="0">
        <v>2</v>
      </c>
      <c r="BD67" s="0">
        <v>8</v>
      </c>
      <c r="BE67" s="0">
        <v>58728</v>
      </c>
      <c r="BF67" s="0">
        <v>4</v>
      </c>
      <c r="BG67" s="0" t="s">
        <v>999</v>
      </c>
      <c r="BI67" s="0">
        <v>2902</v>
      </c>
      <c r="BK67" s="0" t="s">
        <v>1000</v>
      </c>
    </row>
    <row r="68">
      <c r="A68" s="0">
        <v>4530</v>
      </c>
      <c r="B68" s="0" t="s">
        <v>1001</v>
      </c>
      <c r="C68" s="0" t="s">
        <v>339</v>
      </c>
      <c r="D68" s="0" t="s">
        <v>846</v>
      </c>
      <c r="E68" s="0" t="s">
        <v>1002</v>
      </c>
      <c r="F68" s="0">
        <v>1</v>
      </c>
      <c r="G68" s="0" t="s">
        <v>319</v>
      </c>
      <c r="H68" s="0" t="s">
        <v>1003</v>
      </c>
      <c r="I68" s="0" t="s">
        <v>417</v>
      </c>
      <c r="J68" s="0" t="s">
        <v>400</v>
      </c>
      <c r="M68" s="0" t="s">
        <v>759</v>
      </c>
      <c r="P68" s="0" t="s">
        <v>1004</v>
      </c>
      <c r="Q68" s="0" t="s">
        <v>1004</v>
      </c>
      <c r="R68" s="0" t="s">
        <v>869</v>
      </c>
      <c r="T68" s="0" t="s">
        <v>1005</v>
      </c>
      <c r="U68" s="0" t="s">
        <v>1006</v>
      </c>
      <c r="W68" s="0" t="s">
        <v>852</v>
      </c>
      <c r="X68" s="0" t="s">
        <v>347</v>
      </c>
      <c r="Y68" s="0" t="s">
        <v>146</v>
      </c>
      <c r="Z68" s="0" t="s">
        <v>853</v>
      </c>
      <c r="AA68" s="0" t="s">
        <v>202</v>
      </c>
      <c r="AB68" s="0" t="s">
        <v>300</v>
      </c>
      <c r="AF68" s="0" t="s">
        <v>301</v>
      </c>
      <c r="AM68" s="0" t="s">
        <v>1007</v>
      </c>
      <c r="AN68" s="0" t="s">
        <v>1008</v>
      </c>
      <c r="AO68" s="0" t="s">
        <v>1009</v>
      </c>
      <c r="AP68" s="0" t="s">
        <v>305</v>
      </c>
      <c r="AQ68" s="0" t="s">
        <v>1010</v>
      </c>
      <c r="AR68" s="0" t="s">
        <v>1011</v>
      </c>
      <c r="AS68" s="0">
        <v>24</v>
      </c>
      <c r="AT68" s="0">
        <v>28</v>
      </c>
      <c r="AU68" s="0">
        <v>30</v>
      </c>
      <c r="AV68" s="0" t="s">
        <v>332</v>
      </c>
      <c r="AW68" s="0" t="s">
        <v>1012</v>
      </c>
      <c r="AX68" s="0" t="s">
        <v>1013</v>
      </c>
      <c r="AY68" s="0" t="s">
        <v>1014</v>
      </c>
      <c r="AZ68" s="0" t="s">
        <v>1015</v>
      </c>
      <c r="BA68" s="0">
        <v>443</v>
      </c>
      <c r="BB68" s="0" t="s">
        <v>232</v>
      </c>
      <c r="BC68" s="0">
        <v>2</v>
      </c>
      <c r="BD68" s="0">
        <v>8</v>
      </c>
      <c r="BE68" s="0">
        <v>58728</v>
      </c>
      <c r="BF68" s="0">
        <v>4</v>
      </c>
      <c r="BG68" s="0" t="s">
        <v>1016</v>
      </c>
      <c r="BI68" s="0">
        <v>2137</v>
      </c>
      <c r="BK68" s="0" t="s">
        <v>1017</v>
      </c>
    </row>
    <row r="69">
      <c r="A69" s="0">
        <v>4548</v>
      </c>
      <c r="B69" s="0" t="s">
        <v>1018</v>
      </c>
      <c r="C69" s="0" t="s">
        <v>315</v>
      </c>
      <c r="D69" s="0" t="s">
        <v>846</v>
      </c>
      <c r="E69" s="0" t="s">
        <v>1019</v>
      </c>
      <c r="F69" s="0">
        <v>1</v>
      </c>
      <c r="G69" s="0" t="s">
        <v>508</v>
      </c>
      <c r="I69" s="0" t="s">
        <v>549</v>
      </c>
      <c r="J69" s="0" t="s">
        <v>984</v>
      </c>
      <c r="K69" s="0" t="s">
        <v>1020</v>
      </c>
      <c r="L69" s="0" t="s">
        <v>417</v>
      </c>
      <c r="P69" s="0" t="s">
        <v>323</v>
      </c>
      <c r="Q69" s="0" t="s">
        <v>323</v>
      </c>
      <c r="R69" s="0" t="s">
        <v>1021</v>
      </c>
      <c r="T69" s="0" t="s">
        <v>1022</v>
      </c>
      <c r="U69" s="0" t="s">
        <v>1023</v>
      </c>
      <c r="W69" s="0" t="s">
        <v>852</v>
      </c>
      <c r="X69" s="0" t="s">
        <v>347</v>
      </c>
      <c r="Y69" s="0" t="s">
        <v>146</v>
      </c>
      <c r="Z69" s="0" t="s">
        <v>853</v>
      </c>
      <c r="AA69" s="0" t="s">
        <v>202</v>
      </c>
      <c r="AB69" s="0" t="s">
        <v>300</v>
      </c>
      <c r="AF69" s="0" t="s">
        <v>301</v>
      </c>
      <c r="AM69" s="0" t="s">
        <v>514</v>
      </c>
      <c r="AN69" s="0" t="s">
        <v>514</v>
      </c>
      <c r="AO69" s="0" t="s">
        <v>608</v>
      </c>
      <c r="AP69" s="0" t="s">
        <v>305</v>
      </c>
      <c r="AQ69" s="0" t="s">
        <v>1024</v>
      </c>
      <c r="AR69" s="0" t="s">
        <v>515</v>
      </c>
      <c r="AS69" s="0">
        <v>44</v>
      </c>
      <c r="AT69" s="0">
        <v>94</v>
      </c>
      <c r="AU69" s="0">
        <v>120</v>
      </c>
      <c r="AV69" s="0" t="s">
        <v>332</v>
      </c>
      <c r="AX69" s="0" t="s">
        <v>311</v>
      </c>
      <c r="AY69" s="0" t="s">
        <v>311</v>
      </c>
      <c r="AZ69" s="0" t="s">
        <v>348</v>
      </c>
      <c r="BA69" s="0">
        <v>443</v>
      </c>
      <c r="BB69" s="0" t="s">
        <v>232</v>
      </c>
      <c r="BC69" s="0">
        <v>2</v>
      </c>
      <c r="BD69" s="0">
        <v>374043</v>
      </c>
      <c r="BE69" s="0">
        <v>58728</v>
      </c>
      <c r="BF69" s="0">
        <v>4</v>
      </c>
      <c r="BG69" s="0" t="s">
        <v>1025</v>
      </c>
      <c r="BI69" s="0">
        <v>3068</v>
      </c>
      <c r="BK69" s="0" t="s">
        <v>1026</v>
      </c>
    </row>
    <row r="70">
      <c r="A70" s="0">
        <v>4527</v>
      </c>
      <c r="B70" s="0" t="s">
        <v>1027</v>
      </c>
      <c r="C70" s="0" t="s">
        <v>945</v>
      </c>
      <c r="D70" s="0" t="s">
        <v>846</v>
      </c>
      <c r="E70" s="0" t="s">
        <v>1028</v>
      </c>
      <c r="F70" s="0">
        <v>1</v>
      </c>
      <c r="G70" s="0" t="s">
        <v>293</v>
      </c>
      <c r="H70" s="0" t="s">
        <v>294</v>
      </c>
      <c r="I70" s="0" t="s">
        <v>1029</v>
      </c>
      <c r="U70" s="0" t="s">
        <v>1030</v>
      </c>
      <c r="W70" s="0" t="s">
        <v>852</v>
      </c>
      <c r="X70" s="0" t="s">
        <v>347</v>
      </c>
      <c r="Y70" s="0" t="s">
        <v>146</v>
      </c>
      <c r="Z70" s="0" t="s">
        <v>853</v>
      </c>
      <c r="AA70" s="0" t="s">
        <v>202</v>
      </c>
      <c r="AB70" s="0" t="s">
        <v>300</v>
      </c>
      <c r="AF70" s="0" t="s">
        <v>301</v>
      </c>
      <c r="AM70" s="0" t="s">
        <v>608</v>
      </c>
      <c r="AN70" s="0" t="s">
        <v>1031</v>
      </c>
      <c r="AO70" s="0" t="s">
        <v>349</v>
      </c>
      <c r="AP70" s="0" t="s">
        <v>305</v>
      </c>
      <c r="AQ70" s="0" t="s">
        <v>1032</v>
      </c>
      <c r="AR70" s="0" t="s">
        <v>1033</v>
      </c>
      <c r="AS70" s="0">
        <v>254</v>
      </c>
      <c r="AT70" s="0">
        <v>527</v>
      </c>
      <c r="AU70" s="0">
        <v>590</v>
      </c>
      <c r="AV70" s="0" t="s">
        <v>332</v>
      </c>
      <c r="AX70" s="0" t="s">
        <v>490</v>
      </c>
      <c r="AY70" s="0" t="s">
        <v>1034</v>
      </c>
      <c r="AZ70" s="0" t="s">
        <v>489</v>
      </c>
      <c r="BA70" s="0">
        <v>443</v>
      </c>
      <c r="BB70" s="0" t="s">
        <v>232</v>
      </c>
      <c r="BC70" s="0">
        <v>2</v>
      </c>
      <c r="BD70" s="0">
        <v>14</v>
      </c>
      <c r="BE70" s="0">
        <v>58728</v>
      </c>
      <c r="BF70" s="0">
        <v>4</v>
      </c>
      <c r="BG70" s="0" t="s">
        <v>1035</v>
      </c>
      <c r="BI70" s="0">
        <v>1387</v>
      </c>
      <c r="BK70" s="0" t="s">
        <v>1036</v>
      </c>
    </row>
    <row r="71">
      <c r="A71" s="0">
        <v>4555</v>
      </c>
      <c r="B71" s="0" t="s">
        <v>1037</v>
      </c>
      <c r="C71" s="0" t="s">
        <v>945</v>
      </c>
      <c r="D71" s="0" t="s">
        <v>846</v>
      </c>
      <c r="E71" s="0" t="s">
        <v>1038</v>
      </c>
      <c r="F71" s="0">
        <v>1</v>
      </c>
      <c r="G71" s="0" t="s">
        <v>400</v>
      </c>
      <c r="J71" s="0" t="s">
        <v>319</v>
      </c>
      <c r="K71" s="0" t="s">
        <v>1039</v>
      </c>
      <c r="L71" s="0" t="s">
        <v>948</v>
      </c>
      <c r="P71" s="0" t="s">
        <v>1040</v>
      </c>
      <c r="Q71" s="0" t="s">
        <v>1041</v>
      </c>
      <c r="R71" s="0" t="s">
        <v>961</v>
      </c>
      <c r="U71" s="0" t="s">
        <v>1042</v>
      </c>
      <c r="W71" s="0" t="s">
        <v>852</v>
      </c>
      <c r="X71" s="0" t="s">
        <v>347</v>
      </c>
      <c r="Y71" s="0" t="s">
        <v>146</v>
      </c>
      <c r="Z71" s="0" t="s">
        <v>853</v>
      </c>
      <c r="AA71" s="0" t="s">
        <v>202</v>
      </c>
      <c r="AB71" s="0" t="s">
        <v>300</v>
      </c>
      <c r="AF71" s="0" t="s">
        <v>301</v>
      </c>
      <c r="AM71" s="0" t="s">
        <v>1043</v>
      </c>
      <c r="AN71" s="0" t="s">
        <v>1044</v>
      </c>
      <c r="AO71" s="0" t="s">
        <v>1045</v>
      </c>
      <c r="AP71" s="0" t="s">
        <v>305</v>
      </c>
      <c r="AQ71" s="0" t="s">
        <v>1046</v>
      </c>
      <c r="AR71" s="0" t="s">
        <v>1047</v>
      </c>
      <c r="AS71" s="0">
        <v>6</v>
      </c>
      <c r="AT71" s="0">
        <v>14</v>
      </c>
      <c r="AU71" s="0">
        <v>19</v>
      </c>
      <c r="AV71" s="0" t="s">
        <v>1048</v>
      </c>
      <c r="AW71" s="0" t="s">
        <v>308</v>
      </c>
      <c r="AX71" s="0" t="s">
        <v>1049</v>
      </c>
      <c r="AY71" s="0" t="s">
        <v>1050</v>
      </c>
      <c r="AZ71" s="0" t="s">
        <v>1051</v>
      </c>
      <c r="BA71" s="0">
        <v>443</v>
      </c>
      <c r="BB71" s="0" t="s">
        <v>232</v>
      </c>
      <c r="BC71" s="0">
        <v>2</v>
      </c>
      <c r="BD71" s="0">
        <v>14</v>
      </c>
      <c r="BE71" s="0">
        <v>58728</v>
      </c>
      <c r="BF71" s="0">
        <v>4</v>
      </c>
      <c r="BG71" s="0" t="s">
        <v>1052</v>
      </c>
      <c r="BI71" s="0">
        <v>3810</v>
      </c>
      <c r="BK71" s="0" t="s">
        <v>1053</v>
      </c>
    </row>
    <row r="72">
      <c r="A72" s="0">
        <v>4595</v>
      </c>
      <c r="B72" s="0" t="s">
        <v>1054</v>
      </c>
      <c r="C72" s="0" t="s">
        <v>945</v>
      </c>
      <c r="D72" s="0" t="s">
        <v>846</v>
      </c>
      <c r="E72" s="0" t="s">
        <v>1055</v>
      </c>
      <c r="F72" s="0">
        <v>1</v>
      </c>
      <c r="G72" s="0" t="s">
        <v>508</v>
      </c>
      <c r="I72" s="0" t="s">
        <v>497</v>
      </c>
      <c r="J72" s="0" t="s">
        <v>555</v>
      </c>
      <c r="K72" s="0" t="s">
        <v>1020</v>
      </c>
      <c r="L72" s="0" t="s">
        <v>549</v>
      </c>
      <c r="P72" s="0" t="s">
        <v>323</v>
      </c>
      <c r="Q72" s="0" t="s">
        <v>343</v>
      </c>
      <c r="R72" s="0" t="s">
        <v>880</v>
      </c>
      <c r="T72" s="0" t="s">
        <v>1056</v>
      </c>
      <c r="U72" s="0" t="s">
        <v>1057</v>
      </c>
      <c r="W72" s="0" t="s">
        <v>852</v>
      </c>
      <c r="X72" s="0" t="s">
        <v>347</v>
      </c>
      <c r="Y72" s="0" t="s">
        <v>146</v>
      </c>
      <c r="Z72" s="0" t="s">
        <v>853</v>
      </c>
      <c r="AA72" s="0" t="s">
        <v>202</v>
      </c>
      <c r="AB72" s="0" t="s">
        <v>300</v>
      </c>
      <c r="AF72" s="0" t="s">
        <v>301</v>
      </c>
      <c r="AM72" s="0" t="s">
        <v>352</v>
      </c>
      <c r="AN72" s="0" t="s">
        <v>512</v>
      </c>
      <c r="AO72" s="0" t="s">
        <v>517</v>
      </c>
      <c r="AP72" s="0" t="s">
        <v>305</v>
      </c>
      <c r="AQ72" s="0" t="s">
        <v>1058</v>
      </c>
      <c r="AR72" s="0" t="s">
        <v>1059</v>
      </c>
      <c r="AS72" s="0">
        <v>81</v>
      </c>
      <c r="AT72" s="0">
        <v>180</v>
      </c>
      <c r="AU72" s="0">
        <v>231</v>
      </c>
      <c r="AV72" s="0" t="s">
        <v>332</v>
      </c>
      <c r="AX72" s="0" t="s">
        <v>608</v>
      </c>
      <c r="AY72" s="0" t="s">
        <v>1060</v>
      </c>
      <c r="AZ72" s="0" t="s">
        <v>310</v>
      </c>
      <c r="BA72" s="0">
        <v>443</v>
      </c>
      <c r="BB72" s="0" t="s">
        <v>232</v>
      </c>
      <c r="BC72" s="0">
        <v>2</v>
      </c>
      <c r="BD72" s="0">
        <v>14</v>
      </c>
      <c r="BE72" s="0">
        <v>58728</v>
      </c>
      <c r="BF72" s="0">
        <v>4</v>
      </c>
      <c r="BG72" s="0" t="s">
        <v>1061</v>
      </c>
      <c r="BI72" s="0">
        <v>3900</v>
      </c>
      <c r="BK72" s="0" t="s">
        <v>1062</v>
      </c>
    </row>
    <row r="73">
      <c r="A73" s="0">
        <v>4596</v>
      </c>
      <c r="B73" s="0" t="s">
        <v>1063</v>
      </c>
      <c r="C73" s="0" t="s">
        <v>315</v>
      </c>
      <c r="D73" s="0" t="s">
        <v>846</v>
      </c>
      <c r="E73" s="0" t="s">
        <v>1064</v>
      </c>
      <c r="F73" s="0">
        <v>1</v>
      </c>
      <c r="G73" s="0" t="s">
        <v>293</v>
      </c>
      <c r="H73" s="0" t="s">
        <v>294</v>
      </c>
      <c r="I73" s="0" t="s">
        <v>987</v>
      </c>
      <c r="U73" s="0" t="s">
        <v>1065</v>
      </c>
      <c r="V73" s="0" t="s">
        <v>290</v>
      </c>
      <c r="W73" s="0" t="s">
        <v>852</v>
      </c>
      <c r="X73" s="0" t="s">
        <v>347</v>
      </c>
      <c r="Y73" s="0" t="s">
        <v>146</v>
      </c>
      <c r="Z73" s="0" t="s">
        <v>853</v>
      </c>
      <c r="AA73" s="0" t="s">
        <v>202</v>
      </c>
      <c r="AB73" s="0" t="s">
        <v>300</v>
      </c>
      <c r="AF73" s="0" t="s">
        <v>301</v>
      </c>
      <c r="AM73" s="0" t="s">
        <v>830</v>
      </c>
      <c r="AN73" s="0" t="s">
        <v>350</v>
      </c>
      <c r="AO73" s="0" t="s">
        <v>1066</v>
      </c>
      <c r="AP73" s="0" t="s">
        <v>305</v>
      </c>
      <c r="AQ73" s="0" t="s">
        <v>442</v>
      </c>
      <c r="AR73" s="0" t="s">
        <v>1067</v>
      </c>
      <c r="AS73" s="0">
        <v>77</v>
      </c>
      <c r="AT73" s="0">
        <v>166</v>
      </c>
      <c r="AU73" s="0">
        <v>189</v>
      </c>
      <c r="AV73" s="0" t="s">
        <v>332</v>
      </c>
      <c r="AW73" s="0" t="s">
        <v>1068</v>
      </c>
      <c r="AX73" s="0" t="s">
        <v>1069</v>
      </c>
      <c r="AY73" s="0" t="s">
        <v>599</v>
      </c>
      <c r="AZ73" s="0" t="s">
        <v>1070</v>
      </c>
      <c r="BA73" s="0">
        <v>443</v>
      </c>
      <c r="BB73" s="0" t="s">
        <v>232</v>
      </c>
      <c r="BC73" s="0">
        <v>2</v>
      </c>
      <c r="BD73" s="0">
        <v>374043</v>
      </c>
      <c r="BE73" s="0">
        <v>58728</v>
      </c>
      <c r="BF73" s="0">
        <v>4</v>
      </c>
      <c r="BG73" s="0" t="s">
        <v>1071</v>
      </c>
      <c r="BI73" s="0">
        <v>3988</v>
      </c>
      <c r="BK73" s="0" t="s">
        <v>1072</v>
      </c>
    </row>
    <row r="74">
      <c r="A74" s="0">
        <v>4543</v>
      </c>
      <c r="B74" s="0" t="s">
        <v>1073</v>
      </c>
      <c r="C74" s="0" t="s">
        <v>945</v>
      </c>
      <c r="D74" s="0" t="s">
        <v>846</v>
      </c>
      <c r="E74" s="0" t="s">
        <v>1074</v>
      </c>
      <c r="F74" s="0">
        <v>2</v>
      </c>
      <c r="G74" s="0" t="s">
        <v>508</v>
      </c>
      <c r="I74" s="0" t="s">
        <v>497</v>
      </c>
      <c r="J74" s="0" t="s">
        <v>984</v>
      </c>
      <c r="K74" s="0" t="s">
        <v>1020</v>
      </c>
      <c r="L74" s="0" t="s">
        <v>417</v>
      </c>
      <c r="P74" s="0" t="s">
        <v>323</v>
      </c>
      <c r="Q74" s="0" t="s">
        <v>343</v>
      </c>
      <c r="R74" s="0" t="s">
        <v>880</v>
      </c>
      <c r="T74" s="0" t="s">
        <v>1075</v>
      </c>
      <c r="U74" s="0" t="s">
        <v>1076</v>
      </c>
      <c r="W74" s="0" t="s">
        <v>852</v>
      </c>
      <c r="X74" s="0" t="s">
        <v>347</v>
      </c>
      <c r="Y74" s="0" t="s">
        <v>146</v>
      </c>
      <c r="Z74" s="0" t="s">
        <v>853</v>
      </c>
      <c r="AA74" s="0" t="s">
        <v>202</v>
      </c>
      <c r="AB74" s="0" t="s">
        <v>300</v>
      </c>
      <c r="AF74" s="0" t="s">
        <v>301</v>
      </c>
      <c r="AM74" s="0" t="s">
        <v>352</v>
      </c>
      <c r="AN74" s="0" t="s">
        <v>512</v>
      </c>
      <c r="AO74" s="0" t="s">
        <v>517</v>
      </c>
      <c r="AP74" s="0" t="s">
        <v>305</v>
      </c>
      <c r="AQ74" s="0" t="s">
        <v>331</v>
      </c>
      <c r="AR74" s="0" t="s">
        <v>1077</v>
      </c>
      <c r="AS74" s="0">
        <v>81</v>
      </c>
      <c r="AT74" s="0">
        <v>180</v>
      </c>
      <c r="AU74" s="0">
        <v>231</v>
      </c>
      <c r="AV74" s="0" t="s">
        <v>332</v>
      </c>
      <c r="AX74" s="0" t="s">
        <v>608</v>
      </c>
      <c r="AY74" s="0" t="s">
        <v>1060</v>
      </c>
      <c r="AZ74" s="0" t="s">
        <v>310</v>
      </c>
      <c r="BA74" s="0">
        <v>443</v>
      </c>
      <c r="BB74" s="0" t="s">
        <v>232</v>
      </c>
      <c r="BC74" s="0">
        <v>2</v>
      </c>
      <c r="BD74" s="0">
        <v>14</v>
      </c>
      <c r="BE74" s="0">
        <v>58728</v>
      </c>
      <c r="BF74" s="0">
        <v>4</v>
      </c>
      <c r="BG74" s="0" t="s">
        <v>1078</v>
      </c>
      <c r="BI74" s="0">
        <v>2552</v>
      </c>
      <c r="BK74" s="0" t="s">
        <v>1079</v>
      </c>
    </row>
    <row r="75">
      <c r="A75" s="0">
        <v>4549</v>
      </c>
      <c r="B75" s="0" t="s">
        <v>1080</v>
      </c>
      <c r="C75" s="0" t="s">
        <v>315</v>
      </c>
      <c r="D75" s="0" t="s">
        <v>846</v>
      </c>
      <c r="E75" s="0" t="s">
        <v>1081</v>
      </c>
      <c r="F75" s="0">
        <v>1</v>
      </c>
      <c r="G75" s="0" t="s">
        <v>508</v>
      </c>
      <c r="I75" s="0" t="s">
        <v>469</v>
      </c>
      <c r="J75" s="0" t="s">
        <v>293</v>
      </c>
      <c r="K75" s="0" t="s">
        <v>294</v>
      </c>
      <c r="L75" s="0" t="s">
        <v>1082</v>
      </c>
      <c r="U75" s="0" t="s">
        <v>1083</v>
      </c>
      <c r="V75" s="0" t="s">
        <v>290</v>
      </c>
      <c r="W75" s="0" t="s">
        <v>852</v>
      </c>
      <c r="X75" s="0" t="s">
        <v>347</v>
      </c>
      <c r="Y75" s="0" t="s">
        <v>146</v>
      </c>
      <c r="Z75" s="0" t="s">
        <v>853</v>
      </c>
      <c r="AA75" s="0" t="s">
        <v>202</v>
      </c>
      <c r="AB75" s="0" t="s">
        <v>300</v>
      </c>
      <c r="AF75" s="0" t="s">
        <v>301</v>
      </c>
      <c r="AM75" s="0" t="s">
        <v>387</v>
      </c>
      <c r="AN75" s="0" t="s">
        <v>387</v>
      </c>
      <c r="AO75" s="0" t="s">
        <v>763</v>
      </c>
      <c r="AP75" s="0" t="s">
        <v>305</v>
      </c>
      <c r="AQ75" s="0" t="s">
        <v>502</v>
      </c>
      <c r="AR75" s="0" t="s">
        <v>1084</v>
      </c>
      <c r="AS75" s="0">
        <v>300</v>
      </c>
      <c r="AT75" s="0">
        <v>650</v>
      </c>
      <c r="AU75" s="0">
        <v>800</v>
      </c>
      <c r="AV75" s="0" t="s">
        <v>332</v>
      </c>
      <c r="AX75" s="0" t="s">
        <v>474</v>
      </c>
      <c r="AY75" s="0" t="s">
        <v>474</v>
      </c>
      <c r="AZ75" s="0" t="s">
        <v>489</v>
      </c>
      <c r="BA75" s="0">
        <v>443</v>
      </c>
      <c r="BB75" s="0" t="s">
        <v>232</v>
      </c>
      <c r="BC75" s="0">
        <v>2</v>
      </c>
      <c r="BD75" s="0">
        <v>374043</v>
      </c>
      <c r="BE75" s="0">
        <v>58728</v>
      </c>
      <c r="BF75" s="0">
        <v>4</v>
      </c>
      <c r="BG75" s="0" t="s">
        <v>1085</v>
      </c>
      <c r="BI75" s="0">
        <v>3220</v>
      </c>
      <c r="BK75" s="0" t="s">
        <v>1086</v>
      </c>
    </row>
    <row r="76">
      <c r="A76" s="0">
        <v>4545</v>
      </c>
      <c r="B76" s="0" t="s">
        <v>1087</v>
      </c>
      <c r="C76" s="0" t="s">
        <v>315</v>
      </c>
      <c r="D76" s="0" t="s">
        <v>846</v>
      </c>
      <c r="E76" s="0" t="s">
        <v>1088</v>
      </c>
      <c r="F76" s="0">
        <v>1</v>
      </c>
      <c r="G76" s="0" t="s">
        <v>400</v>
      </c>
      <c r="I76" s="0" t="s">
        <v>549</v>
      </c>
      <c r="J76" s="0" t="s">
        <v>293</v>
      </c>
      <c r="K76" s="0" t="s">
        <v>294</v>
      </c>
      <c r="L76" s="0" t="s">
        <v>987</v>
      </c>
      <c r="M76" s="0" t="s">
        <v>543</v>
      </c>
      <c r="O76" s="0" t="s">
        <v>729</v>
      </c>
      <c r="P76" s="0" t="s">
        <v>1089</v>
      </c>
      <c r="Q76" s="0" t="s">
        <v>1089</v>
      </c>
      <c r="R76" s="0" t="s">
        <v>869</v>
      </c>
      <c r="T76" s="0" t="s">
        <v>1090</v>
      </c>
      <c r="U76" s="0" t="s">
        <v>1091</v>
      </c>
      <c r="W76" s="0" t="s">
        <v>852</v>
      </c>
      <c r="X76" s="0" t="s">
        <v>347</v>
      </c>
      <c r="Y76" s="0" t="s">
        <v>146</v>
      </c>
      <c r="Z76" s="0" t="s">
        <v>853</v>
      </c>
      <c r="AA76" s="0" t="s">
        <v>202</v>
      </c>
      <c r="AB76" s="0" t="s">
        <v>300</v>
      </c>
      <c r="AF76" s="0" t="s">
        <v>301</v>
      </c>
      <c r="AM76" s="0" t="s">
        <v>1092</v>
      </c>
      <c r="AN76" s="0" t="s">
        <v>1093</v>
      </c>
      <c r="AO76" s="0" t="s">
        <v>1094</v>
      </c>
      <c r="AP76" s="0" t="s">
        <v>305</v>
      </c>
      <c r="AQ76" s="0" t="s">
        <v>1095</v>
      </c>
      <c r="AR76" s="0" t="s">
        <v>1096</v>
      </c>
      <c r="AS76" s="0">
        <v>35</v>
      </c>
      <c r="AT76" s="0">
        <v>72</v>
      </c>
      <c r="AU76" s="0">
        <v>72</v>
      </c>
      <c r="AV76" s="0" t="s">
        <v>331</v>
      </c>
      <c r="AW76" s="0" t="s">
        <v>910</v>
      </c>
      <c r="AX76" s="0" t="s">
        <v>611</v>
      </c>
      <c r="AY76" s="0" t="s">
        <v>765</v>
      </c>
      <c r="AZ76" s="0" t="s">
        <v>490</v>
      </c>
      <c r="BA76" s="0">
        <v>443</v>
      </c>
      <c r="BB76" s="0" t="s">
        <v>232</v>
      </c>
      <c r="BC76" s="0">
        <v>2</v>
      </c>
      <c r="BD76" s="0">
        <v>374043</v>
      </c>
      <c r="BE76" s="0">
        <v>58728</v>
      </c>
      <c r="BF76" s="0">
        <v>4</v>
      </c>
      <c r="BG76" s="0" t="s">
        <v>1097</v>
      </c>
      <c r="BI76" s="0">
        <v>2901</v>
      </c>
      <c r="BK76" s="0" t="s">
        <v>1098</v>
      </c>
    </row>
    <row r="77">
      <c r="A77" s="0">
        <v>4598</v>
      </c>
      <c r="B77" s="0" t="s">
        <v>1099</v>
      </c>
      <c r="C77" s="0" t="s">
        <v>1100</v>
      </c>
      <c r="D77" s="0" t="s">
        <v>846</v>
      </c>
      <c r="E77" s="0" t="s">
        <v>1101</v>
      </c>
      <c r="F77" s="0">
        <v>1</v>
      </c>
      <c r="G77" s="0" t="s">
        <v>319</v>
      </c>
      <c r="H77" s="0" t="s">
        <v>483</v>
      </c>
      <c r="I77" s="0" t="s">
        <v>1102</v>
      </c>
      <c r="J77" s="0" t="s">
        <v>400</v>
      </c>
      <c r="P77" s="0" t="s">
        <v>323</v>
      </c>
      <c r="R77" s="0" t="s">
        <v>1102</v>
      </c>
      <c r="T77" s="0" t="s">
        <v>1103</v>
      </c>
      <c r="U77" s="0" t="s">
        <v>1104</v>
      </c>
      <c r="W77" s="0" t="s">
        <v>852</v>
      </c>
      <c r="X77" s="0" t="s">
        <v>347</v>
      </c>
      <c r="Y77" s="0" t="s">
        <v>146</v>
      </c>
      <c r="Z77" s="0" t="s">
        <v>853</v>
      </c>
      <c r="AA77" s="0" t="s">
        <v>202</v>
      </c>
      <c r="AB77" s="0" t="s">
        <v>300</v>
      </c>
      <c r="AF77" s="0" t="s">
        <v>301</v>
      </c>
      <c r="AM77" s="0" t="s">
        <v>701</v>
      </c>
      <c r="AN77" s="0" t="s">
        <v>608</v>
      </c>
      <c r="AO77" s="0" t="s">
        <v>1105</v>
      </c>
      <c r="AP77" s="0" t="s">
        <v>305</v>
      </c>
      <c r="AQ77" s="0" t="s">
        <v>389</v>
      </c>
      <c r="AR77" s="0" t="s">
        <v>1106</v>
      </c>
      <c r="AS77" s="0">
        <v>44</v>
      </c>
      <c r="AT77" s="0">
        <v>95</v>
      </c>
      <c r="AU77" s="0">
        <v>105</v>
      </c>
      <c r="AV77" s="0" t="s">
        <v>332</v>
      </c>
      <c r="AX77" s="0" t="s">
        <v>1107</v>
      </c>
      <c r="AY77" s="0" t="s">
        <v>490</v>
      </c>
      <c r="AZ77" s="0" t="s">
        <v>1108</v>
      </c>
      <c r="BA77" s="0">
        <v>443</v>
      </c>
      <c r="BB77" s="0" t="s">
        <v>232</v>
      </c>
      <c r="BC77" s="0">
        <v>2</v>
      </c>
      <c r="BD77" s="0">
        <v>374072</v>
      </c>
      <c r="BE77" s="0">
        <v>58728</v>
      </c>
      <c r="BF77" s="0">
        <v>4</v>
      </c>
      <c r="BG77" s="0" t="s">
        <v>1109</v>
      </c>
      <c r="BI77" s="0">
        <v>4147</v>
      </c>
      <c r="BK77" s="0" t="s">
        <v>1110</v>
      </c>
    </row>
    <row r="78">
      <c r="A78" s="0">
        <v>4692</v>
      </c>
      <c r="B78" s="0" t="s">
        <v>1111</v>
      </c>
      <c r="E78" s="0" t="s">
        <v>847</v>
      </c>
      <c r="F78" s="0">
        <v>1</v>
      </c>
      <c r="G78" s="0" t="s">
        <v>555</v>
      </c>
      <c r="H78" s="0" t="s">
        <v>1112</v>
      </c>
      <c r="I78" s="0" t="s">
        <v>1113</v>
      </c>
      <c r="J78" s="0" t="s">
        <v>400</v>
      </c>
      <c r="L78" s="0" t="s">
        <v>1113</v>
      </c>
      <c r="P78" s="0" t="s">
        <v>343</v>
      </c>
      <c r="Q78" s="0" t="s">
        <v>343</v>
      </c>
      <c r="T78" s="0" t="s">
        <v>1114</v>
      </c>
      <c r="W78" s="0" t="s">
        <v>1115</v>
      </c>
      <c r="X78" s="0" t="s">
        <v>1116</v>
      </c>
      <c r="Y78" s="0" t="s">
        <v>44</v>
      </c>
      <c r="Z78" s="0" t="s">
        <v>1117</v>
      </c>
      <c r="AA78" s="0" t="s">
        <v>201</v>
      </c>
      <c r="AB78" s="0" t="s">
        <v>531</v>
      </c>
      <c r="AF78" s="0" t="s">
        <v>301</v>
      </c>
      <c r="AP78" s="0" t="s">
        <v>305</v>
      </c>
      <c r="BA78" s="0">
        <v>450</v>
      </c>
      <c r="BB78" s="0" t="s">
        <v>232</v>
      </c>
      <c r="BC78" s="0">
        <v>2</v>
      </c>
      <c r="BE78" s="0">
        <v>84661</v>
      </c>
      <c r="BF78" s="0">
        <v>1</v>
      </c>
      <c r="BG78" s="0" t="s">
        <v>1118</v>
      </c>
      <c r="BI78" s="0">
        <v>2000</v>
      </c>
      <c r="BK78" s="0" t="s">
        <v>1119</v>
      </c>
    </row>
    <row r="79">
      <c r="A79" s="0">
        <v>4600</v>
      </c>
      <c r="B79" s="0" t="s">
        <v>1120</v>
      </c>
      <c r="C79" s="0" t="s">
        <v>1121</v>
      </c>
      <c r="D79" s="0" t="s">
        <v>1115</v>
      </c>
      <c r="E79" s="0" t="s">
        <v>1122</v>
      </c>
      <c r="F79" s="0">
        <v>1</v>
      </c>
      <c r="G79" s="0" t="s">
        <v>319</v>
      </c>
      <c r="H79" s="0" t="s">
        <v>483</v>
      </c>
      <c r="I79" s="0" t="s">
        <v>1123</v>
      </c>
      <c r="J79" s="0" t="s">
        <v>400</v>
      </c>
      <c r="P79" s="0" t="s">
        <v>323</v>
      </c>
      <c r="Q79" s="0" t="s">
        <v>323</v>
      </c>
      <c r="R79" s="0" t="s">
        <v>1124</v>
      </c>
      <c r="T79" s="0" t="s">
        <v>1125</v>
      </c>
      <c r="U79" s="0" t="s">
        <v>1126</v>
      </c>
      <c r="W79" s="0" t="s">
        <v>1115</v>
      </c>
      <c r="X79" s="0" t="s">
        <v>347</v>
      </c>
      <c r="Y79" s="0" t="s">
        <v>44</v>
      </c>
      <c r="Z79" s="0" t="s">
        <v>1117</v>
      </c>
      <c r="AA79" s="0" t="s">
        <v>201</v>
      </c>
      <c r="AB79" s="0" t="s">
        <v>531</v>
      </c>
      <c r="AF79" s="0" t="s">
        <v>301</v>
      </c>
      <c r="AP79" s="0" t="s">
        <v>305</v>
      </c>
      <c r="BA79" s="0">
        <v>450</v>
      </c>
      <c r="BB79" s="0" t="s">
        <v>232</v>
      </c>
      <c r="BC79" s="0">
        <v>2</v>
      </c>
      <c r="BD79" s="0">
        <v>374077</v>
      </c>
      <c r="BE79" s="0">
        <v>84661</v>
      </c>
      <c r="BF79" s="0">
        <v>4</v>
      </c>
      <c r="BG79" s="0" t="s">
        <v>1127</v>
      </c>
      <c r="BI79" s="0">
        <v>743</v>
      </c>
      <c r="BK79" s="0" t="s">
        <v>1128</v>
      </c>
    </row>
    <row r="80">
      <c r="A80" s="0">
        <v>4603</v>
      </c>
      <c r="B80" s="0" t="s">
        <v>1129</v>
      </c>
      <c r="C80" s="0" t="s">
        <v>579</v>
      </c>
      <c r="D80" s="0" t="s">
        <v>1115</v>
      </c>
      <c r="E80" s="0" t="s">
        <v>1130</v>
      </c>
      <c r="F80" s="0">
        <v>1</v>
      </c>
      <c r="G80" s="0" t="s">
        <v>1131</v>
      </c>
      <c r="H80" s="0" t="s">
        <v>1132</v>
      </c>
      <c r="I80" s="0" t="s">
        <v>583</v>
      </c>
      <c r="J80" s="0" t="s">
        <v>400</v>
      </c>
      <c r="L80" s="0" t="s">
        <v>1133</v>
      </c>
      <c r="P80" s="0" t="s">
        <v>343</v>
      </c>
      <c r="Q80" s="0" t="s">
        <v>343</v>
      </c>
      <c r="T80" s="0" t="s">
        <v>1134</v>
      </c>
      <c r="U80" s="0" t="s">
        <v>1135</v>
      </c>
      <c r="W80" s="0" t="s">
        <v>1115</v>
      </c>
      <c r="X80" s="0" t="s">
        <v>347</v>
      </c>
      <c r="Y80" s="0" t="s">
        <v>44</v>
      </c>
      <c r="Z80" s="0" t="s">
        <v>1117</v>
      </c>
      <c r="AA80" s="0" t="s">
        <v>201</v>
      </c>
      <c r="AB80" s="0" t="s">
        <v>531</v>
      </c>
      <c r="AF80" s="0" t="s">
        <v>301</v>
      </c>
      <c r="AP80" s="0" t="s">
        <v>305</v>
      </c>
      <c r="BA80" s="0">
        <v>450</v>
      </c>
      <c r="BB80" s="0" t="s">
        <v>232</v>
      </c>
      <c r="BC80" s="0">
        <v>2</v>
      </c>
      <c r="BD80" s="0">
        <v>374046</v>
      </c>
      <c r="BE80" s="0">
        <v>84661</v>
      </c>
      <c r="BF80" s="0">
        <v>4</v>
      </c>
      <c r="BG80" s="0" t="s">
        <v>1136</v>
      </c>
      <c r="BI80" s="0">
        <v>1659</v>
      </c>
      <c r="BK80" s="0" t="s">
        <v>1137</v>
      </c>
    </row>
    <row r="81">
      <c r="A81" s="0">
        <v>4602</v>
      </c>
      <c r="B81" s="0" t="s">
        <v>1138</v>
      </c>
      <c r="C81" s="0" t="s">
        <v>1139</v>
      </c>
      <c r="D81" s="0" t="s">
        <v>1115</v>
      </c>
      <c r="E81" s="0" t="s">
        <v>1140</v>
      </c>
      <c r="F81" s="0">
        <v>1</v>
      </c>
      <c r="G81" s="0" t="s">
        <v>293</v>
      </c>
      <c r="H81" s="0" t="s">
        <v>1141</v>
      </c>
      <c r="I81" s="0" t="s">
        <v>295</v>
      </c>
      <c r="P81" s="0" t="s">
        <v>323</v>
      </c>
      <c r="Q81" s="0" t="s">
        <v>323</v>
      </c>
      <c r="R81" s="0" t="s">
        <v>1142</v>
      </c>
      <c r="T81" s="0" t="s">
        <v>1143</v>
      </c>
      <c r="U81" s="0" t="s">
        <v>1144</v>
      </c>
      <c r="W81" s="0" t="s">
        <v>1115</v>
      </c>
      <c r="X81" s="0" t="s">
        <v>347</v>
      </c>
      <c r="Y81" s="0" t="s">
        <v>44</v>
      </c>
      <c r="Z81" s="0" t="s">
        <v>1117</v>
      </c>
      <c r="AA81" s="0" t="s">
        <v>201</v>
      </c>
      <c r="AB81" s="0" t="s">
        <v>531</v>
      </c>
      <c r="AF81" s="0" t="s">
        <v>301</v>
      </c>
      <c r="AM81" s="0" t="s">
        <v>1145</v>
      </c>
      <c r="AN81" s="0" t="s">
        <v>422</v>
      </c>
      <c r="AO81" s="0" t="s">
        <v>855</v>
      </c>
      <c r="AP81" s="0" t="s">
        <v>305</v>
      </c>
      <c r="AQ81" s="0" t="s">
        <v>1146</v>
      </c>
      <c r="AR81" s="0" t="s">
        <v>1147</v>
      </c>
      <c r="AS81" s="0">
        <v>680</v>
      </c>
      <c r="AT81" s="0">
        <v>1340</v>
      </c>
      <c r="AU81" s="0">
        <v>1430</v>
      </c>
      <c r="AV81" s="0" t="s">
        <v>332</v>
      </c>
      <c r="AW81" s="0" t="s">
        <v>332</v>
      </c>
      <c r="AX81" s="0" t="s">
        <v>1148</v>
      </c>
      <c r="AY81" s="0" t="s">
        <v>780</v>
      </c>
      <c r="AZ81" s="0" t="s">
        <v>1149</v>
      </c>
      <c r="BA81" s="0">
        <v>450</v>
      </c>
      <c r="BB81" s="0" t="s">
        <v>232</v>
      </c>
      <c r="BC81" s="0">
        <v>2</v>
      </c>
      <c r="BD81" s="0">
        <v>38030</v>
      </c>
      <c r="BE81" s="0">
        <v>84661</v>
      </c>
      <c r="BF81" s="0">
        <v>4</v>
      </c>
      <c r="BG81" s="0" t="s">
        <v>1150</v>
      </c>
      <c r="BI81" s="0">
        <v>1389</v>
      </c>
      <c r="BK81" s="0" t="s">
        <v>1151</v>
      </c>
    </row>
    <row r="82">
      <c r="A82" s="0">
        <v>4601</v>
      </c>
      <c r="B82" s="0" t="s">
        <v>1152</v>
      </c>
      <c r="C82" s="0" t="s">
        <v>1139</v>
      </c>
      <c r="D82" s="0" t="s">
        <v>1115</v>
      </c>
      <c r="E82" s="0" t="s">
        <v>1153</v>
      </c>
      <c r="F82" s="0">
        <v>1</v>
      </c>
      <c r="G82" s="0" t="s">
        <v>293</v>
      </c>
      <c r="H82" s="0" t="s">
        <v>1141</v>
      </c>
      <c r="I82" s="0" t="s">
        <v>295</v>
      </c>
      <c r="P82" s="0" t="s">
        <v>323</v>
      </c>
      <c r="Q82" s="0" t="s">
        <v>323</v>
      </c>
      <c r="R82" s="0" t="s">
        <v>1154</v>
      </c>
      <c r="T82" s="0" t="s">
        <v>1155</v>
      </c>
      <c r="U82" s="0" t="s">
        <v>1156</v>
      </c>
      <c r="W82" s="0" t="s">
        <v>1115</v>
      </c>
      <c r="X82" s="0" t="s">
        <v>347</v>
      </c>
      <c r="Y82" s="0" t="s">
        <v>44</v>
      </c>
      <c r="Z82" s="0" t="s">
        <v>1117</v>
      </c>
      <c r="AA82" s="0" t="s">
        <v>201</v>
      </c>
      <c r="AB82" s="0" t="s">
        <v>531</v>
      </c>
      <c r="AF82" s="0" t="s">
        <v>301</v>
      </c>
      <c r="AM82" s="0" t="s">
        <v>1157</v>
      </c>
      <c r="AN82" s="0" t="s">
        <v>1158</v>
      </c>
      <c r="AO82" s="0" t="s">
        <v>1159</v>
      </c>
      <c r="AP82" s="0" t="s">
        <v>305</v>
      </c>
      <c r="AQ82" s="0" t="s">
        <v>1160</v>
      </c>
      <c r="AR82" s="0" t="s">
        <v>1161</v>
      </c>
      <c r="AS82" s="0">
        <v>38</v>
      </c>
      <c r="AT82" s="0">
        <v>81</v>
      </c>
      <c r="AU82" s="0">
        <v>87</v>
      </c>
      <c r="AV82" s="0" t="s">
        <v>977</v>
      </c>
      <c r="AW82" s="0" t="s">
        <v>977</v>
      </c>
      <c r="AX82" s="0" t="s">
        <v>1162</v>
      </c>
      <c r="AY82" s="0" t="s">
        <v>1157</v>
      </c>
      <c r="AZ82" s="0" t="s">
        <v>1163</v>
      </c>
      <c r="BA82" s="0">
        <v>450</v>
      </c>
      <c r="BB82" s="0" t="s">
        <v>232</v>
      </c>
      <c r="BC82" s="0">
        <v>2</v>
      </c>
      <c r="BD82" s="0">
        <v>38030</v>
      </c>
      <c r="BE82" s="0">
        <v>84661</v>
      </c>
      <c r="BF82" s="0">
        <v>4</v>
      </c>
      <c r="BG82" s="0" t="s">
        <v>1164</v>
      </c>
      <c r="BI82" s="0">
        <v>1078</v>
      </c>
      <c r="BK82" s="0" t="s">
        <v>1165</v>
      </c>
    </row>
    <row r="83">
      <c r="A83" s="0">
        <v>4691</v>
      </c>
      <c r="B83" s="0" t="s">
        <v>1166</v>
      </c>
      <c r="C83" s="0" t="s">
        <v>290</v>
      </c>
      <c r="D83" s="0" t="s">
        <v>1167</v>
      </c>
      <c r="E83" s="0" t="s">
        <v>1168</v>
      </c>
      <c r="F83" s="0">
        <v>1</v>
      </c>
      <c r="G83" s="0" t="s">
        <v>293</v>
      </c>
      <c r="H83" s="0" t="s">
        <v>294</v>
      </c>
      <c r="I83" s="0" t="s">
        <v>918</v>
      </c>
      <c r="T83" s="0" t="s">
        <v>1169</v>
      </c>
      <c r="U83" s="0" t="s">
        <v>1170</v>
      </c>
      <c r="W83" s="0" t="s">
        <v>1115</v>
      </c>
      <c r="X83" s="0" t="s">
        <v>347</v>
      </c>
      <c r="Y83" s="0" t="s">
        <v>44</v>
      </c>
      <c r="Z83" s="0" t="s">
        <v>1117</v>
      </c>
      <c r="AA83" s="0" t="s">
        <v>201</v>
      </c>
      <c r="AB83" s="0" t="s">
        <v>531</v>
      </c>
      <c r="AF83" s="0" t="s">
        <v>301</v>
      </c>
      <c r="AP83" s="0" t="s">
        <v>305</v>
      </c>
      <c r="BA83" s="0">
        <v>450</v>
      </c>
      <c r="BB83" s="0" t="s">
        <v>232</v>
      </c>
      <c r="BC83" s="0">
        <v>2</v>
      </c>
      <c r="BD83" s="0">
        <v>374053</v>
      </c>
      <c r="BE83" s="0">
        <v>84661</v>
      </c>
      <c r="BF83" s="0">
        <v>4</v>
      </c>
      <c r="BG83" s="0" t="s">
        <v>1171</v>
      </c>
      <c r="BI83" s="0">
        <v>1907</v>
      </c>
      <c r="BK83" s="0" t="s">
        <v>1172</v>
      </c>
    </row>
    <row r="84">
      <c r="A84" s="0">
        <v>4599</v>
      </c>
      <c r="B84" s="0" t="s">
        <v>1173</v>
      </c>
      <c r="C84" s="0" t="s">
        <v>1139</v>
      </c>
      <c r="D84" s="0" t="s">
        <v>1115</v>
      </c>
      <c r="E84" s="0" t="s">
        <v>1174</v>
      </c>
      <c r="F84" s="0">
        <v>1</v>
      </c>
      <c r="G84" s="0" t="s">
        <v>293</v>
      </c>
      <c r="H84" s="0" t="s">
        <v>1141</v>
      </c>
      <c r="I84" s="0" t="s">
        <v>1175</v>
      </c>
      <c r="P84" s="0" t="s">
        <v>343</v>
      </c>
      <c r="Q84" s="0" t="s">
        <v>343</v>
      </c>
      <c r="T84" s="0" t="s">
        <v>1176</v>
      </c>
      <c r="U84" s="0" t="s">
        <v>1177</v>
      </c>
      <c r="W84" s="0" t="s">
        <v>1115</v>
      </c>
      <c r="X84" s="0" t="s">
        <v>347</v>
      </c>
      <c r="Y84" s="0" t="s">
        <v>44</v>
      </c>
      <c r="Z84" s="0" t="s">
        <v>1117</v>
      </c>
      <c r="AA84" s="0" t="s">
        <v>201</v>
      </c>
      <c r="AB84" s="0" t="s">
        <v>531</v>
      </c>
      <c r="AF84" s="0" t="s">
        <v>301</v>
      </c>
      <c r="AM84" s="0" t="s">
        <v>1178</v>
      </c>
      <c r="AN84" s="0" t="s">
        <v>1179</v>
      </c>
      <c r="AO84" s="0" t="s">
        <v>514</v>
      </c>
      <c r="AP84" s="0" t="s">
        <v>305</v>
      </c>
      <c r="AQ84" s="0" t="s">
        <v>1180</v>
      </c>
      <c r="AR84" s="0" t="s">
        <v>1084</v>
      </c>
      <c r="AS84" s="0">
        <v>435</v>
      </c>
      <c r="AT84" s="0">
        <v>890</v>
      </c>
      <c r="AU84" s="0">
        <v>1008</v>
      </c>
      <c r="AV84" s="0" t="s">
        <v>332</v>
      </c>
      <c r="AW84" s="0" t="s">
        <v>332</v>
      </c>
      <c r="AX84" s="0" t="s">
        <v>1181</v>
      </c>
      <c r="AY84" s="0" t="s">
        <v>426</v>
      </c>
      <c r="AZ84" s="0" t="s">
        <v>1182</v>
      </c>
      <c r="BA84" s="0">
        <v>450</v>
      </c>
      <c r="BB84" s="0" t="s">
        <v>232</v>
      </c>
      <c r="BC84" s="0">
        <v>2</v>
      </c>
      <c r="BD84" s="0">
        <v>38030</v>
      </c>
      <c r="BE84" s="0">
        <v>84661</v>
      </c>
      <c r="BF84" s="0">
        <v>4</v>
      </c>
      <c r="BG84" s="0" t="s">
        <v>1183</v>
      </c>
      <c r="BI84" s="0">
        <v>337</v>
      </c>
      <c r="BK84" s="0" t="s">
        <v>1184</v>
      </c>
    </row>
    <row r="85">
      <c r="A85" s="0">
        <v>4828</v>
      </c>
      <c r="B85" s="0" t="s">
        <v>1185</v>
      </c>
      <c r="C85" s="0" t="s">
        <v>290</v>
      </c>
      <c r="D85" s="0" t="s">
        <v>1186</v>
      </c>
      <c r="E85" s="0" t="s">
        <v>1187</v>
      </c>
      <c r="F85" s="0">
        <v>1</v>
      </c>
      <c r="G85" s="0" t="s">
        <v>555</v>
      </c>
      <c r="H85" s="0" t="s">
        <v>1188</v>
      </c>
      <c r="I85" s="0" t="s">
        <v>1189</v>
      </c>
      <c r="J85" s="0" t="s">
        <v>508</v>
      </c>
      <c r="K85" s="0" t="s">
        <v>1190</v>
      </c>
      <c r="L85" s="0" t="s">
        <v>1189</v>
      </c>
      <c r="M85" s="0" t="s">
        <v>293</v>
      </c>
      <c r="N85" s="0" t="s">
        <v>294</v>
      </c>
      <c r="O85" s="0" t="s">
        <v>295</v>
      </c>
      <c r="P85" s="0" t="s">
        <v>1191</v>
      </c>
      <c r="Q85" s="0" t="s">
        <v>1191</v>
      </c>
      <c r="R85" s="0" t="s">
        <v>1189</v>
      </c>
      <c r="T85" s="0" t="s">
        <v>1192</v>
      </c>
      <c r="U85" s="0" t="s">
        <v>1193</v>
      </c>
      <c r="W85" s="0" t="s">
        <v>1194</v>
      </c>
      <c r="X85" s="0" t="s">
        <v>529</v>
      </c>
      <c r="Y85" s="0" t="s">
        <v>75</v>
      </c>
      <c r="Z85" s="0" t="s">
        <v>1195</v>
      </c>
      <c r="AA85" s="0" t="s">
        <v>198</v>
      </c>
      <c r="AB85" s="0" t="s">
        <v>531</v>
      </c>
      <c r="AC85" s="0" t="s">
        <v>532</v>
      </c>
      <c r="AE85" s="0" t="s">
        <v>1196</v>
      </c>
      <c r="AF85" s="0" t="s">
        <v>301</v>
      </c>
      <c r="AP85" s="0" t="s">
        <v>305</v>
      </c>
      <c r="BA85" s="0">
        <v>451</v>
      </c>
      <c r="BB85" s="0" t="s">
        <v>232</v>
      </c>
      <c r="BC85" s="0">
        <v>2</v>
      </c>
      <c r="BD85" s="0">
        <v>374053</v>
      </c>
      <c r="BE85" s="0">
        <v>90875</v>
      </c>
      <c r="BF85" s="0">
        <v>2</v>
      </c>
      <c r="BG85" s="0" t="s">
        <v>1197</v>
      </c>
      <c r="BI85" s="0">
        <v>4943</v>
      </c>
      <c r="BK85" s="0" t="s">
        <v>1198</v>
      </c>
    </row>
    <row r="86">
      <c r="A86" s="0">
        <v>4611</v>
      </c>
      <c r="B86" s="0" t="s">
        <v>1199</v>
      </c>
      <c r="C86" s="0" t="s">
        <v>1139</v>
      </c>
      <c r="D86" s="0" t="s">
        <v>1200</v>
      </c>
      <c r="E86" s="0" t="s">
        <v>1201</v>
      </c>
      <c r="F86" s="0">
        <v>1</v>
      </c>
      <c r="G86" s="0" t="s">
        <v>293</v>
      </c>
      <c r="H86" s="0" t="s">
        <v>1202</v>
      </c>
      <c r="I86" s="0" t="s">
        <v>295</v>
      </c>
      <c r="P86" s="0" t="s">
        <v>1191</v>
      </c>
      <c r="Q86" s="0" t="s">
        <v>1203</v>
      </c>
      <c r="R86" s="0" t="s">
        <v>1204</v>
      </c>
      <c r="T86" s="0" t="s">
        <v>1205</v>
      </c>
      <c r="U86" s="0" t="s">
        <v>1206</v>
      </c>
      <c r="W86" s="0" t="s">
        <v>1194</v>
      </c>
      <c r="X86" s="0" t="s">
        <v>347</v>
      </c>
      <c r="Y86" s="0" t="s">
        <v>75</v>
      </c>
      <c r="Z86" s="0" t="s">
        <v>1195</v>
      </c>
      <c r="AA86" s="0" t="s">
        <v>198</v>
      </c>
      <c r="AB86" s="0" t="s">
        <v>531</v>
      </c>
      <c r="AC86" s="0" t="s">
        <v>532</v>
      </c>
      <c r="AE86" s="0" t="s">
        <v>1196</v>
      </c>
      <c r="AF86" s="0" t="s">
        <v>301</v>
      </c>
      <c r="AM86" s="0" t="s">
        <v>1067</v>
      </c>
      <c r="AN86" s="0" t="s">
        <v>762</v>
      </c>
      <c r="AO86" s="0" t="s">
        <v>1207</v>
      </c>
      <c r="AP86" s="0" t="s">
        <v>305</v>
      </c>
      <c r="AQ86" s="0" t="s">
        <v>1208</v>
      </c>
      <c r="AR86" s="0" t="s">
        <v>1059</v>
      </c>
      <c r="AS86" s="0">
        <v>385</v>
      </c>
      <c r="AT86" s="0">
        <v>805</v>
      </c>
      <c r="AU86" s="0">
        <v>938</v>
      </c>
      <c r="AV86" s="0" t="s">
        <v>332</v>
      </c>
      <c r="AW86" s="0" t="s">
        <v>332</v>
      </c>
      <c r="AX86" s="0" t="s">
        <v>1209</v>
      </c>
      <c r="AY86" s="0" t="s">
        <v>609</v>
      </c>
      <c r="AZ86" s="0" t="s">
        <v>307</v>
      </c>
      <c r="BA86" s="0">
        <v>451</v>
      </c>
      <c r="BB86" s="0" t="s">
        <v>232</v>
      </c>
      <c r="BC86" s="0">
        <v>2</v>
      </c>
      <c r="BD86" s="0">
        <v>38030</v>
      </c>
      <c r="BE86" s="0">
        <v>90875</v>
      </c>
      <c r="BF86" s="0">
        <v>4</v>
      </c>
      <c r="BG86" s="0" t="s">
        <v>1210</v>
      </c>
      <c r="BH86" s="0">
        <v>46.5</v>
      </c>
      <c r="BI86" s="0">
        <v>2362</v>
      </c>
      <c r="BK86" s="0" t="s">
        <v>1211</v>
      </c>
    </row>
    <row r="87">
      <c r="A87" s="0">
        <v>4612</v>
      </c>
      <c r="B87" s="0" t="s">
        <v>1212</v>
      </c>
      <c r="C87" s="0" t="s">
        <v>290</v>
      </c>
      <c r="D87" s="0" t="s">
        <v>1200</v>
      </c>
      <c r="E87" s="0" t="s">
        <v>292</v>
      </c>
      <c r="F87" s="0">
        <v>1</v>
      </c>
      <c r="G87" s="0" t="s">
        <v>293</v>
      </c>
      <c r="H87" s="0" t="s">
        <v>1202</v>
      </c>
      <c r="I87" s="0" t="s">
        <v>295</v>
      </c>
      <c r="P87" s="0" t="s">
        <v>1213</v>
      </c>
      <c r="Q87" s="0" t="s">
        <v>1203</v>
      </c>
      <c r="R87" s="0" t="s">
        <v>1214</v>
      </c>
      <c r="T87" s="0" t="s">
        <v>1215</v>
      </c>
      <c r="U87" s="0" t="s">
        <v>1216</v>
      </c>
      <c r="W87" s="0" t="s">
        <v>1194</v>
      </c>
      <c r="X87" s="0" t="s">
        <v>347</v>
      </c>
      <c r="Y87" s="0" t="s">
        <v>75</v>
      </c>
      <c r="Z87" s="0" t="s">
        <v>1195</v>
      </c>
      <c r="AA87" s="0" t="s">
        <v>198</v>
      </c>
      <c r="AB87" s="0" t="s">
        <v>531</v>
      </c>
      <c r="AC87" s="0" t="s">
        <v>532</v>
      </c>
      <c r="AE87" s="0" t="s">
        <v>1196</v>
      </c>
      <c r="AF87" s="0" t="s">
        <v>301</v>
      </c>
      <c r="AP87" s="0" t="s">
        <v>305</v>
      </c>
      <c r="BA87" s="0">
        <v>451</v>
      </c>
      <c r="BB87" s="0" t="s">
        <v>232</v>
      </c>
      <c r="BC87" s="0">
        <v>2</v>
      </c>
      <c r="BD87" s="0">
        <v>374053</v>
      </c>
      <c r="BE87" s="0">
        <v>90875</v>
      </c>
      <c r="BF87" s="0">
        <v>4</v>
      </c>
      <c r="BG87" s="0" t="s">
        <v>1217</v>
      </c>
      <c r="BI87" s="0">
        <v>2558</v>
      </c>
      <c r="BK87" s="0" t="s">
        <v>1218</v>
      </c>
    </row>
    <row r="88">
      <c r="A88" s="0">
        <v>4619</v>
      </c>
      <c r="B88" s="0" t="s">
        <v>1219</v>
      </c>
      <c r="C88" s="0" t="s">
        <v>579</v>
      </c>
      <c r="D88" s="0" t="s">
        <v>1194</v>
      </c>
      <c r="E88" s="0" t="s">
        <v>1220</v>
      </c>
      <c r="F88" s="0">
        <v>1</v>
      </c>
      <c r="G88" s="0" t="s">
        <v>581</v>
      </c>
      <c r="H88" s="0" t="s">
        <v>581</v>
      </c>
      <c r="I88" s="0" t="s">
        <v>583</v>
      </c>
      <c r="J88" s="0" t="s">
        <v>293</v>
      </c>
      <c r="K88" s="0" t="s">
        <v>294</v>
      </c>
      <c r="L88" s="0" t="s">
        <v>295</v>
      </c>
      <c r="P88" s="0" t="s">
        <v>1203</v>
      </c>
      <c r="Q88" s="0" t="s">
        <v>1203</v>
      </c>
      <c r="T88" s="0" t="s">
        <v>1221</v>
      </c>
      <c r="U88" s="0" t="s">
        <v>1222</v>
      </c>
      <c r="W88" s="0" t="s">
        <v>1194</v>
      </c>
      <c r="X88" s="0" t="s">
        <v>298</v>
      </c>
      <c r="Y88" s="0" t="s">
        <v>75</v>
      </c>
      <c r="Z88" s="0" t="s">
        <v>1195</v>
      </c>
      <c r="AA88" s="0" t="s">
        <v>198</v>
      </c>
      <c r="AB88" s="0" t="s">
        <v>531</v>
      </c>
      <c r="AC88" s="0" t="s">
        <v>532</v>
      </c>
      <c r="AE88" s="0" t="s">
        <v>1196</v>
      </c>
      <c r="AF88" s="0" t="s">
        <v>301</v>
      </c>
      <c r="AM88" s="0" t="s">
        <v>1223</v>
      </c>
      <c r="AN88" s="0" t="s">
        <v>599</v>
      </c>
      <c r="AO88" s="0" t="s">
        <v>304</v>
      </c>
      <c r="AP88" s="0" t="s">
        <v>305</v>
      </c>
      <c r="AQ88" s="0" t="s">
        <v>1066</v>
      </c>
      <c r="AR88" s="0" t="s">
        <v>491</v>
      </c>
      <c r="AS88" s="0">
        <v>36</v>
      </c>
      <c r="AT88" s="0">
        <v>73</v>
      </c>
      <c r="AU88" s="0">
        <v>85</v>
      </c>
      <c r="AV88" s="0" t="s">
        <v>332</v>
      </c>
      <c r="AW88" s="0" t="s">
        <v>308</v>
      </c>
      <c r="AX88" s="0" t="s">
        <v>1224</v>
      </c>
      <c r="AY88" s="0" t="s">
        <v>1225</v>
      </c>
      <c r="AZ88" s="0" t="s">
        <v>1226</v>
      </c>
      <c r="BA88" s="0">
        <v>451</v>
      </c>
      <c r="BB88" s="0" t="s">
        <v>232</v>
      </c>
      <c r="BC88" s="0">
        <v>2</v>
      </c>
      <c r="BD88" s="0">
        <v>374046</v>
      </c>
      <c r="BE88" s="0">
        <v>90875</v>
      </c>
      <c r="BF88" s="0">
        <v>5</v>
      </c>
      <c r="BG88" s="0" t="s">
        <v>1227</v>
      </c>
      <c r="BI88" s="0">
        <v>3605</v>
      </c>
      <c r="BK88" s="0" t="s">
        <v>1228</v>
      </c>
    </row>
    <row r="89">
      <c r="A89" s="0">
        <v>4620</v>
      </c>
      <c r="B89" s="0" t="s">
        <v>1229</v>
      </c>
      <c r="C89" s="0" t="s">
        <v>656</v>
      </c>
      <c r="D89" s="0" t="s">
        <v>1230</v>
      </c>
      <c r="E89" s="0" t="s">
        <v>1231</v>
      </c>
      <c r="F89" s="0">
        <v>1</v>
      </c>
      <c r="G89" s="0" t="s">
        <v>293</v>
      </c>
      <c r="H89" s="0" t="s">
        <v>294</v>
      </c>
      <c r="I89" s="0" t="s">
        <v>295</v>
      </c>
      <c r="P89" s="0" t="s">
        <v>1191</v>
      </c>
      <c r="Q89" s="0" t="s">
        <v>1191</v>
      </c>
      <c r="R89" s="0" t="s">
        <v>1232</v>
      </c>
      <c r="T89" s="0" t="s">
        <v>1233</v>
      </c>
      <c r="U89" s="0" t="s">
        <v>1234</v>
      </c>
      <c r="W89" s="0" t="s">
        <v>1194</v>
      </c>
      <c r="X89" s="0" t="s">
        <v>347</v>
      </c>
      <c r="Y89" s="0" t="s">
        <v>75</v>
      </c>
      <c r="Z89" s="0" t="s">
        <v>1195</v>
      </c>
      <c r="AA89" s="0" t="s">
        <v>198</v>
      </c>
      <c r="AB89" s="0" t="s">
        <v>531</v>
      </c>
      <c r="AC89" s="0" t="s">
        <v>532</v>
      </c>
      <c r="AE89" s="0" t="s">
        <v>1196</v>
      </c>
      <c r="AF89" s="0" t="s">
        <v>301</v>
      </c>
      <c r="AM89" s="0" t="s">
        <v>1235</v>
      </c>
      <c r="AN89" s="0" t="s">
        <v>1236</v>
      </c>
      <c r="AO89" s="0" t="s">
        <v>1237</v>
      </c>
      <c r="AP89" s="0" t="s">
        <v>305</v>
      </c>
      <c r="AQ89" s="0" t="s">
        <v>747</v>
      </c>
      <c r="AU89" s="0">
        <v>40</v>
      </c>
      <c r="AV89" s="0" t="s">
        <v>895</v>
      </c>
      <c r="AW89" s="0" t="s">
        <v>1238</v>
      </c>
      <c r="AX89" s="0" t="s">
        <v>1239</v>
      </c>
      <c r="AY89" s="0" t="s">
        <v>1240</v>
      </c>
      <c r="AZ89" s="0" t="s">
        <v>1241</v>
      </c>
      <c r="BA89" s="0">
        <v>451</v>
      </c>
      <c r="BB89" s="0" t="s">
        <v>232</v>
      </c>
      <c r="BC89" s="0">
        <v>2</v>
      </c>
      <c r="BD89" s="0">
        <v>10</v>
      </c>
      <c r="BE89" s="0">
        <v>90875</v>
      </c>
      <c r="BF89" s="0">
        <v>4</v>
      </c>
      <c r="BG89" s="0" t="s">
        <v>1242</v>
      </c>
      <c r="BI89" s="0">
        <v>3719</v>
      </c>
      <c r="BK89" s="0" t="s">
        <v>1243</v>
      </c>
    </row>
    <row r="90">
      <c r="A90" s="0">
        <v>4648</v>
      </c>
      <c r="B90" s="0" t="s">
        <v>1244</v>
      </c>
      <c r="C90" s="0" t="s">
        <v>579</v>
      </c>
      <c r="D90" s="0" t="s">
        <v>1194</v>
      </c>
      <c r="E90" s="0" t="s">
        <v>1245</v>
      </c>
      <c r="F90" s="0">
        <v>1</v>
      </c>
      <c r="G90" s="0" t="s">
        <v>581</v>
      </c>
      <c r="H90" s="0" t="s">
        <v>581</v>
      </c>
      <c r="I90" s="0" t="s">
        <v>583</v>
      </c>
      <c r="J90" s="0" t="s">
        <v>293</v>
      </c>
      <c r="K90" s="0" t="s">
        <v>294</v>
      </c>
      <c r="L90" s="0" t="s">
        <v>295</v>
      </c>
      <c r="P90" s="0" t="s">
        <v>1203</v>
      </c>
      <c r="Q90" s="0" t="s">
        <v>1203</v>
      </c>
      <c r="R90" s="0" t="s">
        <v>1203</v>
      </c>
      <c r="T90" s="0" t="s">
        <v>1246</v>
      </c>
      <c r="U90" s="0" t="s">
        <v>1247</v>
      </c>
      <c r="W90" s="0" t="s">
        <v>1194</v>
      </c>
      <c r="X90" s="0" t="s">
        <v>298</v>
      </c>
      <c r="Y90" s="0" t="s">
        <v>75</v>
      </c>
      <c r="Z90" s="0" t="s">
        <v>1195</v>
      </c>
      <c r="AA90" s="0" t="s">
        <v>198</v>
      </c>
      <c r="AB90" s="0" t="s">
        <v>531</v>
      </c>
      <c r="AC90" s="0" t="s">
        <v>532</v>
      </c>
      <c r="AE90" s="0" t="s">
        <v>1196</v>
      </c>
      <c r="AF90" s="0" t="s">
        <v>301</v>
      </c>
      <c r="AM90" s="0" t="s">
        <v>387</v>
      </c>
      <c r="AN90" s="0" t="s">
        <v>387</v>
      </c>
      <c r="AO90" s="0" t="s">
        <v>763</v>
      </c>
      <c r="AP90" s="0" t="s">
        <v>305</v>
      </c>
      <c r="AQ90" s="0" t="s">
        <v>883</v>
      </c>
      <c r="AR90" s="0" t="s">
        <v>307</v>
      </c>
      <c r="AS90" s="0">
        <v>96</v>
      </c>
      <c r="AT90" s="0">
        <v>200</v>
      </c>
      <c r="AU90" s="0">
        <v>224</v>
      </c>
      <c r="AV90" s="0" t="s">
        <v>332</v>
      </c>
      <c r="AW90" s="0" t="s">
        <v>332</v>
      </c>
      <c r="AX90" s="0" t="s">
        <v>353</v>
      </c>
      <c r="AY90" s="0" t="s">
        <v>353</v>
      </c>
      <c r="AZ90" s="0" t="s">
        <v>818</v>
      </c>
      <c r="BA90" s="0">
        <v>451</v>
      </c>
      <c r="BB90" s="0" t="s">
        <v>232</v>
      </c>
      <c r="BC90" s="0">
        <v>2</v>
      </c>
      <c r="BD90" s="0">
        <v>374046</v>
      </c>
      <c r="BE90" s="0">
        <v>90875</v>
      </c>
      <c r="BF90" s="0">
        <v>5</v>
      </c>
      <c r="BG90" s="0" t="s">
        <v>1248</v>
      </c>
      <c r="BI90" s="0">
        <v>4786</v>
      </c>
      <c r="BK90" s="0" t="s">
        <v>1249</v>
      </c>
    </row>
    <row r="91">
      <c r="A91" s="0">
        <v>4622</v>
      </c>
      <c r="B91" s="0" t="s">
        <v>1250</v>
      </c>
      <c r="C91" s="0" t="s">
        <v>1139</v>
      </c>
      <c r="D91" s="0" t="s">
        <v>1194</v>
      </c>
      <c r="E91" s="0" t="s">
        <v>1251</v>
      </c>
      <c r="F91" s="0">
        <v>1</v>
      </c>
      <c r="G91" s="0" t="s">
        <v>293</v>
      </c>
      <c r="H91" s="0" t="s">
        <v>294</v>
      </c>
      <c r="I91" s="0" t="s">
        <v>1252</v>
      </c>
      <c r="P91" s="0" t="s">
        <v>323</v>
      </c>
      <c r="Q91" s="0" t="s">
        <v>323</v>
      </c>
      <c r="R91" s="0" t="s">
        <v>1253</v>
      </c>
      <c r="T91" s="0" t="s">
        <v>1254</v>
      </c>
      <c r="U91" s="0" t="s">
        <v>1255</v>
      </c>
      <c r="W91" s="0" t="s">
        <v>1194</v>
      </c>
      <c r="X91" s="0" t="s">
        <v>347</v>
      </c>
      <c r="Y91" s="0" t="s">
        <v>75</v>
      </c>
      <c r="Z91" s="0" t="s">
        <v>1195</v>
      </c>
      <c r="AA91" s="0" t="s">
        <v>198</v>
      </c>
      <c r="AB91" s="0" t="s">
        <v>531</v>
      </c>
      <c r="AC91" s="0" t="s">
        <v>532</v>
      </c>
      <c r="AE91" s="0" t="s">
        <v>1196</v>
      </c>
      <c r="AF91" s="0" t="s">
        <v>301</v>
      </c>
      <c r="AM91" s="0" t="s">
        <v>1256</v>
      </c>
      <c r="AN91" s="0" t="s">
        <v>1257</v>
      </c>
      <c r="AO91" s="0" t="s">
        <v>1258</v>
      </c>
      <c r="AP91" s="0" t="s">
        <v>305</v>
      </c>
      <c r="AQ91" s="0" t="s">
        <v>1259</v>
      </c>
      <c r="AR91" s="0" t="s">
        <v>1260</v>
      </c>
      <c r="AS91" s="0">
        <v>28</v>
      </c>
      <c r="AT91" s="0">
        <v>59</v>
      </c>
      <c r="AU91" s="0">
        <v>71</v>
      </c>
      <c r="AV91" s="0" t="s">
        <v>332</v>
      </c>
      <c r="AW91" s="0" t="s">
        <v>331</v>
      </c>
      <c r="AX91" s="0" t="s">
        <v>1261</v>
      </c>
      <c r="AY91" s="0" t="s">
        <v>1262</v>
      </c>
      <c r="AZ91" s="0" t="s">
        <v>1263</v>
      </c>
      <c r="BA91" s="0">
        <v>451</v>
      </c>
      <c r="BB91" s="0" t="s">
        <v>232</v>
      </c>
      <c r="BC91" s="0">
        <v>2</v>
      </c>
      <c r="BD91" s="0">
        <v>38030</v>
      </c>
      <c r="BE91" s="0">
        <v>90875</v>
      </c>
      <c r="BF91" s="0">
        <v>4</v>
      </c>
      <c r="BG91" s="0" t="s">
        <v>1264</v>
      </c>
      <c r="BI91" s="0">
        <v>3902</v>
      </c>
      <c r="BK91" s="0" t="s">
        <v>1265</v>
      </c>
    </row>
    <row r="92">
      <c r="A92" s="0">
        <v>4609</v>
      </c>
      <c r="B92" s="0" t="s">
        <v>1266</v>
      </c>
      <c r="C92" s="0" t="s">
        <v>656</v>
      </c>
      <c r="D92" s="0" t="s">
        <v>1200</v>
      </c>
      <c r="E92" s="0" t="s">
        <v>1267</v>
      </c>
      <c r="F92" s="0">
        <v>1</v>
      </c>
      <c r="G92" s="0" t="s">
        <v>319</v>
      </c>
      <c r="H92" s="0" t="s">
        <v>483</v>
      </c>
      <c r="I92" s="0" t="s">
        <v>1268</v>
      </c>
      <c r="J92" s="0" t="s">
        <v>293</v>
      </c>
      <c r="K92" s="0" t="s">
        <v>1202</v>
      </c>
      <c r="L92" s="0" t="s">
        <v>295</v>
      </c>
      <c r="P92" s="0" t="s">
        <v>1203</v>
      </c>
      <c r="Q92" s="0" t="s">
        <v>1203</v>
      </c>
      <c r="T92" s="0" t="s">
        <v>1269</v>
      </c>
      <c r="U92" s="0" t="s">
        <v>1270</v>
      </c>
      <c r="W92" s="0" t="s">
        <v>1194</v>
      </c>
      <c r="X92" s="0" t="s">
        <v>347</v>
      </c>
      <c r="Y92" s="0" t="s">
        <v>75</v>
      </c>
      <c r="Z92" s="0" t="s">
        <v>1195</v>
      </c>
      <c r="AA92" s="0" t="s">
        <v>198</v>
      </c>
      <c r="AB92" s="0" t="s">
        <v>531</v>
      </c>
      <c r="AC92" s="0" t="s">
        <v>532</v>
      </c>
      <c r="AE92" s="0" t="s">
        <v>1196</v>
      </c>
      <c r="AF92" s="0" t="s">
        <v>301</v>
      </c>
      <c r="AM92" s="0" t="s">
        <v>387</v>
      </c>
      <c r="AN92" s="0" t="s">
        <v>366</v>
      </c>
      <c r="AO92" s="0" t="s">
        <v>683</v>
      </c>
      <c r="AP92" s="0" t="s">
        <v>305</v>
      </c>
      <c r="AQ92" s="0" t="s">
        <v>1012</v>
      </c>
      <c r="AR92" s="0" t="s">
        <v>1271</v>
      </c>
      <c r="AV92" s="0" t="s">
        <v>332</v>
      </c>
      <c r="AX92" s="0" t="s">
        <v>445</v>
      </c>
      <c r="AY92" s="0" t="s">
        <v>491</v>
      </c>
      <c r="AZ92" s="0" t="s">
        <v>1106</v>
      </c>
      <c r="BA92" s="0">
        <v>451</v>
      </c>
      <c r="BB92" s="0" t="s">
        <v>232</v>
      </c>
      <c r="BC92" s="0">
        <v>2</v>
      </c>
      <c r="BD92" s="0">
        <v>10</v>
      </c>
      <c r="BE92" s="0">
        <v>90875</v>
      </c>
      <c r="BF92" s="0">
        <v>4</v>
      </c>
      <c r="BG92" s="0" t="s">
        <v>1272</v>
      </c>
      <c r="BI92" s="0">
        <v>1912</v>
      </c>
      <c r="BK92" s="0" t="s">
        <v>1273</v>
      </c>
    </row>
    <row r="93">
      <c r="A93" s="0">
        <v>4608</v>
      </c>
      <c r="B93" s="0" t="s">
        <v>1274</v>
      </c>
      <c r="C93" s="0" t="s">
        <v>315</v>
      </c>
      <c r="D93" s="0" t="s">
        <v>1200</v>
      </c>
      <c r="E93" s="0" t="s">
        <v>1275</v>
      </c>
      <c r="F93" s="0">
        <v>2</v>
      </c>
      <c r="G93" s="0" t="s">
        <v>319</v>
      </c>
      <c r="H93" s="0" t="s">
        <v>483</v>
      </c>
      <c r="I93" s="0" t="s">
        <v>1268</v>
      </c>
      <c r="J93" s="0" t="s">
        <v>293</v>
      </c>
      <c r="K93" s="0" t="s">
        <v>294</v>
      </c>
      <c r="L93" s="0" t="s">
        <v>1276</v>
      </c>
      <c r="P93" s="0" t="s">
        <v>1203</v>
      </c>
      <c r="Q93" s="0" t="s">
        <v>1203</v>
      </c>
      <c r="T93" s="0" t="s">
        <v>1277</v>
      </c>
      <c r="U93" s="0" t="s">
        <v>1278</v>
      </c>
      <c r="W93" s="0" t="s">
        <v>1194</v>
      </c>
      <c r="X93" s="0" t="s">
        <v>347</v>
      </c>
      <c r="Y93" s="0" t="s">
        <v>75</v>
      </c>
      <c r="Z93" s="0" t="s">
        <v>1195</v>
      </c>
      <c r="AA93" s="0" t="s">
        <v>198</v>
      </c>
      <c r="AB93" s="0" t="s">
        <v>531</v>
      </c>
      <c r="AC93" s="0" t="s">
        <v>532</v>
      </c>
      <c r="AE93" s="0" t="s">
        <v>1196</v>
      </c>
      <c r="AF93" s="0" t="s">
        <v>301</v>
      </c>
      <c r="AP93" s="0" t="s">
        <v>305</v>
      </c>
      <c r="BA93" s="0">
        <v>451</v>
      </c>
      <c r="BB93" s="0" t="s">
        <v>232</v>
      </c>
      <c r="BC93" s="0">
        <v>2</v>
      </c>
      <c r="BD93" s="0">
        <v>374043</v>
      </c>
      <c r="BE93" s="0">
        <v>90875</v>
      </c>
      <c r="BF93" s="0">
        <v>4</v>
      </c>
      <c r="BG93" s="0" t="s">
        <v>1279</v>
      </c>
      <c r="BI93" s="0">
        <v>1667</v>
      </c>
      <c r="BK93" s="0" t="s">
        <v>1280</v>
      </c>
    </row>
    <row r="94">
      <c r="A94" s="0">
        <v>4623</v>
      </c>
      <c r="B94" s="0" t="s">
        <v>1281</v>
      </c>
      <c r="C94" s="0" t="s">
        <v>656</v>
      </c>
      <c r="D94" s="0" t="s">
        <v>1200</v>
      </c>
      <c r="E94" s="0" t="s">
        <v>1282</v>
      </c>
      <c r="F94" s="0">
        <v>1</v>
      </c>
      <c r="G94" s="0" t="s">
        <v>319</v>
      </c>
      <c r="H94" s="0" t="s">
        <v>1283</v>
      </c>
      <c r="I94" s="0" t="s">
        <v>1284</v>
      </c>
      <c r="J94" s="0" t="s">
        <v>293</v>
      </c>
      <c r="K94" s="0" t="s">
        <v>294</v>
      </c>
      <c r="L94" s="0" t="s">
        <v>295</v>
      </c>
      <c r="P94" s="0" t="s">
        <v>1203</v>
      </c>
      <c r="Q94" s="0" t="s">
        <v>1203</v>
      </c>
      <c r="T94" s="0" t="s">
        <v>1285</v>
      </c>
      <c r="U94" s="0" t="s">
        <v>1286</v>
      </c>
      <c r="W94" s="0" t="s">
        <v>1194</v>
      </c>
      <c r="X94" s="0" t="s">
        <v>347</v>
      </c>
      <c r="Y94" s="0" t="s">
        <v>75</v>
      </c>
      <c r="Z94" s="0" t="s">
        <v>1195</v>
      </c>
      <c r="AA94" s="0" t="s">
        <v>198</v>
      </c>
      <c r="AB94" s="0" t="s">
        <v>531</v>
      </c>
      <c r="AC94" s="0" t="s">
        <v>532</v>
      </c>
      <c r="AE94" s="0" t="s">
        <v>1196</v>
      </c>
      <c r="AF94" s="0" t="s">
        <v>301</v>
      </c>
      <c r="AM94" s="0" t="s">
        <v>387</v>
      </c>
      <c r="AN94" s="0" t="s">
        <v>366</v>
      </c>
      <c r="AO94" s="0" t="s">
        <v>683</v>
      </c>
      <c r="AP94" s="0" t="s">
        <v>305</v>
      </c>
      <c r="AQ94" s="0" t="s">
        <v>1084</v>
      </c>
      <c r="AR94" s="0" t="s">
        <v>1287</v>
      </c>
      <c r="AV94" s="0" t="s">
        <v>332</v>
      </c>
      <c r="AX94" s="0" t="s">
        <v>445</v>
      </c>
      <c r="AY94" s="0" t="s">
        <v>491</v>
      </c>
      <c r="AZ94" s="0" t="s">
        <v>1106</v>
      </c>
      <c r="BA94" s="0">
        <v>451</v>
      </c>
      <c r="BB94" s="0" t="s">
        <v>232</v>
      </c>
      <c r="BC94" s="0">
        <v>2</v>
      </c>
      <c r="BD94" s="0">
        <v>10</v>
      </c>
      <c r="BE94" s="0">
        <v>90875</v>
      </c>
      <c r="BF94" s="0">
        <v>4</v>
      </c>
      <c r="BG94" s="0" t="s">
        <v>1288</v>
      </c>
      <c r="BI94" s="0">
        <v>3992</v>
      </c>
      <c r="BK94" s="0" t="s">
        <v>1289</v>
      </c>
    </row>
    <row r="95">
      <c r="A95" s="0">
        <v>4631</v>
      </c>
      <c r="B95" s="0" t="s">
        <v>1290</v>
      </c>
      <c r="C95" s="0" t="s">
        <v>656</v>
      </c>
      <c r="D95" s="0" t="s">
        <v>1200</v>
      </c>
      <c r="E95" s="0" t="s">
        <v>1291</v>
      </c>
      <c r="F95" s="0">
        <v>1</v>
      </c>
      <c r="G95" s="0" t="s">
        <v>319</v>
      </c>
      <c r="H95" s="0" t="s">
        <v>1292</v>
      </c>
      <c r="I95" s="0" t="s">
        <v>1293</v>
      </c>
      <c r="J95" s="0" t="s">
        <v>293</v>
      </c>
      <c r="K95" s="0" t="s">
        <v>294</v>
      </c>
      <c r="L95" s="0" t="s">
        <v>918</v>
      </c>
      <c r="P95" s="0" t="s">
        <v>1203</v>
      </c>
      <c r="Q95" s="0" t="s">
        <v>1294</v>
      </c>
      <c r="R95" s="0" t="s">
        <v>1295</v>
      </c>
      <c r="T95" s="0" t="s">
        <v>1296</v>
      </c>
      <c r="U95" s="0" t="s">
        <v>1297</v>
      </c>
      <c r="W95" s="0" t="s">
        <v>1194</v>
      </c>
      <c r="X95" s="0" t="s">
        <v>347</v>
      </c>
      <c r="Y95" s="0" t="s">
        <v>75</v>
      </c>
      <c r="Z95" s="0" t="s">
        <v>1195</v>
      </c>
      <c r="AA95" s="0" t="s">
        <v>198</v>
      </c>
      <c r="AB95" s="0" t="s">
        <v>531</v>
      </c>
      <c r="AC95" s="0" t="s">
        <v>532</v>
      </c>
      <c r="AE95" s="0" t="s">
        <v>1196</v>
      </c>
      <c r="AF95" s="0" t="s">
        <v>301</v>
      </c>
      <c r="AM95" s="0" t="s">
        <v>1298</v>
      </c>
      <c r="AN95" s="0" t="s">
        <v>512</v>
      </c>
      <c r="AO95" s="0" t="s">
        <v>1299</v>
      </c>
      <c r="AP95" s="0" t="s">
        <v>305</v>
      </c>
      <c r="AQ95" s="0" t="s">
        <v>390</v>
      </c>
      <c r="AR95" s="0" t="s">
        <v>1300</v>
      </c>
      <c r="AV95" s="0" t="s">
        <v>332</v>
      </c>
      <c r="AX95" s="0" t="s">
        <v>1301</v>
      </c>
      <c r="AY95" s="0" t="s">
        <v>627</v>
      </c>
      <c r="AZ95" s="0" t="s">
        <v>1302</v>
      </c>
      <c r="BA95" s="0">
        <v>451</v>
      </c>
      <c r="BB95" s="0" t="s">
        <v>232</v>
      </c>
      <c r="BC95" s="0">
        <v>2</v>
      </c>
      <c r="BD95" s="0">
        <v>10</v>
      </c>
      <c r="BE95" s="0">
        <v>90875</v>
      </c>
      <c r="BF95" s="0">
        <v>4</v>
      </c>
      <c r="BG95" s="0" t="s">
        <v>1303</v>
      </c>
      <c r="BI95" s="0">
        <v>4504</v>
      </c>
      <c r="BK95" s="0" t="s">
        <v>1304</v>
      </c>
    </row>
    <row r="96">
      <c r="A96" s="0">
        <v>4823</v>
      </c>
      <c r="B96" s="0" t="s">
        <v>1305</v>
      </c>
      <c r="C96" s="0" t="s">
        <v>315</v>
      </c>
      <c r="D96" s="0" t="s">
        <v>1306</v>
      </c>
      <c r="E96" s="0" t="s">
        <v>1307</v>
      </c>
      <c r="F96" s="0">
        <v>1</v>
      </c>
      <c r="G96" s="0" t="s">
        <v>319</v>
      </c>
      <c r="H96" s="0" t="s">
        <v>1308</v>
      </c>
      <c r="I96" s="0" t="s">
        <v>1309</v>
      </c>
      <c r="J96" s="0" t="s">
        <v>293</v>
      </c>
      <c r="K96" s="0" t="s">
        <v>1202</v>
      </c>
      <c r="L96" s="0" t="s">
        <v>295</v>
      </c>
      <c r="P96" s="0" t="s">
        <v>1191</v>
      </c>
      <c r="Q96" s="0" t="s">
        <v>1203</v>
      </c>
      <c r="R96" s="0" t="s">
        <v>1310</v>
      </c>
      <c r="T96" s="0" t="s">
        <v>1311</v>
      </c>
      <c r="U96" s="0" t="s">
        <v>1312</v>
      </c>
      <c r="W96" s="0" t="s">
        <v>1194</v>
      </c>
      <c r="X96" s="0" t="s">
        <v>347</v>
      </c>
      <c r="Y96" s="0" t="s">
        <v>75</v>
      </c>
      <c r="Z96" s="0" t="s">
        <v>1195</v>
      </c>
      <c r="AA96" s="0" t="s">
        <v>198</v>
      </c>
      <c r="AB96" s="0" t="s">
        <v>531</v>
      </c>
      <c r="AC96" s="0" t="s">
        <v>532</v>
      </c>
      <c r="AE96" s="0" t="s">
        <v>1196</v>
      </c>
      <c r="AF96" s="0" t="s">
        <v>301</v>
      </c>
      <c r="AP96" s="0" t="s">
        <v>305</v>
      </c>
      <c r="BA96" s="0">
        <v>451</v>
      </c>
      <c r="BB96" s="0" t="s">
        <v>232</v>
      </c>
      <c r="BC96" s="0">
        <v>2</v>
      </c>
      <c r="BD96" s="0">
        <v>374043</v>
      </c>
      <c r="BE96" s="0">
        <v>90875</v>
      </c>
      <c r="BF96" s="0">
        <v>4</v>
      </c>
      <c r="BG96" s="0" t="s">
        <v>1313</v>
      </c>
      <c r="BI96" s="0">
        <v>4861</v>
      </c>
      <c r="BK96" s="0" t="s">
        <v>1314</v>
      </c>
    </row>
    <row r="97">
      <c r="A97" s="0">
        <v>4629</v>
      </c>
      <c r="B97" s="0" t="s">
        <v>1315</v>
      </c>
      <c r="C97" s="0" t="s">
        <v>339</v>
      </c>
      <c r="D97" s="0" t="s">
        <v>1200</v>
      </c>
      <c r="E97" s="0" t="s">
        <v>1316</v>
      </c>
      <c r="F97" s="0">
        <v>1</v>
      </c>
      <c r="G97" s="0" t="s">
        <v>319</v>
      </c>
      <c r="H97" s="0" t="s">
        <v>1317</v>
      </c>
      <c r="I97" s="0" t="s">
        <v>471</v>
      </c>
      <c r="J97" s="0" t="s">
        <v>508</v>
      </c>
      <c r="K97" s="0" t="s">
        <v>1190</v>
      </c>
      <c r="L97" s="0" t="s">
        <v>469</v>
      </c>
      <c r="P97" s="0" t="s">
        <v>1203</v>
      </c>
      <c r="Q97" s="0" t="s">
        <v>1203</v>
      </c>
      <c r="T97" s="0" t="s">
        <v>1318</v>
      </c>
      <c r="U97" s="0" t="s">
        <v>1319</v>
      </c>
      <c r="W97" s="0" t="s">
        <v>1194</v>
      </c>
      <c r="X97" s="0" t="s">
        <v>347</v>
      </c>
      <c r="Y97" s="0" t="s">
        <v>75</v>
      </c>
      <c r="Z97" s="0" t="s">
        <v>1195</v>
      </c>
      <c r="AA97" s="0" t="s">
        <v>198</v>
      </c>
      <c r="AB97" s="0" t="s">
        <v>531</v>
      </c>
      <c r="AC97" s="0" t="s">
        <v>532</v>
      </c>
      <c r="AE97" s="0" t="s">
        <v>1196</v>
      </c>
      <c r="AF97" s="0" t="s">
        <v>301</v>
      </c>
      <c r="AM97" s="0" t="s">
        <v>598</v>
      </c>
      <c r="AN97" s="0" t="s">
        <v>1320</v>
      </c>
      <c r="AO97" s="0" t="s">
        <v>575</v>
      </c>
      <c r="AP97" s="0" t="s">
        <v>305</v>
      </c>
      <c r="AQ97" s="0" t="s">
        <v>489</v>
      </c>
      <c r="AR97" s="0" t="s">
        <v>612</v>
      </c>
      <c r="AS97" s="0">
        <v>28</v>
      </c>
      <c r="AT97" s="0">
        <v>56</v>
      </c>
      <c r="AU97" s="0">
        <v>84</v>
      </c>
      <c r="AV97" s="0" t="s">
        <v>332</v>
      </c>
      <c r="AW97" s="0" t="s">
        <v>332</v>
      </c>
      <c r="AX97" s="0" t="s">
        <v>443</v>
      </c>
      <c r="AY97" s="0" t="s">
        <v>1321</v>
      </c>
      <c r="AZ97" s="0" t="s">
        <v>1322</v>
      </c>
      <c r="BA97" s="0">
        <v>451</v>
      </c>
      <c r="BB97" s="0" t="s">
        <v>232</v>
      </c>
      <c r="BC97" s="0">
        <v>2</v>
      </c>
      <c r="BD97" s="0">
        <v>8</v>
      </c>
      <c r="BE97" s="0">
        <v>90875</v>
      </c>
      <c r="BF97" s="0">
        <v>4</v>
      </c>
      <c r="BG97" s="0" t="s">
        <v>1323</v>
      </c>
      <c r="BI97" s="0">
        <v>4405</v>
      </c>
      <c r="BK97" s="0" t="s">
        <v>1324</v>
      </c>
    </row>
    <row r="98">
      <c r="A98" s="0">
        <v>4605</v>
      </c>
      <c r="B98" s="0" t="s">
        <v>1325</v>
      </c>
      <c r="C98" s="0" t="s">
        <v>315</v>
      </c>
      <c r="D98" s="0" t="s">
        <v>1200</v>
      </c>
      <c r="E98" s="0" t="s">
        <v>1326</v>
      </c>
      <c r="F98" s="0">
        <v>1</v>
      </c>
      <c r="G98" s="0" t="s">
        <v>543</v>
      </c>
      <c r="H98" s="0" t="s">
        <v>1327</v>
      </c>
      <c r="I98" s="0" t="s">
        <v>1328</v>
      </c>
      <c r="J98" s="0" t="s">
        <v>293</v>
      </c>
      <c r="K98" s="0" t="s">
        <v>294</v>
      </c>
      <c r="L98" s="0" t="s">
        <v>295</v>
      </c>
      <c r="P98" s="0" t="s">
        <v>1191</v>
      </c>
      <c r="Q98" s="0" t="s">
        <v>1203</v>
      </c>
      <c r="R98" s="0" t="s">
        <v>1329</v>
      </c>
      <c r="T98" s="0" t="s">
        <v>1330</v>
      </c>
      <c r="U98" s="0" t="s">
        <v>1331</v>
      </c>
      <c r="W98" s="0" t="s">
        <v>1194</v>
      </c>
      <c r="X98" s="0" t="s">
        <v>347</v>
      </c>
      <c r="Y98" s="0" t="s">
        <v>75</v>
      </c>
      <c r="Z98" s="0" t="s">
        <v>1195</v>
      </c>
      <c r="AA98" s="0" t="s">
        <v>198</v>
      </c>
      <c r="AB98" s="0" t="s">
        <v>531</v>
      </c>
      <c r="AC98" s="0" t="s">
        <v>532</v>
      </c>
      <c r="AE98" s="0" t="s">
        <v>1196</v>
      </c>
      <c r="AF98" s="0" t="s">
        <v>301</v>
      </c>
      <c r="AP98" s="0" t="s">
        <v>305</v>
      </c>
      <c r="BA98" s="0">
        <v>451</v>
      </c>
      <c r="BB98" s="0" t="s">
        <v>232</v>
      </c>
      <c r="BC98" s="0">
        <v>2</v>
      </c>
      <c r="BD98" s="0">
        <v>374043</v>
      </c>
      <c r="BE98" s="0">
        <v>90875</v>
      </c>
      <c r="BF98" s="0">
        <v>4</v>
      </c>
      <c r="BG98" s="0" t="s">
        <v>1332</v>
      </c>
      <c r="BI98" s="0">
        <v>755</v>
      </c>
      <c r="BK98" s="0" t="s">
        <v>1333</v>
      </c>
    </row>
    <row r="99">
      <c r="A99" s="0">
        <v>5293</v>
      </c>
      <c r="C99" s="0" t="s">
        <v>315</v>
      </c>
      <c r="D99" s="0" t="s">
        <v>1334</v>
      </c>
      <c r="E99" s="0" t="s">
        <v>1335</v>
      </c>
      <c r="F99" s="0">
        <v>1</v>
      </c>
      <c r="G99" s="0" t="s">
        <v>555</v>
      </c>
      <c r="H99" s="0" t="s">
        <v>618</v>
      </c>
      <c r="I99" s="0" t="s">
        <v>1204</v>
      </c>
      <c r="J99" s="0" t="s">
        <v>293</v>
      </c>
      <c r="K99" s="0" t="s">
        <v>294</v>
      </c>
      <c r="L99" s="0" t="s">
        <v>295</v>
      </c>
      <c r="M99" s="0" t="s">
        <v>594</v>
      </c>
      <c r="P99" s="0" t="s">
        <v>323</v>
      </c>
      <c r="Q99" s="0" t="s">
        <v>343</v>
      </c>
      <c r="R99" s="0" t="s">
        <v>1336</v>
      </c>
      <c r="T99" s="0" t="s">
        <v>1337</v>
      </c>
      <c r="U99" s="0" t="s">
        <v>1338</v>
      </c>
      <c r="W99" s="0" t="s">
        <v>1194</v>
      </c>
      <c r="X99" s="0" t="s">
        <v>529</v>
      </c>
      <c r="Y99" s="0" t="s">
        <v>75</v>
      </c>
      <c r="Z99" s="0" t="s">
        <v>1195</v>
      </c>
      <c r="AA99" s="0" t="s">
        <v>198</v>
      </c>
      <c r="AB99" s="0" t="s">
        <v>531</v>
      </c>
      <c r="AC99" s="0" t="s">
        <v>532</v>
      </c>
      <c r="AE99" s="0" t="s">
        <v>1196</v>
      </c>
      <c r="AF99" s="0" t="s">
        <v>301</v>
      </c>
      <c r="AP99" s="0" t="s">
        <v>305</v>
      </c>
      <c r="BA99" s="0">
        <v>451</v>
      </c>
      <c r="BB99" s="0" t="s">
        <v>232</v>
      </c>
      <c r="BC99" s="0">
        <v>2</v>
      </c>
      <c r="BD99" s="0">
        <v>374043</v>
      </c>
      <c r="BE99" s="0">
        <v>90875</v>
      </c>
      <c r="BF99" s="0">
        <v>2</v>
      </c>
      <c r="BG99" s="0" t="s">
        <v>1339</v>
      </c>
      <c r="BI99" s="0">
        <v>4995</v>
      </c>
      <c r="BK99" s="0" t="s">
        <v>1340</v>
      </c>
    </row>
    <row r="100">
      <c r="A100" s="0">
        <v>4821</v>
      </c>
      <c r="B100" s="0" t="s">
        <v>1341</v>
      </c>
      <c r="C100" s="0" t="s">
        <v>315</v>
      </c>
      <c r="D100" s="0" t="s">
        <v>1200</v>
      </c>
      <c r="E100" s="0" t="s">
        <v>1342</v>
      </c>
      <c r="F100" s="0">
        <v>1</v>
      </c>
      <c r="G100" s="0" t="s">
        <v>543</v>
      </c>
      <c r="H100" s="0" t="s">
        <v>1343</v>
      </c>
      <c r="I100" s="0" t="s">
        <v>544</v>
      </c>
      <c r="J100" s="0" t="s">
        <v>293</v>
      </c>
      <c r="K100" s="0" t="s">
        <v>1202</v>
      </c>
      <c r="L100" s="0" t="s">
        <v>295</v>
      </c>
      <c r="P100" s="0" t="s">
        <v>1344</v>
      </c>
      <c r="Q100" s="0" t="s">
        <v>1345</v>
      </c>
      <c r="R100" s="0" t="s">
        <v>1232</v>
      </c>
      <c r="T100" s="0" t="s">
        <v>1346</v>
      </c>
      <c r="U100" s="0" t="s">
        <v>1347</v>
      </c>
      <c r="W100" s="0" t="s">
        <v>1194</v>
      </c>
      <c r="X100" s="0" t="s">
        <v>347</v>
      </c>
      <c r="Y100" s="0" t="s">
        <v>75</v>
      </c>
      <c r="Z100" s="0" t="s">
        <v>1195</v>
      </c>
      <c r="AA100" s="0" t="s">
        <v>198</v>
      </c>
      <c r="AB100" s="0" t="s">
        <v>531</v>
      </c>
      <c r="AC100" s="0" t="s">
        <v>532</v>
      </c>
      <c r="AE100" s="0" t="s">
        <v>1196</v>
      </c>
      <c r="AF100" s="0" t="s">
        <v>301</v>
      </c>
      <c r="AP100" s="0" t="s">
        <v>305</v>
      </c>
      <c r="BA100" s="0">
        <v>451</v>
      </c>
      <c r="BB100" s="0" t="s">
        <v>232</v>
      </c>
      <c r="BC100" s="0">
        <v>2</v>
      </c>
      <c r="BD100" s="0">
        <v>374043</v>
      </c>
      <c r="BE100" s="0">
        <v>90875</v>
      </c>
      <c r="BF100" s="0">
        <v>4</v>
      </c>
      <c r="BG100" s="0" t="s">
        <v>1348</v>
      </c>
      <c r="BI100" s="0">
        <v>4823</v>
      </c>
      <c r="BK100" s="0" t="s">
        <v>1349</v>
      </c>
    </row>
    <row r="101">
      <c r="A101" s="0">
        <v>4820</v>
      </c>
      <c r="B101" s="0" t="s">
        <v>1350</v>
      </c>
      <c r="C101" s="0" t="s">
        <v>315</v>
      </c>
      <c r="D101" s="0" t="s">
        <v>1200</v>
      </c>
      <c r="E101" s="0" t="s">
        <v>1351</v>
      </c>
      <c r="F101" s="0">
        <v>1</v>
      </c>
      <c r="G101" s="0" t="s">
        <v>543</v>
      </c>
      <c r="H101" s="0" t="s">
        <v>1343</v>
      </c>
      <c r="I101" s="0" t="s">
        <v>1189</v>
      </c>
      <c r="J101" s="0" t="s">
        <v>293</v>
      </c>
      <c r="K101" s="0" t="s">
        <v>1202</v>
      </c>
      <c r="L101" s="0" t="s">
        <v>295</v>
      </c>
      <c r="P101" s="0" t="s">
        <v>1344</v>
      </c>
      <c r="Q101" s="0" t="s">
        <v>1345</v>
      </c>
      <c r="R101" s="0" t="s">
        <v>1189</v>
      </c>
      <c r="T101" s="0" t="s">
        <v>1352</v>
      </c>
      <c r="U101" s="0" t="s">
        <v>1353</v>
      </c>
      <c r="W101" s="0" t="s">
        <v>1194</v>
      </c>
      <c r="X101" s="0" t="s">
        <v>347</v>
      </c>
      <c r="Y101" s="0" t="s">
        <v>75</v>
      </c>
      <c r="Z101" s="0" t="s">
        <v>1195</v>
      </c>
      <c r="AA101" s="0" t="s">
        <v>198</v>
      </c>
      <c r="AB101" s="0" t="s">
        <v>531</v>
      </c>
      <c r="AC101" s="0" t="s">
        <v>532</v>
      </c>
      <c r="AE101" s="0" t="s">
        <v>1196</v>
      </c>
      <c r="AF101" s="0" t="s">
        <v>301</v>
      </c>
      <c r="AP101" s="0" t="s">
        <v>305</v>
      </c>
      <c r="BA101" s="0">
        <v>451</v>
      </c>
      <c r="BB101" s="0" t="s">
        <v>232</v>
      </c>
      <c r="BC101" s="0">
        <v>2</v>
      </c>
      <c r="BD101" s="0">
        <v>374043</v>
      </c>
      <c r="BE101" s="0">
        <v>90875</v>
      </c>
      <c r="BF101" s="0">
        <v>4</v>
      </c>
      <c r="BG101" s="0" t="s">
        <v>1354</v>
      </c>
      <c r="BI101" s="0">
        <v>4804</v>
      </c>
      <c r="BK101" s="0" t="s">
        <v>1355</v>
      </c>
    </row>
    <row r="102">
      <c r="A102" s="0">
        <v>4604</v>
      </c>
      <c r="B102" s="0" t="s">
        <v>1356</v>
      </c>
      <c r="C102" s="0" t="s">
        <v>315</v>
      </c>
      <c r="D102" s="0" t="s">
        <v>1200</v>
      </c>
      <c r="E102" s="0" t="s">
        <v>1357</v>
      </c>
      <c r="F102" s="0">
        <v>1</v>
      </c>
      <c r="G102" s="0" t="s">
        <v>555</v>
      </c>
      <c r="H102" s="0" t="s">
        <v>1358</v>
      </c>
      <c r="I102" s="0" t="s">
        <v>1359</v>
      </c>
      <c r="J102" s="0" t="s">
        <v>293</v>
      </c>
      <c r="K102" s="0" t="s">
        <v>294</v>
      </c>
      <c r="L102" s="0" t="s">
        <v>295</v>
      </c>
      <c r="P102" s="0" t="s">
        <v>1360</v>
      </c>
      <c r="Q102" s="0" t="s">
        <v>1361</v>
      </c>
      <c r="R102" s="0" t="s">
        <v>1362</v>
      </c>
      <c r="T102" s="0" t="s">
        <v>1363</v>
      </c>
      <c r="U102" s="0" t="s">
        <v>1364</v>
      </c>
      <c r="W102" s="0" t="s">
        <v>1194</v>
      </c>
      <c r="X102" s="0" t="s">
        <v>347</v>
      </c>
      <c r="Y102" s="0" t="s">
        <v>75</v>
      </c>
      <c r="Z102" s="0" t="s">
        <v>1195</v>
      </c>
      <c r="AA102" s="0" t="s">
        <v>198</v>
      </c>
      <c r="AB102" s="0" t="s">
        <v>531</v>
      </c>
      <c r="AC102" s="0" t="s">
        <v>532</v>
      </c>
      <c r="AE102" s="0" t="s">
        <v>1196</v>
      </c>
      <c r="AF102" s="0" t="s">
        <v>301</v>
      </c>
      <c r="AP102" s="0" t="s">
        <v>305</v>
      </c>
      <c r="BA102" s="0">
        <v>451</v>
      </c>
      <c r="BB102" s="0" t="s">
        <v>232</v>
      </c>
      <c r="BC102" s="0">
        <v>2</v>
      </c>
      <c r="BD102" s="0">
        <v>374043</v>
      </c>
      <c r="BE102" s="0">
        <v>90875</v>
      </c>
      <c r="BF102" s="0">
        <v>4</v>
      </c>
      <c r="BG102" s="0" t="s">
        <v>1365</v>
      </c>
      <c r="BI102" s="0">
        <v>352</v>
      </c>
      <c r="BK102" s="0" t="s">
        <v>1366</v>
      </c>
    </row>
    <row r="103">
      <c r="A103" s="0">
        <v>4636</v>
      </c>
      <c r="B103" s="0" t="s">
        <v>1367</v>
      </c>
      <c r="C103" s="0" t="s">
        <v>315</v>
      </c>
      <c r="D103" s="0" t="s">
        <v>1200</v>
      </c>
      <c r="E103" s="0" t="s">
        <v>1368</v>
      </c>
      <c r="F103" s="0">
        <v>1</v>
      </c>
      <c r="G103" s="0" t="s">
        <v>543</v>
      </c>
      <c r="H103" s="0" t="s">
        <v>1112</v>
      </c>
      <c r="I103" s="0" t="s">
        <v>544</v>
      </c>
      <c r="J103" s="0" t="s">
        <v>293</v>
      </c>
      <c r="K103" s="0" t="s">
        <v>294</v>
      </c>
      <c r="L103" s="0" t="s">
        <v>295</v>
      </c>
      <c r="P103" s="0" t="s">
        <v>1369</v>
      </c>
      <c r="Q103" s="0" t="s">
        <v>1370</v>
      </c>
      <c r="R103" s="0" t="s">
        <v>1232</v>
      </c>
      <c r="T103" s="0" t="s">
        <v>1371</v>
      </c>
      <c r="U103" s="0" t="s">
        <v>1372</v>
      </c>
      <c r="W103" s="0" t="s">
        <v>1194</v>
      </c>
      <c r="X103" s="0" t="s">
        <v>347</v>
      </c>
      <c r="Y103" s="0" t="s">
        <v>75</v>
      </c>
      <c r="Z103" s="0" t="s">
        <v>1195</v>
      </c>
      <c r="AA103" s="0" t="s">
        <v>198</v>
      </c>
      <c r="AB103" s="0" t="s">
        <v>531</v>
      </c>
      <c r="AC103" s="0" t="s">
        <v>532</v>
      </c>
      <c r="AE103" s="0" t="s">
        <v>1196</v>
      </c>
      <c r="AF103" s="0" t="s">
        <v>301</v>
      </c>
      <c r="AM103" s="0" t="s">
        <v>862</v>
      </c>
      <c r="AN103" s="0" t="s">
        <v>862</v>
      </c>
      <c r="AP103" s="0" t="s">
        <v>305</v>
      </c>
      <c r="BA103" s="0">
        <v>451</v>
      </c>
      <c r="BB103" s="0" t="s">
        <v>232</v>
      </c>
      <c r="BC103" s="0">
        <v>2</v>
      </c>
      <c r="BD103" s="0">
        <v>374043</v>
      </c>
      <c r="BE103" s="0">
        <v>90875</v>
      </c>
      <c r="BF103" s="0">
        <v>4</v>
      </c>
      <c r="BG103" s="0" t="s">
        <v>1373</v>
      </c>
      <c r="BI103" s="0">
        <v>4639</v>
      </c>
      <c r="BK103" s="0" t="s">
        <v>1374</v>
      </c>
    </row>
    <row r="104">
      <c r="A104" s="0">
        <v>5345</v>
      </c>
      <c r="B104" s="0" t="s">
        <v>1375</v>
      </c>
      <c r="C104" s="0" t="s">
        <v>315</v>
      </c>
      <c r="D104" s="0" t="s">
        <v>1376</v>
      </c>
      <c r="E104" s="0" t="s">
        <v>1377</v>
      </c>
      <c r="F104" s="0">
        <v>1</v>
      </c>
      <c r="G104" s="0" t="s">
        <v>543</v>
      </c>
      <c r="H104" s="0" t="s">
        <v>618</v>
      </c>
      <c r="I104" s="0" t="s">
        <v>1378</v>
      </c>
      <c r="J104" s="0" t="s">
        <v>508</v>
      </c>
      <c r="L104" s="0" t="s">
        <v>1378</v>
      </c>
      <c r="M104" s="0" t="s">
        <v>293</v>
      </c>
      <c r="N104" s="0" t="s">
        <v>294</v>
      </c>
      <c r="O104" s="0" t="s">
        <v>295</v>
      </c>
      <c r="P104" s="0" t="s">
        <v>1379</v>
      </c>
      <c r="Q104" s="0" t="s">
        <v>1380</v>
      </c>
      <c r="R104" s="0" t="s">
        <v>1378</v>
      </c>
      <c r="T104" s="0" t="s">
        <v>1381</v>
      </c>
      <c r="U104" s="0" t="s">
        <v>1382</v>
      </c>
      <c r="W104" s="0" t="s">
        <v>1194</v>
      </c>
      <c r="X104" s="0" t="s">
        <v>347</v>
      </c>
      <c r="Y104" s="0" t="s">
        <v>75</v>
      </c>
      <c r="Z104" s="0" t="s">
        <v>1195</v>
      </c>
      <c r="AA104" s="0" t="s">
        <v>198</v>
      </c>
      <c r="AB104" s="0" t="s">
        <v>531</v>
      </c>
      <c r="AC104" s="0" t="s">
        <v>532</v>
      </c>
      <c r="AE104" s="0" t="s">
        <v>1196</v>
      </c>
      <c r="AF104" s="0" t="s">
        <v>301</v>
      </c>
      <c r="AP104" s="0" t="s">
        <v>305</v>
      </c>
      <c r="BA104" s="0">
        <v>451</v>
      </c>
      <c r="BB104" s="0" t="s">
        <v>232</v>
      </c>
      <c r="BC104" s="0">
        <v>2</v>
      </c>
      <c r="BD104" s="0">
        <v>374043</v>
      </c>
      <c r="BE104" s="0">
        <v>90875</v>
      </c>
      <c r="BF104" s="0">
        <v>4</v>
      </c>
      <c r="BG104" s="0" t="s">
        <v>1383</v>
      </c>
      <c r="BI104" s="0">
        <v>5017</v>
      </c>
      <c r="BK104" s="0" t="s">
        <v>1384</v>
      </c>
    </row>
    <row r="105">
      <c r="A105" s="0">
        <v>4618</v>
      </c>
      <c r="B105" s="0" t="s">
        <v>1385</v>
      </c>
      <c r="C105" s="0" t="s">
        <v>290</v>
      </c>
      <c r="D105" s="0" t="s">
        <v>1194</v>
      </c>
      <c r="E105" s="0" t="s">
        <v>1386</v>
      </c>
      <c r="F105" s="0">
        <v>1</v>
      </c>
      <c r="G105" s="0" t="s">
        <v>293</v>
      </c>
      <c r="H105" s="0" t="s">
        <v>294</v>
      </c>
      <c r="I105" s="0" t="s">
        <v>295</v>
      </c>
      <c r="P105" s="0" t="s">
        <v>1203</v>
      </c>
      <c r="Q105" s="0" t="s">
        <v>1203</v>
      </c>
      <c r="T105" s="0" t="s">
        <v>1387</v>
      </c>
      <c r="U105" s="0" t="s">
        <v>1388</v>
      </c>
      <c r="W105" s="0" t="s">
        <v>1194</v>
      </c>
      <c r="X105" s="0" t="s">
        <v>298</v>
      </c>
      <c r="Y105" s="0" t="s">
        <v>75</v>
      </c>
      <c r="Z105" s="0" t="s">
        <v>1195</v>
      </c>
      <c r="AA105" s="0" t="s">
        <v>198</v>
      </c>
      <c r="AB105" s="0" t="s">
        <v>531</v>
      </c>
      <c r="AC105" s="0" t="s">
        <v>532</v>
      </c>
      <c r="AE105" s="0" t="s">
        <v>1196</v>
      </c>
      <c r="AF105" s="0" t="s">
        <v>301</v>
      </c>
      <c r="AP105" s="0" t="s">
        <v>305</v>
      </c>
      <c r="BA105" s="0">
        <v>451</v>
      </c>
      <c r="BB105" s="0" t="s">
        <v>232</v>
      </c>
      <c r="BC105" s="0">
        <v>2</v>
      </c>
      <c r="BD105" s="0">
        <v>374053</v>
      </c>
      <c r="BE105" s="0">
        <v>90875</v>
      </c>
      <c r="BF105" s="0">
        <v>5</v>
      </c>
      <c r="BG105" s="0" t="s">
        <v>1389</v>
      </c>
      <c r="BI105" s="0">
        <v>3492</v>
      </c>
      <c r="BK105" s="0" t="s">
        <v>1390</v>
      </c>
    </row>
    <row r="106">
      <c r="A106" s="0">
        <v>4606</v>
      </c>
      <c r="B106" s="0" t="s">
        <v>1391</v>
      </c>
      <c r="C106" s="0" t="s">
        <v>339</v>
      </c>
      <c r="D106" s="0" t="s">
        <v>1200</v>
      </c>
      <c r="E106" s="0" t="s">
        <v>1392</v>
      </c>
      <c r="F106" s="0">
        <v>1</v>
      </c>
      <c r="G106" s="0" t="s">
        <v>319</v>
      </c>
      <c r="H106" s="0" t="s">
        <v>523</v>
      </c>
      <c r="I106" s="0" t="s">
        <v>1268</v>
      </c>
      <c r="J106" s="0" t="s">
        <v>508</v>
      </c>
      <c r="L106" s="0" t="s">
        <v>1268</v>
      </c>
      <c r="P106" s="0" t="s">
        <v>1393</v>
      </c>
      <c r="Q106" s="0" t="s">
        <v>343</v>
      </c>
      <c r="R106" s="0" t="s">
        <v>1232</v>
      </c>
      <c r="T106" s="0" t="s">
        <v>1394</v>
      </c>
      <c r="U106" s="0" t="s">
        <v>1395</v>
      </c>
      <c r="W106" s="0" t="s">
        <v>1194</v>
      </c>
      <c r="X106" s="0" t="s">
        <v>347</v>
      </c>
      <c r="Y106" s="0" t="s">
        <v>75</v>
      </c>
      <c r="Z106" s="0" t="s">
        <v>1195</v>
      </c>
      <c r="AA106" s="0" t="s">
        <v>198</v>
      </c>
      <c r="AB106" s="0" t="s">
        <v>531</v>
      </c>
      <c r="AC106" s="0" t="s">
        <v>532</v>
      </c>
      <c r="AE106" s="0" t="s">
        <v>1196</v>
      </c>
      <c r="AF106" s="0" t="s">
        <v>301</v>
      </c>
      <c r="AM106" s="0" t="s">
        <v>1396</v>
      </c>
      <c r="AN106" s="0" t="s">
        <v>1397</v>
      </c>
      <c r="AO106" s="0" t="s">
        <v>1398</v>
      </c>
      <c r="AP106" s="0" t="s">
        <v>305</v>
      </c>
      <c r="AQ106" s="0" t="s">
        <v>1399</v>
      </c>
      <c r="AR106" s="0" t="s">
        <v>763</v>
      </c>
      <c r="AS106" s="0">
        <v>17</v>
      </c>
      <c r="AT106" s="0">
        <v>35</v>
      </c>
      <c r="AU106" s="0">
        <v>42</v>
      </c>
      <c r="AV106" s="0" t="s">
        <v>977</v>
      </c>
      <c r="AW106" s="0" t="s">
        <v>332</v>
      </c>
      <c r="AX106" s="0" t="s">
        <v>1400</v>
      </c>
      <c r="AY106" s="0" t="s">
        <v>747</v>
      </c>
      <c r="AZ106" s="0" t="s">
        <v>503</v>
      </c>
      <c r="BA106" s="0">
        <v>451</v>
      </c>
      <c r="BB106" s="0" t="s">
        <v>232</v>
      </c>
      <c r="BC106" s="0">
        <v>2</v>
      </c>
      <c r="BD106" s="0">
        <v>8</v>
      </c>
      <c r="BE106" s="0">
        <v>90875</v>
      </c>
      <c r="BF106" s="0">
        <v>4</v>
      </c>
      <c r="BG106" s="0" t="s">
        <v>1401</v>
      </c>
      <c r="BI106" s="0">
        <v>1088</v>
      </c>
      <c r="BK106" s="0" t="s">
        <v>1402</v>
      </c>
    </row>
    <row r="107">
      <c r="A107" s="0">
        <v>4621</v>
      </c>
      <c r="B107" s="0" t="s">
        <v>1403</v>
      </c>
      <c r="C107" s="0" t="s">
        <v>315</v>
      </c>
      <c r="D107" s="0" t="s">
        <v>1186</v>
      </c>
      <c r="E107" s="0" t="s">
        <v>1404</v>
      </c>
      <c r="F107" s="0">
        <v>1</v>
      </c>
      <c r="G107" s="0" t="s">
        <v>319</v>
      </c>
      <c r="H107" s="0" t="s">
        <v>398</v>
      </c>
      <c r="I107" s="0" t="s">
        <v>471</v>
      </c>
      <c r="J107" s="0" t="s">
        <v>508</v>
      </c>
      <c r="K107" s="0" t="s">
        <v>1190</v>
      </c>
      <c r="L107" s="0" t="s">
        <v>469</v>
      </c>
      <c r="P107" s="0" t="s">
        <v>1191</v>
      </c>
      <c r="Q107" s="0" t="s">
        <v>1405</v>
      </c>
      <c r="R107" s="0" t="s">
        <v>1295</v>
      </c>
      <c r="T107" s="0" t="s">
        <v>1406</v>
      </c>
      <c r="U107" s="0" t="s">
        <v>1407</v>
      </c>
      <c r="W107" s="0" t="s">
        <v>1194</v>
      </c>
      <c r="X107" s="0" t="s">
        <v>529</v>
      </c>
      <c r="Y107" s="0" t="s">
        <v>75</v>
      </c>
      <c r="Z107" s="0" t="s">
        <v>1195</v>
      </c>
      <c r="AA107" s="0" t="s">
        <v>198</v>
      </c>
      <c r="AB107" s="0" t="s">
        <v>531</v>
      </c>
      <c r="AC107" s="0" t="s">
        <v>532</v>
      </c>
      <c r="AE107" s="0" t="s">
        <v>1196</v>
      </c>
      <c r="AF107" s="0" t="s">
        <v>301</v>
      </c>
      <c r="AP107" s="0" t="s">
        <v>305</v>
      </c>
      <c r="BA107" s="0">
        <v>451</v>
      </c>
      <c r="BB107" s="0" t="s">
        <v>232</v>
      </c>
      <c r="BC107" s="0">
        <v>2</v>
      </c>
      <c r="BD107" s="0">
        <v>374043</v>
      </c>
      <c r="BE107" s="0">
        <v>90875</v>
      </c>
      <c r="BF107" s="0">
        <v>2</v>
      </c>
      <c r="BG107" s="0" t="s">
        <v>1408</v>
      </c>
      <c r="BI107" s="0">
        <v>3815</v>
      </c>
      <c r="BK107" s="0" t="s">
        <v>1409</v>
      </c>
    </row>
    <row r="108">
      <c r="A108" s="0">
        <v>5344</v>
      </c>
      <c r="B108" s="0" t="s">
        <v>1410</v>
      </c>
      <c r="C108" s="0" t="s">
        <v>656</v>
      </c>
      <c r="D108" s="0" t="s">
        <v>1411</v>
      </c>
      <c r="E108" s="0" t="s">
        <v>1412</v>
      </c>
      <c r="F108" s="0">
        <v>1</v>
      </c>
      <c r="G108" s="0" t="s">
        <v>555</v>
      </c>
      <c r="H108" s="0" t="s">
        <v>618</v>
      </c>
      <c r="I108" s="0" t="s">
        <v>1204</v>
      </c>
      <c r="J108" s="0" t="s">
        <v>293</v>
      </c>
      <c r="K108" s="0" t="s">
        <v>294</v>
      </c>
      <c r="L108" s="0" t="s">
        <v>918</v>
      </c>
      <c r="P108" s="0" t="s">
        <v>323</v>
      </c>
      <c r="Q108" s="0" t="s">
        <v>343</v>
      </c>
      <c r="R108" s="0" t="s">
        <v>1204</v>
      </c>
      <c r="T108" s="0" t="s">
        <v>1413</v>
      </c>
      <c r="U108" s="0" t="s">
        <v>1414</v>
      </c>
      <c r="W108" s="0" t="s">
        <v>1194</v>
      </c>
      <c r="X108" s="0" t="s">
        <v>529</v>
      </c>
      <c r="Y108" s="0" t="s">
        <v>75</v>
      </c>
      <c r="Z108" s="0" t="s">
        <v>1195</v>
      </c>
      <c r="AA108" s="0" t="s">
        <v>198</v>
      </c>
      <c r="AB108" s="0" t="s">
        <v>531</v>
      </c>
      <c r="AC108" s="0" t="s">
        <v>532</v>
      </c>
      <c r="AE108" s="0" t="s">
        <v>1196</v>
      </c>
      <c r="AF108" s="0" t="s">
        <v>301</v>
      </c>
      <c r="AM108" s="0" t="s">
        <v>780</v>
      </c>
      <c r="AN108" s="0" t="s">
        <v>310</v>
      </c>
      <c r="AO108" s="0" t="s">
        <v>474</v>
      </c>
      <c r="AP108" s="0" t="s">
        <v>305</v>
      </c>
      <c r="AQ108" s="0" t="s">
        <v>1149</v>
      </c>
      <c r="AR108" s="0" t="s">
        <v>1415</v>
      </c>
      <c r="AV108" s="0" t="s">
        <v>332</v>
      </c>
      <c r="AX108" s="0" t="s">
        <v>608</v>
      </c>
      <c r="AY108" s="0" t="s">
        <v>1066</v>
      </c>
      <c r="AZ108" s="0" t="s">
        <v>459</v>
      </c>
      <c r="BA108" s="0">
        <v>451</v>
      </c>
      <c r="BB108" s="0" t="s">
        <v>232</v>
      </c>
      <c r="BC108" s="0">
        <v>2</v>
      </c>
      <c r="BD108" s="0">
        <v>10</v>
      </c>
      <c r="BE108" s="0">
        <v>90875</v>
      </c>
      <c r="BF108" s="0">
        <v>2</v>
      </c>
      <c r="BG108" s="0" t="s">
        <v>1416</v>
      </c>
      <c r="BI108" s="0">
        <v>5007</v>
      </c>
      <c r="BK108" s="0" t="s">
        <v>1417</v>
      </c>
    </row>
    <row r="109">
      <c r="A109" s="0">
        <v>4607</v>
      </c>
      <c r="B109" s="0" t="s">
        <v>1418</v>
      </c>
      <c r="C109" s="0" t="s">
        <v>656</v>
      </c>
      <c r="D109" s="0" t="s">
        <v>1186</v>
      </c>
      <c r="E109" s="0" t="s">
        <v>1419</v>
      </c>
      <c r="F109" s="0">
        <v>1</v>
      </c>
      <c r="G109" s="0" t="s">
        <v>555</v>
      </c>
      <c r="H109" s="0" t="s">
        <v>1420</v>
      </c>
      <c r="I109" s="0" t="s">
        <v>1204</v>
      </c>
      <c r="J109" s="0" t="s">
        <v>293</v>
      </c>
      <c r="K109" s="0" t="s">
        <v>294</v>
      </c>
      <c r="L109" s="0" t="s">
        <v>918</v>
      </c>
      <c r="P109" s="0" t="s">
        <v>1421</v>
      </c>
      <c r="Q109" s="0" t="s">
        <v>343</v>
      </c>
      <c r="R109" s="0" t="s">
        <v>1204</v>
      </c>
      <c r="T109" s="0" t="s">
        <v>1422</v>
      </c>
      <c r="U109" s="0" t="s">
        <v>1423</v>
      </c>
      <c r="W109" s="0" t="s">
        <v>1194</v>
      </c>
      <c r="X109" s="0" t="s">
        <v>347</v>
      </c>
      <c r="Y109" s="0" t="s">
        <v>75</v>
      </c>
      <c r="Z109" s="0" t="s">
        <v>1195</v>
      </c>
      <c r="AA109" s="0" t="s">
        <v>198</v>
      </c>
      <c r="AB109" s="0" t="s">
        <v>531</v>
      </c>
      <c r="AC109" s="0" t="s">
        <v>532</v>
      </c>
      <c r="AE109" s="0" t="s">
        <v>1196</v>
      </c>
      <c r="AF109" s="0" t="s">
        <v>301</v>
      </c>
      <c r="AM109" s="0" t="s">
        <v>816</v>
      </c>
      <c r="AN109" s="0" t="s">
        <v>1424</v>
      </c>
      <c r="AO109" s="0" t="s">
        <v>491</v>
      </c>
      <c r="AP109" s="0" t="s">
        <v>305</v>
      </c>
      <c r="AQ109" s="0" t="s">
        <v>424</v>
      </c>
      <c r="AR109" s="0" t="s">
        <v>1300</v>
      </c>
      <c r="AU109" s="0">
        <v>42</v>
      </c>
      <c r="AV109" s="0" t="s">
        <v>332</v>
      </c>
      <c r="AX109" s="0" t="s">
        <v>1425</v>
      </c>
      <c r="AY109" s="0" t="s">
        <v>474</v>
      </c>
      <c r="AZ109" s="0" t="s">
        <v>392</v>
      </c>
      <c r="BA109" s="0">
        <v>451</v>
      </c>
      <c r="BB109" s="0" t="s">
        <v>232</v>
      </c>
      <c r="BC109" s="0">
        <v>2</v>
      </c>
      <c r="BD109" s="0">
        <v>10</v>
      </c>
      <c r="BE109" s="0">
        <v>90875</v>
      </c>
      <c r="BF109" s="0">
        <v>4</v>
      </c>
      <c r="BG109" s="0" t="s">
        <v>1426</v>
      </c>
      <c r="BI109" s="0">
        <v>1402</v>
      </c>
      <c r="BK109" s="0" t="s">
        <v>1427</v>
      </c>
    </row>
    <row r="110">
      <c r="A110" s="0">
        <v>4825</v>
      </c>
      <c r="B110" s="0" t="s">
        <v>1428</v>
      </c>
      <c r="C110" s="0" t="s">
        <v>656</v>
      </c>
      <c r="D110" s="0" t="s">
        <v>1306</v>
      </c>
      <c r="E110" s="0" t="s">
        <v>1429</v>
      </c>
      <c r="F110" s="0">
        <v>1</v>
      </c>
      <c r="G110" s="0" t="s">
        <v>293</v>
      </c>
      <c r="H110" s="0" t="s">
        <v>294</v>
      </c>
      <c r="I110" s="0" t="s">
        <v>295</v>
      </c>
      <c r="P110" s="0" t="s">
        <v>1191</v>
      </c>
      <c r="Q110" s="0" t="s">
        <v>1191</v>
      </c>
      <c r="R110" s="0" t="s">
        <v>880</v>
      </c>
      <c r="U110" s="0" t="s">
        <v>1430</v>
      </c>
      <c r="W110" s="0" t="s">
        <v>1194</v>
      </c>
      <c r="X110" s="0" t="s">
        <v>347</v>
      </c>
      <c r="Y110" s="0" t="s">
        <v>75</v>
      </c>
      <c r="Z110" s="0" t="s">
        <v>1195</v>
      </c>
      <c r="AA110" s="0" t="s">
        <v>198</v>
      </c>
      <c r="AB110" s="0" t="s">
        <v>531</v>
      </c>
      <c r="AC110" s="0" t="s">
        <v>532</v>
      </c>
      <c r="AE110" s="0" t="s">
        <v>1196</v>
      </c>
      <c r="AF110" s="0" t="s">
        <v>301</v>
      </c>
      <c r="AM110" s="0" t="s">
        <v>701</v>
      </c>
      <c r="AN110" s="0" t="s">
        <v>1066</v>
      </c>
      <c r="AO110" s="0" t="s">
        <v>818</v>
      </c>
      <c r="AP110" s="0" t="s">
        <v>305</v>
      </c>
      <c r="AQ110" s="0" t="s">
        <v>1431</v>
      </c>
      <c r="AR110" s="0" t="s">
        <v>1432</v>
      </c>
      <c r="AU110" s="0">
        <v>130</v>
      </c>
      <c r="AV110" s="0" t="s">
        <v>332</v>
      </c>
      <c r="AX110" s="0" t="s">
        <v>1433</v>
      </c>
      <c r="AY110" s="0" t="s">
        <v>627</v>
      </c>
      <c r="AZ110" s="0" t="s">
        <v>1434</v>
      </c>
      <c r="BA110" s="0">
        <v>451</v>
      </c>
      <c r="BB110" s="0" t="s">
        <v>232</v>
      </c>
      <c r="BC110" s="0">
        <v>2</v>
      </c>
      <c r="BD110" s="0">
        <v>10</v>
      </c>
      <c r="BE110" s="0">
        <v>90875</v>
      </c>
      <c r="BF110" s="0">
        <v>4</v>
      </c>
      <c r="BG110" s="0" t="s">
        <v>1435</v>
      </c>
      <c r="BI110" s="0">
        <v>4897</v>
      </c>
      <c r="BK110" s="0" t="s">
        <v>1436</v>
      </c>
    </row>
    <row r="111">
      <c r="A111" s="0">
        <v>4824</v>
      </c>
      <c r="B111" s="0" t="s">
        <v>1437</v>
      </c>
      <c r="C111" s="0" t="s">
        <v>1139</v>
      </c>
      <c r="D111" s="0" t="s">
        <v>1306</v>
      </c>
      <c r="E111" s="0" t="s">
        <v>1438</v>
      </c>
      <c r="F111" s="0">
        <v>1</v>
      </c>
      <c r="G111" s="0" t="s">
        <v>293</v>
      </c>
      <c r="H111" s="0" t="s">
        <v>294</v>
      </c>
      <c r="I111" s="0" t="s">
        <v>918</v>
      </c>
      <c r="P111" s="0" t="s">
        <v>1203</v>
      </c>
      <c r="Q111" s="0" t="s">
        <v>1203</v>
      </c>
      <c r="U111" s="0" t="s">
        <v>1439</v>
      </c>
      <c r="W111" s="0" t="s">
        <v>1194</v>
      </c>
      <c r="X111" s="0" t="s">
        <v>347</v>
      </c>
      <c r="Y111" s="0" t="s">
        <v>75</v>
      </c>
      <c r="Z111" s="0" t="s">
        <v>1195</v>
      </c>
      <c r="AA111" s="0" t="s">
        <v>198</v>
      </c>
      <c r="AB111" s="0" t="s">
        <v>531</v>
      </c>
      <c r="AC111" s="0" t="s">
        <v>532</v>
      </c>
      <c r="AE111" s="0" t="s">
        <v>1196</v>
      </c>
      <c r="AF111" s="0" t="s">
        <v>301</v>
      </c>
      <c r="AM111" s="0" t="s">
        <v>694</v>
      </c>
      <c r="AN111" s="0" t="s">
        <v>459</v>
      </c>
      <c r="AO111" s="0" t="s">
        <v>666</v>
      </c>
      <c r="AP111" s="0" t="s">
        <v>305</v>
      </c>
      <c r="AQ111" s="0" t="s">
        <v>854</v>
      </c>
      <c r="AR111" s="0" t="s">
        <v>1440</v>
      </c>
      <c r="AS111" s="0">
        <v>638</v>
      </c>
      <c r="AT111" s="0">
        <v>1308</v>
      </c>
      <c r="AU111" s="0">
        <v>1480</v>
      </c>
      <c r="AV111" s="0" t="s">
        <v>332</v>
      </c>
      <c r="AW111" s="0" t="s">
        <v>332</v>
      </c>
      <c r="AX111" s="0" t="s">
        <v>707</v>
      </c>
      <c r="AY111" s="0" t="s">
        <v>517</v>
      </c>
      <c r="AZ111" s="0" t="s">
        <v>502</v>
      </c>
      <c r="BA111" s="0">
        <v>451</v>
      </c>
      <c r="BB111" s="0" t="s">
        <v>232</v>
      </c>
      <c r="BC111" s="0">
        <v>2</v>
      </c>
      <c r="BD111" s="0">
        <v>38030</v>
      </c>
      <c r="BE111" s="0">
        <v>90875</v>
      </c>
      <c r="BF111" s="0">
        <v>4</v>
      </c>
      <c r="BG111" s="0" t="s">
        <v>1441</v>
      </c>
      <c r="BI111" s="0">
        <v>4880</v>
      </c>
      <c r="BK111" s="0" t="s">
        <v>1442</v>
      </c>
    </row>
    <row r="112">
      <c r="A112" s="0">
        <v>4827</v>
      </c>
      <c r="B112" s="0" t="s">
        <v>1443</v>
      </c>
      <c r="C112" s="0" t="s">
        <v>339</v>
      </c>
      <c r="D112" s="0" t="s">
        <v>1306</v>
      </c>
      <c r="E112" s="0" t="s">
        <v>1444</v>
      </c>
      <c r="F112" s="0">
        <v>1</v>
      </c>
      <c r="G112" s="0" t="s">
        <v>1445</v>
      </c>
      <c r="H112" s="0" t="s">
        <v>618</v>
      </c>
      <c r="I112" s="0" t="s">
        <v>1446</v>
      </c>
      <c r="J112" s="0" t="s">
        <v>293</v>
      </c>
      <c r="K112" s="0" t="s">
        <v>294</v>
      </c>
      <c r="L112" s="0" t="s">
        <v>295</v>
      </c>
      <c r="P112" s="0" t="s">
        <v>1191</v>
      </c>
      <c r="Q112" s="0" t="s">
        <v>1203</v>
      </c>
      <c r="R112" s="0" t="s">
        <v>1447</v>
      </c>
      <c r="T112" s="0" t="s">
        <v>1448</v>
      </c>
      <c r="U112" s="0" t="s">
        <v>1449</v>
      </c>
      <c r="W112" s="0" t="s">
        <v>1194</v>
      </c>
      <c r="X112" s="0" t="s">
        <v>529</v>
      </c>
      <c r="Y112" s="0" t="s">
        <v>75</v>
      </c>
      <c r="Z112" s="0" t="s">
        <v>1195</v>
      </c>
      <c r="AA112" s="0" t="s">
        <v>198</v>
      </c>
      <c r="AB112" s="0" t="s">
        <v>531</v>
      </c>
      <c r="AC112" s="0" t="s">
        <v>532</v>
      </c>
      <c r="AE112" s="0" t="s">
        <v>1196</v>
      </c>
      <c r="AF112" s="0" t="s">
        <v>301</v>
      </c>
      <c r="AM112" s="0" t="s">
        <v>964</v>
      </c>
      <c r="AN112" s="0" t="s">
        <v>422</v>
      </c>
      <c r="AO112" s="0" t="s">
        <v>611</v>
      </c>
      <c r="AP112" s="0" t="s">
        <v>305</v>
      </c>
      <c r="AQ112" s="0" t="s">
        <v>1450</v>
      </c>
      <c r="AR112" s="0" t="s">
        <v>489</v>
      </c>
      <c r="AS112" s="0">
        <v>77</v>
      </c>
      <c r="AT112" s="0">
        <v>160</v>
      </c>
      <c r="AU112" s="0">
        <v>195</v>
      </c>
      <c r="AV112" s="0" t="s">
        <v>332</v>
      </c>
      <c r="AX112" s="0" t="s">
        <v>608</v>
      </c>
      <c r="AY112" s="0" t="s">
        <v>780</v>
      </c>
      <c r="AZ112" s="0" t="s">
        <v>491</v>
      </c>
      <c r="BA112" s="0">
        <v>451</v>
      </c>
      <c r="BB112" s="0" t="s">
        <v>232</v>
      </c>
      <c r="BC112" s="0">
        <v>2</v>
      </c>
      <c r="BD112" s="0">
        <v>8</v>
      </c>
      <c r="BE112" s="0">
        <v>90875</v>
      </c>
      <c r="BF112" s="0">
        <v>2</v>
      </c>
      <c r="BG112" s="0" t="s">
        <v>1451</v>
      </c>
      <c r="BI112" s="0">
        <v>4927</v>
      </c>
      <c r="BK112" s="0" t="s">
        <v>1452</v>
      </c>
    </row>
    <row r="113">
      <c r="A113" s="0">
        <v>4613</v>
      </c>
      <c r="B113" s="0" t="s">
        <v>1453</v>
      </c>
      <c r="C113" s="0" t="s">
        <v>290</v>
      </c>
      <c r="D113" s="0" t="s">
        <v>1200</v>
      </c>
      <c r="E113" s="0" t="s">
        <v>1454</v>
      </c>
      <c r="F113" s="0">
        <v>1</v>
      </c>
      <c r="G113" s="0" t="s">
        <v>293</v>
      </c>
      <c r="H113" s="0" t="s">
        <v>294</v>
      </c>
      <c r="I113" s="0" t="s">
        <v>295</v>
      </c>
      <c r="P113" s="0" t="s">
        <v>1203</v>
      </c>
      <c r="Q113" s="0" t="s">
        <v>1203</v>
      </c>
      <c r="T113" s="0" t="s">
        <v>1455</v>
      </c>
      <c r="U113" s="0" t="s">
        <v>1456</v>
      </c>
      <c r="W113" s="0" t="s">
        <v>1194</v>
      </c>
      <c r="X113" s="0" t="s">
        <v>347</v>
      </c>
      <c r="Y113" s="0" t="s">
        <v>75</v>
      </c>
      <c r="Z113" s="0" t="s">
        <v>1195</v>
      </c>
      <c r="AA113" s="0" t="s">
        <v>198</v>
      </c>
      <c r="AB113" s="0" t="s">
        <v>531</v>
      </c>
      <c r="AC113" s="0" t="s">
        <v>532</v>
      </c>
      <c r="AE113" s="0" t="s">
        <v>1196</v>
      </c>
      <c r="AF113" s="0" t="s">
        <v>301</v>
      </c>
      <c r="AP113" s="0" t="s">
        <v>305</v>
      </c>
      <c r="BA113" s="0">
        <v>451</v>
      </c>
      <c r="BB113" s="0" t="s">
        <v>232</v>
      </c>
      <c r="BC113" s="0">
        <v>2</v>
      </c>
      <c r="BD113" s="0">
        <v>374053</v>
      </c>
      <c r="BE113" s="0">
        <v>90875</v>
      </c>
      <c r="BF113" s="0">
        <v>4</v>
      </c>
      <c r="BG113" s="0" t="s">
        <v>1457</v>
      </c>
      <c r="BI113" s="0">
        <v>2734</v>
      </c>
      <c r="BK113" s="0" t="s">
        <v>1458</v>
      </c>
    </row>
    <row r="114">
      <c r="A114" s="0">
        <v>4616</v>
      </c>
      <c r="B114" s="0" t="s">
        <v>1459</v>
      </c>
      <c r="C114" s="0" t="s">
        <v>579</v>
      </c>
      <c r="D114" s="0" t="s">
        <v>1306</v>
      </c>
      <c r="E114" s="0" t="s">
        <v>1460</v>
      </c>
      <c r="F114" s="0">
        <v>1</v>
      </c>
      <c r="G114" s="0" t="s">
        <v>293</v>
      </c>
      <c r="H114" s="0" t="s">
        <v>294</v>
      </c>
      <c r="I114" s="0" t="s">
        <v>295</v>
      </c>
      <c r="J114" s="0" t="s">
        <v>581</v>
      </c>
      <c r="K114" s="0" t="s">
        <v>581</v>
      </c>
      <c r="L114" s="0" t="s">
        <v>583</v>
      </c>
      <c r="P114" s="0" t="s">
        <v>1203</v>
      </c>
      <c r="Q114" s="0" t="s">
        <v>1203</v>
      </c>
      <c r="T114" s="0" t="s">
        <v>1461</v>
      </c>
      <c r="U114" s="0" t="s">
        <v>1462</v>
      </c>
      <c r="W114" s="0" t="s">
        <v>1194</v>
      </c>
      <c r="X114" s="0" t="s">
        <v>529</v>
      </c>
      <c r="Y114" s="0" t="s">
        <v>75</v>
      </c>
      <c r="Z114" s="0" t="s">
        <v>1195</v>
      </c>
      <c r="AA114" s="0" t="s">
        <v>198</v>
      </c>
      <c r="AB114" s="0" t="s">
        <v>531</v>
      </c>
      <c r="AC114" s="0" t="s">
        <v>532</v>
      </c>
      <c r="AE114" s="0" t="s">
        <v>1196</v>
      </c>
      <c r="AF114" s="0" t="s">
        <v>301</v>
      </c>
      <c r="AM114" s="0" t="s">
        <v>426</v>
      </c>
      <c r="AN114" s="0" t="s">
        <v>780</v>
      </c>
      <c r="AO114" s="0" t="s">
        <v>392</v>
      </c>
      <c r="AP114" s="0" t="s">
        <v>305</v>
      </c>
      <c r="AQ114" s="0" t="s">
        <v>965</v>
      </c>
      <c r="AR114" s="0" t="s">
        <v>1432</v>
      </c>
      <c r="AS114" s="0">
        <v>92</v>
      </c>
      <c r="AT114" s="0">
        <v>193</v>
      </c>
      <c r="AU114" s="0">
        <v>215</v>
      </c>
      <c r="AV114" s="0" t="s">
        <v>332</v>
      </c>
      <c r="AW114" s="0" t="s">
        <v>308</v>
      </c>
      <c r="AX114" s="0" t="s">
        <v>1463</v>
      </c>
      <c r="AY114" s="0" t="s">
        <v>1464</v>
      </c>
      <c r="AZ114" s="0" t="s">
        <v>1465</v>
      </c>
      <c r="BA114" s="0">
        <v>451</v>
      </c>
      <c r="BB114" s="0" t="s">
        <v>232</v>
      </c>
      <c r="BC114" s="0">
        <v>2</v>
      </c>
      <c r="BD114" s="0">
        <v>374046</v>
      </c>
      <c r="BE114" s="0">
        <v>90875</v>
      </c>
      <c r="BF114" s="0">
        <v>2</v>
      </c>
      <c r="BG114" s="0" t="s">
        <v>1466</v>
      </c>
      <c r="BI114" s="0">
        <v>3230</v>
      </c>
      <c r="BK114" s="0" t="s">
        <v>1467</v>
      </c>
    </row>
    <row r="115">
      <c r="A115" s="0">
        <v>4615</v>
      </c>
      <c r="B115" s="0" t="s">
        <v>1468</v>
      </c>
      <c r="C115" s="0" t="s">
        <v>579</v>
      </c>
      <c r="D115" s="0" t="s">
        <v>1306</v>
      </c>
      <c r="E115" s="0" t="s">
        <v>1469</v>
      </c>
      <c r="F115" s="0">
        <v>1</v>
      </c>
      <c r="G115" s="0" t="s">
        <v>293</v>
      </c>
      <c r="H115" s="0" t="s">
        <v>294</v>
      </c>
      <c r="I115" s="0" t="s">
        <v>295</v>
      </c>
      <c r="J115" s="0" t="s">
        <v>581</v>
      </c>
      <c r="K115" s="0" t="s">
        <v>581</v>
      </c>
      <c r="L115" s="0" t="s">
        <v>583</v>
      </c>
      <c r="P115" s="0" t="s">
        <v>1203</v>
      </c>
      <c r="Q115" s="0" t="s">
        <v>1203</v>
      </c>
      <c r="T115" s="0" t="s">
        <v>1470</v>
      </c>
      <c r="U115" s="0" t="s">
        <v>1471</v>
      </c>
      <c r="W115" s="0" t="s">
        <v>1194</v>
      </c>
      <c r="X115" s="0" t="s">
        <v>529</v>
      </c>
      <c r="Y115" s="0" t="s">
        <v>75</v>
      </c>
      <c r="Z115" s="0" t="s">
        <v>1195</v>
      </c>
      <c r="AA115" s="0" t="s">
        <v>198</v>
      </c>
      <c r="AB115" s="0" t="s">
        <v>531</v>
      </c>
      <c r="AC115" s="0" t="s">
        <v>532</v>
      </c>
      <c r="AE115" s="0" t="s">
        <v>1196</v>
      </c>
      <c r="AF115" s="0" t="s">
        <v>301</v>
      </c>
      <c r="AM115" s="0" t="s">
        <v>762</v>
      </c>
      <c r="AN115" s="0" t="s">
        <v>1472</v>
      </c>
      <c r="AO115" s="0" t="s">
        <v>392</v>
      </c>
      <c r="AP115" s="0" t="s">
        <v>305</v>
      </c>
      <c r="AQ115" s="0" t="s">
        <v>763</v>
      </c>
      <c r="AR115" s="0" t="s">
        <v>1473</v>
      </c>
      <c r="AS115" s="0">
        <v>37</v>
      </c>
      <c r="AT115" s="0">
        <v>77</v>
      </c>
      <c r="AU115" s="0">
        <v>90</v>
      </c>
      <c r="AV115" s="0" t="s">
        <v>332</v>
      </c>
      <c r="AW115" s="0" t="s">
        <v>977</v>
      </c>
      <c r="AX115" s="0" t="s">
        <v>1474</v>
      </c>
      <c r="AY115" s="0" t="s">
        <v>1475</v>
      </c>
      <c r="AZ115" s="0" t="s">
        <v>1476</v>
      </c>
      <c r="BA115" s="0">
        <v>451</v>
      </c>
      <c r="BB115" s="0" t="s">
        <v>232</v>
      </c>
      <c r="BC115" s="0">
        <v>2</v>
      </c>
      <c r="BD115" s="0">
        <v>374046</v>
      </c>
      <c r="BE115" s="0">
        <v>90875</v>
      </c>
      <c r="BF115" s="0">
        <v>2</v>
      </c>
      <c r="BG115" s="0" t="s">
        <v>1477</v>
      </c>
      <c r="BI115" s="0">
        <v>3080</v>
      </c>
      <c r="BK115" s="0" t="s">
        <v>1478</v>
      </c>
    </row>
    <row r="116">
      <c r="A116" s="0">
        <v>4617</v>
      </c>
      <c r="B116" s="0" t="s">
        <v>1479</v>
      </c>
      <c r="C116" s="0" t="s">
        <v>579</v>
      </c>
      <c r="D116" s="0" t="s">
        <v>1306</v>
      </c>
      <c r="E116" s="0" t="s">
        <v>1480</v>
      </c>
      <c r="F116" s="0">
        <v>1</v>
      </c>
      <c r="G116" s="0" t="s">
        <v>293</v>
      </c>
      <c r="H116" s="0" t="s">
        <v>294</v>
      </c>
      <c r="I116" s="0" t="s">
        <v>295</v>
      </c>
      <c r="J116" s="0" t="s">
        <v>581</v>
      </c>
      <c r="K116" s="0" t="s">
        <v>581</v>
      </c>
      <c r="L116" s="0" t="s">
        <v>583</v>
      </c>
      <c r="P116" s="0" t="s">
        <v>1203</v>
      </c>
      <c r="Q116" s="0" t="s">
        <v>1203</v>
      </c>
      <c r="T116" s="0" t="s">
        <v>1461</v>
      </c>
      <c r="U116" s="0" t="s">
        <v>1481</v>
      </c>
      <c r="W116" s="0" t="s">
        <v>1194</v>
      </c>
      <c r="X116" s="0" t="s">
        <v>529</v>
      </c>
      <c r="Y116" s="0" t="s">
        <v>75</v>
      </c>
      <c r="Z116" s="0" t="s">
        <v>1195</v>
      </c>
      <c r="AA116" s="0" t="s">
        <v>198</v>
      </c>
      <c r="AB116" s="0" t="s">
        <v>531</v>
      </c>
      <c r="AC116" s="0" t="s">
        <v>532</v>
      </c>
      <c r="AE116" s="0" t="s">
        <v>1196</v>
      </c>
      <c r="AF116" s="0" t="s">
        <v>301</v>
      </c>
      <c r="AM116" s="0" t="s">
        <v>762</v>
      </c>
      <c r="AN116" s="0" t="s">
        <v>780</v>
      </c>
      <c r="AO116" s="0" t="s">
        <v>392</v>
      </c>
      <c r="AP116" s="0" t="s">
        <v>305</v>
      </c>
      <c r="AQ116" s="0" t="s">
        <v>1482</v>
      </c>
      <c r="AR116" s="0" t="s">
        <v>1483</v>
      </c>
      <c r="AS116" s="0">
        <v>50</v>
      </c>
      <c r="AT116" s="0">
        <v>103</v>
      </c>
      <c r="AU116" s="0">
        <v>120</v>
      </c>
      <c r="AV116" s="0" t="s">
        <v>332</v>
      </c>
      <c r="AW116" s="0" t="s">
        <v>308</v>
      </c>
      <c r="AX116" s="0" t="s">
        <v>1484</v>
      </c>
      <c r="AY116" s="0" t="s">
        <v>1485</v>
      </c>
      <c r="AZ116" s="0" t="s">
        <v>1486</v>
      </c>
      <c r="BA116" s="0">
        <v>451</v>
      </c>
      <c r="BB116" s="0" t="s">
        <v>232</v>
      </c>
      <c r="BC116" s="0">
        <v>2</v>
      </c>
      <c r="BD116" s="0">
        <v>374046</v>
      </c>
      <c r="BE116" s="0">
        <v>90875</v>
      </c>
      <c r="BF116" s="0">
        <v>2</v>
      </c>
      <c r="BG116" s="0" t="s">
        <v>1487</v>
      </c>
      <c r="BI116" s="0">
        <v>3370</v>
      </c>
      <c r="BK116" s="0" t="s">
        <v>1488</v>
      </c>
    </row>
    <row r="117">
      <c r="A117" s="0">
        <v>4628</v>
      </c>
      <c r="B117" s="0" t="s">
        <v>1489</v>
      </c>
      <c r="C117" s="0" t="s">
        <v>579</v>
      </c>
      <c r="D117" s="0" t="s">
        <v>1186</v>
      </c>
      <c r="E117" s="0" t="s">
        <v>1490</v>
      </c>
      <c r="F117" s="0">
        <v>2</v>
      </c>
      <c r="G117" s="0" t="s">
        <v>400</v>
      </c>
      <c r="H117" s="0" t="s">
        <v>1190</v>
      </c>
      <c r="I117" s="0" t="s">
        <v>549</v>
      </c>
      <c r="J117" s="0" t="s">
        <v>581</v>
      </c>
      <c r="K117" s="0" t="s">
        <v>581</v>
      </c>
      <c r="L117" s="0" t="s">
        <v>583</v>
      </c>
      <c r="P117" s="0" t="s">
        <v>1203</v>
      </c>
      <c r="Q117" s="0" t="s">
        <v>1203</v>
      </c>
      <c r="T117" s="0" t="s">
        <v>1491</v>
      </c>
      <c r="U117" s="0" t="s">
        <v>1492</v>
      </c>
      <c r="W117" s="0" t="s">
        <v>1194</v>
      </c>
      <c r="X117" s="0" t="s">
        <v>529</v>
      </c>
      <c r="Y117" s="0" t="s">
        <v>75</v>
      </c>
      <c r="Z117" s="0" t="s">
        <v>1195</v>
      </c>
      <c r="AA117" s="0" t="s">
        <v>198</v>
      </c>
      <c r="AB117" s="0" t="s">
        <v>531</v>
      </c>
      <c r="AC117" s="0" t="s">
        <v>532</v>
      </c>
      <c r="AE117" s="0" t="s">
        <v>1196</v>
      </c>
      <c r="AF117" s="0" t="s">
        <v>301</v>
      </c>
      <c r="AM117" s="0" t="s">
        <v>762</v>
      </c>
      <c r="AN117" s="0" t="s">
        <v>762</v>
      </c>
      <c r="AO117" s="0" t="s">
        <v>303</v>
      </c>
      <c r="AP117" s="0" t="s">
        <v>305</v>
      </c>
      <c r="AQ117" s="0" t="s">
        <v>763</v>
      </c>
      <c r="AR117" s="0" t="s">
        <v>1473</v>
      </c>
      <c r="AS117" s="0">
        <v>63</v>
      </c>
      <c r="AT117" s="0">
        <v>134</v>
      </c>
      <c r="AU117" s="0">
        <v>165</v>
      </c>
      <c r="AV117" s="0" t="s">
        <v>332</v>
      </c>
      <c r="AW117" s="0" t="s">
        <v>308</v>
      </c>
      <c r="AX117" s="0" t="s">
        <v>1493</v>
      </c>
      <c r="AY117" s="0" t="s">
        <v>1494</v>
      </c>
      <c r="AZ117" s="0" t="s">
        <v>1495</v>
      </c>
      <c r="BA117" s="0">
        <v>451</v>
      </c>
      <c r="BB117" s="0" t="s">
        <v>232</v>
      </c>
      <c r="BC117" s="0">
        <v>2</v>
      </c>
      <c r="BD117" s="0">
        <v>374046</v>
      </c>
      <c r="BE117" s="0">
        <v>90875</v>
      </c>
      <c r="BF117" s="0">
        <v>2</v>
      </c>
      <c r="BG117" s="0" t="s">
        <v>1496</v>
      </c>
      <c r="BI117" s="0">
        <v>4347</v>
      </c>
      <c r="BK117" s="0" t="s">
        <v>1497</v>
      </c>
    </row>
    <row r="118">
      <c r="A118" s="0">
        <v>4637</v>
      </c>
      <c r="B118" s="0" t="s">
        <v>1498</v>
      </c>
      <c r="C118" s="0" t="s">
        <v>1139</v>
      </c>
      <c r="D118" s="0" t="s">
        <v>1194</v>
      </c>
      <c r="E118" s="0" t="s">
        <v>1499</v>
      </c>
      <c r="F118" s="0">
        <v>1</v>
      </c>
      <c r="G118" s="0" t="s">
        <v>293</v>
      </c>
      <c r="H118" s="0" t="s">
        <v>294</v>
      </c>
      <c r="I118" s="0" t="s">
        <v>469</v>
      </c>
      <c r="P118" s="0" t="s">
        <v>1203</v>
      </c>
      <c r="Q118" s="0" t="s">
        <v>1203</v>
      </c>
      <c r="T118" s="0" t="s">
        <v>1500</v>
      </c>
      <c r="U118" s="0" t="s">
        <v>1501</v>
      </c>
      <c r="W118" s="0" t="s">
        <v>1194</v>
      </c>
      <c r="X118" s="0" t="s">
        <v>347</v>
      </c>
      <c r="Y118" s="0" t="s">
        <v>75</v>
      </c>
      <c r="Z118" s="0" t="s">
        <v>1195</v>
      </c>
      <c r="AA118" s="0" t="s">
        <v>198</v>
      </c>
      <c r="AB118" s="0" t="s">
        <v>531</v>
      </c>
      <c r="AC118" s="0" t="s">
        <v>532</v>
      </c>
      <c r="AE118" s="0" t="s">
        <v>1196</v>
      </c>
      <c r="AF118" s="0" t="s">
        <v>301</v>
      </c>
      <c r="AM118" s="0" t="s">
        <v>924</v>
      </c>
      <c r="AN118" s="0" t="s">
        <v>1502</v>
      </c>
      <c r="AO118" s="0" t="s">
        <v>1503</v>
      </c>
      <c r="AP118" s="0" t="s">
        <v>305</v>
      </c>
      <c r="AQ118" s="0" t="s">
        <v>1271</v>
      </c>
      <c r="AR118" s="0" t="s">
        <v>1504</v>
      </c>
      <c r="AS118" s="0">
        <v>98</v>
      </c>
      <c r="AT118" s="0">
        <v>202</v>
      </c>
      <c r="AU118" s="0">
        <v>248</v>
      </c>
      <c r="AV118" s="0" t="s">
        <v>332</v>
      </c>
      <c r="AW118" s="0" t="s">
        <v>332</v>
      </c>
      <c r="AX118" s="0" t="s">
        <v>1505</v>
      </c>
      <c r="AY118" s="0" t="s">
        <v>302</v>
      </c>
      <c r="AZ118" s="0" t="s">
        <v>1108</v>
      </c>
      <c r="BA118" s="0">
        <v>451</v>
      </c>
      <c r="BB118" s="0" t="s">
        <v>232</v>
      </c>
      <c r="BC118" s="0">
        <v>2</v>
      </c>
      <c r="BD118" s="0">
        <v>38030</v>
      </c>
      <c r="BE118" s="0">
        <v>90875</v>
      </c>
      <c r="BF118" s="0">
        <v>4</v>
      </c>
      <c r="BG118" s="0" t="s">
        <v>1506</v>
      </c>
      <c r="BH118" s="0">
        <v>65</v>
      </c>
      <c r="BI118" s="0">
        <v>4671</v>
      </c>
      <c r="BK118" s="0" t="s">
        <v>1507</v>
      </c>
    </row>
    <row r="119">
      <c r="A119" s="0">
        <v>4614</v>
      </c>
      <c r="B119" s="0" t="s">
        <v>1508</v>
      </c>
      <c r="C119" s="0" t="s">
        <v>1139</v>
      </c>
      <c r="D119" s="0" t="s">
        <v>1194</v>
      </c>
      <c r="E119" s="0" t="s">
        <v>1499</v>
      </c>
      <c r="F119" s="0">
        <v>1</v>
      </c>
      <c r="G119" s="0" t="s">
        <v>293</v>
      </c>
      <c r="H119" s="0" t="s">
        <v>294</v>
      </c>
      <c r="I119" s="0" t="s">
        <v>295</v>
      </c>
      <c r="P119" s="0" t="s">
        <v>1203</v>
      </c>
      <c r="Q119" s="0" t="s">
        <v>1203</v>
      </c>
      <c r="T119" s="0" t="s">
        <v>1509</v>
      </c>
      <c r="U119" s="0" t="s">
        <v>1510</v>
      </c>
      <c r="W119" s="0" t="s">
        <v>1194</v>
      </c>
      <c r="X119" s="0" t="s">
        <v>347</v>
      </c>
      <c r="Y119" s="0" t="s">
        <v>75</v>
      </c>
      <c r="Z119" s="0" t="s">
        <v>1195</v>
      </c>
      <c r="AA119" s="0" t="s">
        <v>198</v>
      </c>
      <c r="AB119" s="0" t="s">
        <v>531</v>
      </c>
      <c r="AC119" s="0" t="s">
        <v>532</v>
      </c>
      <c r="AE119" s="0" t="s">
        <v>1196</v>
      </c>
      <c r="AF119" s="0" t="s">
        <v>301</v>
      </c>
      <c r="AM119" s="0" t="s">
        <v>924</v>
      </c>
      <c r="AN119" s="0" t="s">
        <v>1502</v>
      </c>
      <c r="AO119" s="0" t="s">
        <v>1503</v>
      </c>
      <c r="AP119" s="0" t="s">
        <v>305</v>
      </c>
      <c r="AQ119" s="0" t="s">
        <v>1271</v>
      </c>
      <c r="AR119" s="0" t="s">
        <v>1504</v>
      </c>
      <c r="AS119" s="0">
        <v>98</v>
      </c>
      <c r="AT119" s="0">
        <v>202</v>
      </c>
      <c r="AU119" s="0">
        <v>248</v>
      </c>
      <c r="AV119" s="0" t="s">
        <v>332</v>
      </c>
      <c r="AW119" s="0" t="s">
        <v>332</v>
      </c>
      <c r="AX119" s="0" t="s">
        <v>1505</v>
      </c>
      <c r="AY119" s="0" t="s">
        <v>302</v>
      </c>
      <c r="AZ119" s="0" t="s">
        <v>1108</v>
      </c>
      <c r="BA119" s="0">
        <v>451</v>
      </c>
      <c r="BB119" s="0" t="s">
        <v>232</v>
      </c>
      <c r="BC119" s="0">
        <v>2</v>
      </c>
      <c r="BD119" s="0">
        <v>38030</v>
      </c>
      <c r="BE119" s="0">
        <v>90875</v>
      </c>
      <c r="BF119" s="0">
        <v>4</v>
      </c>
      <c r="BG119" s="0" t="s">
        <v>1511</v>
      </c>
      <c r="BH119" s="0">
        <v>62</v>
      </c>
      <c r="BI119" s="0">
        <v>2904</v>
      </c>
      <c r="BK119" s="0" t="s">
        <v>1512</v>
      </c>
    </row>
    <row r="120">
      <c r="A120" s="0">
        <v>4610</v>
      </c>
      <c r="B120" s="0" t="s">
        <v>1513</v>
      </c>
      <c r="C120" s="0" t="s">
        <v>315</v>
      </c>
      <c r="D120" s="0" t="s">
        <v>1200</v>
      </c>
      <c r="E120" s="0" t="s">
        <v>1514</v>
      </c>
      <c r="F120" s="0">
        <v>1</v>
      </c>
      <c r="G120" s="0" t="s">
        <v>555</v>
      </c>
      <c r="H120" s="0" t="s">
        <v>985</v>
      </c>
      <c r="I120" s="0" t="s">
        <v>646</v>
      </c>
      <c r="J120" s="0" t="s">
        <v>508</v>
      </c>
      <c r="K120" s="0" t="s">
        <v>1190</v>
      </c>
      <c r="L120" s="0" t="s">
        <v>646</v>
      </c>
      <c r="M120" s="0" t="s">
        <v>293</v>
      </c>
      <c r="N120" s="0" t="s">
        <v>1202</v>
      </c>
      <c r="O120" s="0" t="s">
        <v>295</v>
      </c>
      <c r="P120" s="0" t="s">
        <v>1191</v>
      </c>
      <c r="Q120" s="0" t="s">
        <v>1203</v>
      </c>
      <c r="R120" s="0" t="s">
        <v>1515</v>
      </c>
      <c r="T120" s="0" t="s">
        <v>1516</v>
      </c>
      <c r="U120" s="0" t="s">
        <v>1517</v>
      </c>
      <c r="W120" s="0" t="s">
        <v>1194</v>
      </c>
      <c r="X120" s="0" t="s">
        <v>347</v>
      </c>
      <c r="Y120" s="0" t="s">
        <v>75</v>
      </c>
      <c r="Z120" s="0" t="s">
        <v>1195</v>
      </c>
      <c r="AA120" s="0" t="s">
        <v>198</v>
      </c>
      <c r="AB120" s="0" t="s">
        <v>531</v>
      </c>
      <c r="AC120" s="0" t="s">
        <v>532</v>
      </c>
      <c r="AE120" s="0" t="s">
        <v>1196</v>
      </c>
      <c r="AF120" s="0" t="s">
        <v>301</v>
      </c>
      <c r="AP120" s="0" t="s">
        <v>305</v>
      </c>
      <c r="BA120" s="0">
        <v>451</v>
      </c>
      <c r="BB120" s="0" t="s">
        <v>232</v>
      </c>
      <c r="BC120" s="0">
        <v>2</v>
      </c>
      <c r="BD120" s="0">
        <v>374043</v>
      </c>
      <c r="BE120" s="0">
        <v>90875</v>
      </c>
      <c r="BF120" s="0">
        <v>4</v>
      </c>
      <c r="BG120" s="0" t="s">
        <v>1518</v>
      </c>
      <c r="BI120" s="0">
        <v>2144</v>
      </c>
      <c r="BK120" s="0" t="s">
        <v>1519</v>
      </c>
    </row>
    <row r="121">
      <c r="A121" s="0">
        <v>4822</v>
      </c>
      <c r="B121" s="0" t="s">
        <v>1520</v>
      </c>
      <c r="C121" s="0" t="s">
        <v>315</v>
      </c>
      <c r="D121" s="0" t="s">
        <v>1200</v>
      </c>
      <c r="E121" s="0" t="s">
        <v>1521</v>
      </c>
      <c r="F121" s="0">
        <v>1</v>
      </c>
      <c r="G121" s="0" t="s">
        <v>555</v>
      </c>
      <c r="H121" s="0" t="s">
        <v>985</v>
      </c>
      <c r="I121" s="0" t="s">
        <v>1189</v>
      </c>
      <c r="J121" s="0" t="s">
        <v>508</v>
      </c>
      <c r="K121" s="0" t="s">
        <v>1190</v>
      </c>
      <c r="L121" s="0" t="s">
        <v>1189</v>
      </c>
      <c r="P121" s="0" t="s">
        <v>1191</v>
      </c>
      <c r="Q121" s="0" t="s">
        <v>1203</v>
      </c>
      <c r="R121" s="0" t="s">
        <v>1189</v>
      </c>
      <c r="T121" s="0" t="s">
        <v>1522</v>
      </c>
      <c r="U121" s="0" t="s">
        <v>1523</v>
      </c>
      <c r="W121" s="0" t="s">
        <v>1194</v>
      </c>
      <c r="X121" s="0" t="s">
        <v>347</v>
      </c>
      <c r="Y121" s="0" t="s">
        <v>75</v>
      </c>
      <c r="Z121" s="0" t="s">
        <v>1195</v>
      </c>
      <c r="AA121" s="0" t="s">
        <v>198</v>
      </c>
      <c r="AB121" s="0" t="s">
        <v>531</v>
      </c>
      <c r="AC121" s="0" t="s">
        <v>532</v>
      </c>
      <c r="AE121" s="0" t="s">
        <v>1196</v>
      </c>
      <c r="AF121" s="0" t="s">
        <v>301</v>
      </c>
      <c r="AP121" s="0" t="s">
        <v>305</v>
      </c>
      <c r="BA121" s="0">
        <v>451</v>
      </c>
      <c r="BB121" s="0" t="s">
        <v>232</v>
      </c>
      <c r="BC121" s="0">
        <v>2</v>
      </c>
      <c r="BD121" s="0">
        <v>374043</v>
      </c>
      <c r="BE121" s="0">
        <v>90875</v>
      </c>
      <c r="BF121" s="0">
        <v>4</v>
      </c>
      <c r="BG121" s="0" t="s">
        <v>1524</v>
      </c>
      <c r="BI121" s="0">
        <v>4842</v>
      </c>
      <c r="BK121" s="0" t="s">
        <v>1525</v>
      </c>
    </row>
    <row r="122">
      <c r="A122" s="0">
        <v>4626</v>
      </c>
      <c r="C122" s="0" t="s">
        <v>315</v>
      </c>
      <c r="D122" s="0" t="s">
        <v>1200</v>
      </c>
      <c r="E122" s="0" t="s">
        <v>1526</v>
      </c>
      <c r="F122" s="0">
        <v>1</v>
      </c>
      <c r="G122" s="0" t="s">
        <v>555</v>
      </c>
      <c r="H122" s="0" t="s">
        <v>1343</v>
      </c>
      <c r="I122" s="0" t="s">
        <v>549</v>
      </c>
      <c r="J122" s="0" t="s">
        <v>293</v>
      </c>
      <c r="K122" s="0" t="s">
        <v>294</v>
      </c>
      <c r="L122" s="0" t="s">
        <v>918</v>
      </c>
      <c r="P122" s="0" t="s">
        <v>1191</v>
      </c>
      <c r="Q122" s="0" t="s">
        <v>1191</v>
      </c>
      <c r="R122" s="0" t="s">
        <v>324</v>
      </c>
      <c r="T122" s="0" t="s">
        <v>1527</v>
      </c>
      <c r="U122" s="0" t="s">
        <v>1528</v>
      </c>
      <c r="W122" s="0" t="s">
        <v>1194</v>
      </c>
      <c r="X122" s="0" t="s">
        <v>347</v>
      </c>
      <c r="Y122" s="0" t="s">
        <v>75</v>
      </c>
      <c r="Z122" s="0" t="s">
        <v>1195</v>
      </c>
      <c r="AA122" s="0" t="s">
        <v>198</v>
      </c>
      <c r="AB122" s="0" t="s">
        <v>531</v>
      </c>
      <c r="AC122" s="0" t="s">
        <v>532</v>
      </c>
      <c r="AE122" s="0" t="s">
        <v>1196</v>
      </c>
      <c r="AF122" s="0" t="s">
        <v>301</v>
      </c>
      <c r="AP122" s="0" t="s">
        <v>305</v>
      </c>
      <c r="BA122" s="0">
        <v>451</v>
      </c>
      <c r="BB122" s="0" t="s">
        <v>232</v>
      </c>
      <c r="BC122" s="0">
        <v>2</v>
      </c>
      <c r="BD122" s="0">
        <v>374043</v>
      </c>
      <c r="BE122" s="0">
        <v>90875</v>
      </c>
      <c r="BF122" s="0">
        <v>4</v>
      </c>
      <c r="BG122" s="0" t="s">
        <v>1529</v>
      </c>
      <c r="BI122" s="0">
        <v>4219</v>
      </c>
      <c r="BK122" s="0" t="s">
        <v>1530</v>
      </c>
    </row>
    <row r="123">
      <c r="A123" s="0">
        <v>4627</v>
      </c>
      <c r="B123" s="0" t="s">
        <v>1531</v>
      </c>
      <c r="C123" s="0" t="s">
        <v>315</v>
      </c>
      <c r="D123" s="0" t="s">
        <v>1200</v>
      </c>
      <c r="E123" s="0" t="s">
        <v>1532</v>
      </c>
      <c r="F123" s="0">
        <v>1</v>
      </c>
      <c r="G123" s="0" t="s">
        <v>555</v>
      </c>
      <c r="H123" s="0" t="s">
        <v>1343</v>
      </c>
      <c r="I123" s="0" t="s">
        <v>549</v>
      </c>
      <c r="J123" s="0" t="s">
        <v>293</v>
      </c>
      <c r="K123" s="0" t="s">
        <v>294</v>
      </c>
      <c r="L123" s="0" t="s">
        <v>918</v>
      </c>
      <c r="P123" s="0" t="s">
        <v>1191</v>
      </c>
      <c r="Q123" s="0" t="s">
        <v>1191</v>
      </c>
      <c r="R123" s="0" t="s">
        <v>324</v>
      </c>
      <c r="T123" s="0" t="s">
        <v>1533</v>
      </c>
      <c r="U123" s="0" t="s">
        <v>1534</v>
      </c>
      <c r="W123" s="0" t="s">
        <v>1194</v>
      </c>
      <c r="X123" s="0" t="s">
        <v>347</v>
      </c>
      <c r="Y123" s="0" t="s">
        <v>75</v>
      </c>
      <c r="Z123" s="0" t="s">
        <v>1195</v>
      </c>
      <c r="AA123" s="0" t="s">
        <v>198</v>
      </c>
      <c r="AB123" s="0" t="s">
        <v>531</v>
      </c>
      <c r="AC123" s="0" t="s">
        <v>532</v>
      </c>
      <c r="AE123" s="0" t="s">
        <v>1196</v>
      </c>
      <c r="AF123" s="0" t="s">
        <v>301</v>
      </c>
      <c r="AP123" s="0" t="s">
        <v>305</v>
      </c>
      <c r="BA123" s="0">
        <v>451</v>
      </c>
      <c r="BB123" s="0" t="s">
        <v>232</v>
      </c>
      <c r="BC123" s="0">
        <v>2</v>
      </c>
      <c r="BD123" s="0">
        <v>374043</v>
      </c>
      <c r="BE123" s="0">
        <v>90875</v>
      </c>
      <c r="BF123" s="0">
        <v>4</v>
      </c>
      <c r="BG123" s="0" t="s">
        <v>1535</v>
      </c>
      <c r="BI123" s="0">
        <v>4285</v>
      </c>
      <c r="BK123" s="0" t="s">
        <v>1536</v>
      </c>
    </row>
    <row r="124">
      <c r="A124" s="0">
        <v>4641</v>
      </c>
      <c r="B124" s="0" t="s">
        <v>1537</v>
      </c>
      <c r="C124" s="0" t="s">
        <v>339</v>
      </c>
      <c r="D124" s="0" t="s">
        <v>1538</v>
      </c>
      <c r="E124" s="0" t="s">
        <v>1539</v>
      </c>
      <c r="F124" s="0">
        <v>1</v>
      </c>
      <c r="G124" s="0" t="s">
        <v>319</v>
      </c>
      <c r="H124" s="0" t="s">
        <v>1540</v>
      </c>
      <c r="I124" s="0" t="s">
        <v>1268</v>
      </c>
      <c r="J124" s="0" t="s">
        <v>508</v>
      </c>
      <c r="L124" s="0" t="s">
        <v>1268</v>
      </c>
      <c r="P124" s="0" t="s">
        <v>1191</v>
      </c>
      <c r="Q124" s="0" t="s">
        <v>1191</v>
      </c>
      <c r="R124" s="0" t="s">
        <v>1541</v>
      </c>
      <c r="T124" s="0" t="s">
        <v>1542</v>
      </c>
      <c r="U124" s="0" t="s">
        <v>1543</v>
      </c>
      <c r="W124" s="0" t="s">
        <v>1194</v>
      </c>
      <c r="X124" s="0" t="s">
        <v>529</v>
      </c>
      <c r="Y124" s="0" t="s">
        <v>75</v>
      </c>
      <c r="Z124" s="0" t="s">
        <v>1195</v>
      </c>
      <c r="AA124" s="0" t="s">
        <v>198</v>
      </c>
      <c r="AB124" s="0" t="s">
        <v>531</v>
      </c>
      <c r="AC124" s="0" t="s">
        <v>532</v>
      </c>
      <c r="AE124" s="0" t="s">
        <v>1196</v>
      </c>
      <c r="AF124" s="0" t="s">
        <v>301</v>
      </c>
      <c r="AM124" s="0" t="s">
        <v>333</v>
      </c>
      <c r="AN124" s="0" t="s">
        <v>1066</v>
      </c>
      <c r="AO124" s="0" t="s">
        <v>303</v>
      </c>
      <c r="AP124" s="0" t="s">
        <v>305</v>
      </c>
      <c r="AS124" s="0">
        <v>50</v>
      </c>
      <c r="AT124" s="0">
        <v>106</v>
      </c>
      <c r="AU124" s="0">
        <v>108</v>
      </c>
      <c r="AV124" s="0" t="s">
        <v>332</v>
      </c>
      <c r="AW124" s="0" t="s">
        <v>332</v>
      </c>
      <c r="AX124" s="0" t="s">
        <v>1298</v>
      </c>
      <c r="AY124" s="0" t="s">
        <v>304</v>
      </c>
      <c r="AZ124" s="0" t="s">
        <v>763</v>
      </c>
      <c r="BA124" s="0">
        <v>451</v>
      </c>
      <c r="BB124" s="0" t="s">
        <v>232</v>
      </c>
      <c r="BC124" s="0">
        <v>2</v>
      </c>
      <c r="BD124" s="0">
        <v>8</v>
      </c>
      <c r="BE124" s="0">
        <v>90875</v>
      </c>
      <c r="BF124" s="0">
        <v>2</v>
      </c>
      <c r="BG124" s="0" t="s">
        <v>1544</v>
      </c>
      <c r="BI124" s="0">
        <v>4769</v>
      </c>
      <c r="BK124" s="0" t="s">
        <v>1545</v>
      </c>
    </row>
    <row r="125">
      <c r="A125" s="0">
        <v>5101</v>
      </c>
      <c r="B125" s="0" t="s">
        <v>1546</v>
      </c>
      <c r="C125" s="0" t="s">
        <v>315</v>
      </c>
      <c r="D125" s="0" t="s">
        <v>1230</v>
      </c>
      <c r="E125" s="0" t="s">
        <v>1547</v>
      </c>
      <c r="F125" s="0">
        <v>2</v>
      </c>
      <c r="G125" s="0" t="s">
        <v>319</v>
      </c>
      <c r="H125" s="0" t="s">
        <v>1548</v>
      </c>
      <c r="I125" s="0" t="s">
        <v>1549</v>
      </c>
      <c r="J125" s="0" t="s">
        <v>508</v>
      </c>
      <c r="P125" s="0" t="s">
        <v>343</v>
      </c>
      <c r="Q125" s="0" t="s">
        <v>343</v>
      </c>
      <c r="T125" s="0" t="s">
        <v>1550</v>
      </c>
      <c r="U125" s="0" t="s">
        <v>1551</v>
      </c>
      <c r="W125" s="0" t="s">
        <v>1194</v>
      </c>
      <c r="X125" s="0" t="s">
        <v>347</v>
      </c>
      <c r="Y125" s="0" t="s">
        <v>75</v>
      </c>
      <c r="Z125" s="0" t="s">
        <v>1195</v>
      </c>
      <c r="AA125" s="0" t="s">
        <v>198</v>
      </c>
      <c r="AB125" s="0" t="s">
        <v>531</v>
      </c>
      <c r="AC125" s="0" t="s">
        <v>532</v>
      </c>
      <c r="AE125" s="0" t="s">
        <v>1196</v>
      </c>
      <c r="AF125" s="0" t="s">
        <v>301</v>
      </c>
      <c r="AP125" s="0" t="s">
        <v>305</v>
      </c>
      <c r="BA125" s="0">
        <v>451</v>
      </c>
      <c r="BB125" s="0" t="s">
        <v>232</v>
      </c>
      <c r="BC125" s="0">
        <v>2</v>
      </c>
      <c r="BD125" s="0">
        <v>374043</v>
      </c>
      <c r="BE125" s="0">
        <v>90875</v>
      </c>
      <c r="BF125" s="0">
        <v>4</v>
      </c>
      <c r="BG125" s="0" t="s">
        <v>1552</v>
      </c>
      <c r="BI125" s="0">
        <v>4956</v>
      </c>
      <c r="BK125" s="0" t="s">
        <v>1553</v>
      </c>
    </row>
    <row r="126">
      <c r="A126" s="0">
        <v>4633</v>
      </c>
      <c r="B126" s="0" t="s">
        <v>1554</v>
      </c>
      <c r="C126" s="0" t="s">
        <v>315</v>
      </c>
      <c r="D126" s="0" t="s">
        <v>1200</v>
      </c>
      <c r="E126" s="0" t="s">
        <v>1555</v>
      </c>
      <c r="F126" s="0">
        <v>1</v>
      </c>
      <c r="G126" s="0" t="s">
        <v>319</v>
      </c>
      <c r="H126" s="0" t="s">
        <v>1421</v>
      </c>
      <c r="I126" s="0" t="s">
        <v>1556</v>
      </c>
      <c r="J126" s="0" t="s">
        <v>293</v>
      </c>
      <c r="K126" s="0" t="s">
        <v>294</v>
      </c>
      <c r="L126" s="0" t="s">
        <v>295</v>
      </c>
      <c r="P126" s="0" t="s">
        <v>1191</v>
      </c>
      <c r="Q126" s="0" t="s">
        <v>1203</v>
      </c>
      <c r="R126" s="0" t="s">
        <v>1557</v>
      </c>
      <c r="T126" s="0" t="s">
        <v>1558</v>
      </c>
      <c r="U126" s="0" t="s">
        <v>1559</v>
      </c>
      <c r="W126" s="0" t="s">
        <v>1194</v>
      </c>
      <c r="X126" s="0" t="s">
        <v>347</v>
      </c>
      <c r="Y126" s="0" t="s">
        <v>75</v>
      </c>
      <c r="Z126" s="0" t="s">
        <v>1195</v>
      </c>
      <c r="AA126" s="0" t="s">
        <v>198</v>
      </c>
      <c r="AB126" s="0" t="s">
        <v>531</v>
      </c>
      <c r="AC126" s="0" t="s">
        <v>532</v>
      </c>
      <c r="AE126" s="0" t="s">
        <v>1196</v>
      </c>
      <c r="AF126" s="0" t="s">
        <v>301</v>
      </c>
      <c r="AP126" s="0" t="s">
        <v>305</v>
      </c>
      <c r="BA126" s="0">
        <v>451</v>
      </c>
      <c r="BB126" s="0" t="s">
        <v>232</v>
      </c>
      <c r="BC126" s="0">
        <v>2</v>
      </c>
      <c r="BD126" s="0">
        <v>374043</v>
      </c>
      <c r="BE126" s="0">
        <v>90875</v>
      </c>
      <c r="BF126" s="0">
        <v>4</v>
      </c>
      <c r="BG126" s="0" t="s">
        <v>1560</v>
      </c>
      <c r="BI126" s="0">
        <v>4601</v>
      </c>
      <c r="BK126" s="0" t="s">
        <v>1561</v>
      </c>
    </row>
    <row r="127">
      <c r="A127" s="0">
        <v>4826</v>
      </c>
      <c r="B127" s="0" t="s">
        <v>1562</v>
      </c>
      <c r="C127" s="0" t="s">
        <v>315</v>
      </c>
      <c r="D127" s="0" t="s">
        <v>1563</v>
      </c>
      <c r="E127" s="0" t="s">
        <v>1564</v>
      </c>
      <c r="F127" s="0">
        <v>1</v>
      </c>
      <c r="G127" s="0" t="s">
        <v>555</v>
      </c>
      <c r="H127" s="0" t="s">
        <v>1343</v>
      </c>
      <c r="I127" s="0" t="s">
        <v>549</v>
      </c>
      <c r="J127" s="0" t="s">
        <v>508</v>
      </c>
      <c r="K127" s="0" t="s">
        <v>1190</v>
      </c>
      <c r="L127" s="0" t="s">
        <v>469</v>
      </c>
      <c r="M127" s="0" t="s">
        <v>293</v>
      </c>
      <c r="N127" s="0" t="s">
        <v>294</v>
      </c>
      <c r="O127" s="0" t="s">
        <v>295</v>
      </c>
      <c r="P127" s="0" t="s">
        <v>1191</v>
      </c>
      <c r="Q127" s="0" t="s">
        <v>1191</v>
      </c>
      <c r="R127" s="0" t="s">
        <v>1232</v>
      </c>
      <c r="T127" s="0" t="s">
        <v>1565</v>
      </c>
      <c r="U127" s="0" t="s">
        <v>1566</v>
      </c>
      <c r="W127" s="0" t="s">
        <v>1194</v>
      </c>
      <c r="X127" s="0" t="s">
        <v>529</v>
      </c>
      <c r="Y127" s="0" t="s">
        <v>75</v>
      </c>
      <c r="Z127" s="0" t="s">
        <v>1195</v>
      </c>
      <c r="AA127" s="0" t="s">
        <v>198</v>
      </c>
      <c r="AB127" s="0" t="s">
        <v>531</v>
      </c>
      <c r="AC127" s="0" t="s">
        <v>532</v>
      </c>
      <c r="AE127" s="0" t="s">
        <v>1196</v>
      </c>
      <c r="AF127" s="0" t="s">
        <v>301</v>
      </c>
      <c r="AP127" s="0" t="s">
        <v>305</v>
      </c>
      <c r="BA127" s="0">
        <v>451</v>
      </c>
      <c r="BB127" s="0" t="s">
        <v>232</v>
      </c>
      <c r="BC127" s="0">
        <v>2</v>
      </c>
      <c r="BD127" s="0">
        <v>374043</v>
      </c>
      <c r="BE127" s="0">
        <v>90875</v>
      </c>
      <c r="BF127" s="0">
        <v>2</v>
      </c>
      <c r="BG127" s="0" t="s">
        <v>1567</v>
      </c>
      <c r="BI127" s="0">
        <v>4912</v>
      </c>
      <c r="BK127" s="0" t="s">
        <v>1568</v>
      </c>
    </row>
    <row r="128">
      <c r="A128" s="0">
        <v>5238</v>
      </c>
      <c r="B128" s="0" t="s">
        <v>1569</v>
      </c>
      <c r="C128" s="0" t="s">
        <v>339</v>
      </c>
      <c r="D128" s="0" t="s">
        <v>1570</v>
      </c>
      <c r="E128" s="0" t="s">
        <v>1571</v>
      </c>
      <c r="F128" s="0">
        <v>1</v>
      </c>
      <c r="G128" s="0" t="s">
        <v>543</v>
      </c>
      <c r="H128" s="0" t="s">
        <v>593</v>
      </c>
      <c r="I128" s="0" t="s">
        <v>1378</v>
      </c>
      <c r="J128" s="0" t="s">
        <v>293</v>
      </c>
      <c r="K128" s="0" t="s">
        <v>294</v>
      </c>
      <c r="L128" s="0" t="s">
        <v>295</v>
      </c>
      <c r="M128" s="0" t="s">
        <v>594</v>
      </c>
      <c r="P128" s="0" t="s">
        <v>323</v>
      </c>
      <c r="Q128" s="0" t="s">
        <v>343</v>
      </c>
      <c r="R128" s="0" t="s">
        <v>1572</v>
      </c>
      <c r="U128" s="0" t="s">
        <v>1573</v>
      </c>
      <c r="W128" s="0" t="s">
        <v>1194</v>
      </c>
      <c r="X128" s="0" t="s">
        <v>529</v>
      </c>
      <c r="Y128" s="0" t="s">
        <v>75</v>
      </c>
      <c r="Z128" s="0" t="s">
        <v>1195</v>
      </c>
      <c r="AA128" s="0" t="s">
        <v>198</v>
      </c>
      <c r="AB128" s="0" t="s">
        <v>531</v>
      </c>
      <c r="AC128" s="0" t="s">
        <v>532</v>
      </c>
      <c r="AE128" s="0" t="s">
        <v>1196</v>
      </c>
      <c r="AF128" s="0" t="s">
        <v>301</v>
      </c>
      <c r="AM128" s="0" t="s">
        <v>1574</v>
      </c>
      <c r="AN128" s="0" t="s">
        <v>1066</v>
      </c>
      <c r="AO128" s="0" t="s">
        <v>387</v>
      </c>
      <c r="AP128" s="0" t="s">
        <v>305</v>
      </c>
      <c r="AQ128" s="0" t="s">
        <v>1575</v>
      </c>
      <c r="AR128" s="0" t="s">
        <v>1182</v>
      </c>
      <c r="AS128" s="0">
        <v>119</v>
      </c>
      <c r="AT128" s="0">
        <v>252</v>
      </c>
      <c r="AU128" s="0">
        <v>288</v>
      </c>
      <c r="AV128" s="0" t="s">
        <v>332</v>
      </c>
      <c r="AX128" s="0" t="s">
        <v>349</v>
      </c>
      <c r="AY128" s="0" t="s">
        <v>304</v>
      </c>
      <c r="AZ128" s="0" t="s">
        <v>1473</v>
      </c>
      <c r="BA128" s="0">
        <v>451</v>
      </c>
      <c r="BB128" s="0" t="s">
        <v>232</v>
      </c>
      <c r="BC128" s="0">
        <v>2</v>
      </c>
      <c r="BD128" s="0">
        <v>8</v>
      </c>
      <c r="BE128" s="0">
        <v>90875</v>
      </c>
      <c r="BF128" s="0">
        <v>2</v>
      </c>
      <c r="BG128" s="0" t="s">
        <v>1576</v>
      </c>
      <c r="BI128" s="0">
        <v>4981</v>
      </c>
      <c r="BK128" s="0" t="s">
        <v>1577</v>
      </c>
    </row>
    <row r="129">
      <c r="A129" s="0">
        <v>5237</v>
      </c>
      <c r="B129" s="0" t="s">
        <v>1578</v>
      </c>
      <c r="C129" s="0" t="s">
        <v>339</v>
      </c>
      <c r="D129" s="0" t="s">
        <v>1570</v>
      </c>
      <c r="E129" s="0" t="s">
        <v>1579</v>
      </c>
      <c r="F129" s="0">
        <v>1</v>
      </c>
      <c r="G129" s="0" t="s">
        <v>543</v>
      </c>
      <c r="H129" s="0" t="s">
        <v>593</v>
      </c>
      <c r="I129" s="0" t="s">
        <v>1378</v>
      </c>
      <c r="J129" s="0" t="s">
        <v>293</v>
      </c>
      <c r="K129" s="0" t="s">
        <v>294</v>
      </c>
      <c r="L129" s="0" t="s">
        <v>295</v>
      </c>
      <c r="M129" s="0" t="s">
        <v>594</v>
      </c>
      <c r="P129" s="0" t="s">
        <v>323</v>
      </c>
      <c r="Q129" s="0" t="s">
        <v>343</v>
      </c>
      <c r="R129" s="0" t="s">
        <v>1572</v>
      </c>
      <c r="U129" s="0" t="s">
        <v>1580</v>
      </c>
      <c r="W129" s="0" t="s">
        <v>1194</v>
      </c>
      <c r="X129" s="0" t="s">
        <v>529</v>
      </c>
      <c r="Y129" s="0" t="s">
        <v>75</v>
      </c>
      <c r="Z129" s="0" t="s">
        <v>1195</v>
      </c>
      <c r="AA129" s="0" t="s">
        <v>198</v>
      </c>
      <c r="AB129" s="0" t="s">
        <v>531</v>
      </c>
      <c r="AC129" s="0" t="s">
        <v>532</v>
      </c>
      <c r="AE129" s="0" t="s">
        <v>1196</v>
      </c>
      <c r="AF129" s="0" t="s">
        <v>301</v>
      </c>
      <c r="AM129" s="0" t="s">
        <v>629</v>
      </c>
      <c r="AN129" s="0" t="s">
        <v>781</v>
      </c>
      <c r="AO129" s="0" t="s">
        <v>762</v>
      </c>
      <c r="AP129" s="0" t="s">
        <v>305</v>
      </c>
      <c r="AQ129" s="0" t="s">
        <v>1581</v>
      </c>
      <c r="AR129" s="0" t="s">
        <v>476</v>
      </c>
      <c r="AS129" s="0">
        <v>24</v>
      </c>
      <c r="AT129" s="0">
        <v>48</v>
      </c>
      <c r="AU129" s="0">
        <v>48</v>
      </c>
      <c r="AV129" s="0" t="s">
        <v>332</v>
      </c>
      <c r="AX129" s="0" t="s">
        <v>1582</v>
      </c>
      <c r="AY129" s="0" t="s">
        <v>1583</v>
      </c>
      <c r="AZ129" s="0" t="s">
        <v>1584</v>
      </c>
      <c r="BA129" s="0">
        <v>451</v>
      </c>
      <c r="BB129" s="0" t="s">
        <v>232</v>
      </c>
      <c r="BC129" s="0">
        <v>2</v>
      </c>
      <c r="BD129" s="0">
        <v>8</v>
      </c>
      <c r="BE129" s="0">
        <v>90875</v>
      </c>
      <c r="BF129" s="0">
        <v>2</v>
      </c>
      <c r="BG129" s="0" t="s">
        <v>1585</v>
      </c>
      <c r="BI129" s="0">
        <v>4968</v>
      </c>
      <c r="BK129" s="0" t="s">
        <v>1586</v>
      </c>
    </row>
    <row r="130">
      <c r="A130" s="0">
        <v>4643</v>
      </c>
      <c r="B130" s="0" t="s">
        <v>1587</v>
      </c>
      <c r="C130" s="0" t="s">
        <v>339</v>
      </c>
      <c r="D130" s="0" t="s">
        <v>1588</v>
      </c>
      <c r="E130" s="0" t="s">
        <v>1589</v>
      </c>
      <c r="F130" s="0">
        <v>1</v>
      </c>
      <c r="G130" s="0" t="s">
        <v>400</v>
      </c>
      <c r="H130" s="0" t="s">
        <v>400</v>
      </c>
      <c r="I130" s="0" t="s">
        <v>1133</v>
      </c>
      <c r="J130" s="0" t="s">
        <v>1590</v>
      </c>
      <c r="L130" s="0" t="s">
        <v>1591</v>
      </c>
      <c r="P130" s="0" t="s">
        <v>1592</v>
      </c>
      <c r="Q130" s="0" t="s">
        <v>1592</v>
      </c>
      <c r="R130" s="0" t="s">
        <v>1591</v>
      </c>
      <c r="U130" s="0" t="s">
        <v>1593</v>
      </c>
      <c r="W130" s="0" t="s">
        <v>1594</v>
      </c>
      <c r="X130" s="0" t="s">
        <v>347</v>
      </c>
      <c r="Y130" s="0" t="s">
        <v>181</v>
      </c>
      <c r="Z130" s="0" t="s">
        <v>1595</v>
      </c>
      <c r="AA130" s="0" t="s">
        <v>197</v>
      </c>
      <c r="AB130" s="0" t="s">
        <v>300</v>
      </c>
      <c r="AF130" s="0" t="s">
        <v>301</v>
      </c>
      <c r="AM130" s="0" t="s">
        <v>1596</v>
      </c>
      <c r="AN130" s="0" t="s">
        <v>1597</v>
      </c>
      <c r="AO130" s="0" t="s">
        <v>1598</v>
      </c>
      <c r="AP130" s="0" t="s">
        <v>305</v>
      </c>
      <c r="AQ130" s="0" t="s">
        <v>1599</v>
      </c>
      <c r="AR130" s="0" t="s">
        <v>1271</v>
      </c>
      <c r="AS130" s="0">
        <v>24</v>
      </c>
      <c r="AT130" s="0">
        <v>56</v>
      </c>
      <c r="AU130" s="0">
        <v>80</v>
      </c>
      <c r="AV130" s="0" t="s">
        <v>1600</v>
      </c>
      <c r="AW130" s="0" t="s">
        <v>332</v>
      </c>
      <c r="AX130" s="0" t="s">
        <v>371</v>
      </c>
      <c r="AY130" s="0" t="s">
        <v>474</v>
      </c>
      <c r="AZ130" s="0" t="s">
        <v>371</v>
      </c>
      <c r="BA130" s="0">
        <v>454</v>
      </c>
      <c r="BB130" s="0" t="s">
        <v>232</v>
      </c>
      <c r="BC130" s="0">
        <v>2</v>
      </c>
      <c r="BD130" s="0">
        <v>8</v>
      </c>
      <c r="BE130" s="0">
        <v>334</v>
      </c>
      <c r="BF130" s="0">
        <v>4</v>
      </c>
      <c r="BG130" s="0" t="s">
        <v>1601</v>
      </c>
      <c r="BI130" s="0">
        <v>747</v>
      </c>
      <c r="BK130" s="0" t="s">
        <v>1602</v>
      </c>
    </row>
    <row r="131">
      <c r="A131" s="0">
        <v>4642</v>
      </c>
      <c r="B131" s="0" t="s">
        <v>1603</v>
      </c>
      <c r="C131" s="0" t="s">
        <v>290</v>
      </c>
      <c r="D131" s="0" t="s">
        <v>1588</v>
      </c>
      <c r="E131" s="0" t="s">
        <v>1604</v>
      </c>
      <c r="F131" s="0">
        <v>1</v>
      </c>
      <c r="G131" s="0" t="s">
        <v>293</v>
      </c>
      <c r="H131" s="0" t="s">
        <v>294</v>
      </c>
      <c r="I131" s="0" t="s">
        <v>295</v>
      </c>
      <c r="P131" s="0" t="s">
        <v>343</v>
      </c>
      <c r="Q131" s="0" t="s">
        <v>343</v>
      </c>
      <c r="U131" s="0" t="s">
        <v>1605</v>
      </c>
      <c r="W131" s="0" t="s">
        <v>1594</v>
      </c>
      <c r="X131" s="0" t="s">
        <v>347</v>
      </c>
      <c r="Y131" s="0" t="s">
        <v>181</v>
      </c>
      <c r="Z131" s="0" t="s">
        <v>1595</v>
      </c>
      <c r="AA131" s="0" t="s">
        <v>197</v>
      </c>
      <c r="AB131" s="0" t="s">
        <v>300</v>
      </c>
      <c r="AF131" s="0" t="s">
        <v>301</v>
      </c>
      <c r="AP131" s="0" t="s">
        <v>305</v>
      </c>
      <c r="BA131" s="0">
        <v>454</v>
      </c>
      <c r="BB131" s="0" t="s">
        <v>232</v>
      </c>
      <c r="BC131" s="0">
        <v>2</v>
      </c>
      <c r="BD131" s="0">
        <v>374053</v>
      </c>
      <c r="BE131" s="0">
        <v>334</v>
      </c>
      <c r="BF131" s="0">
        <v>4</v>
      </c>
      <c r="BG131" s="0" t="s">
        <v>1606</v>
      </c>
      <c r="BI131" s="0">
        <v>342</v>
      </c>
      <c r="BK131" s="0" t="s">
        <v>1607</v>
      </c>
    </row>
    <row r="132">
      <c r="A132" s="0">
        <v>4646</v>
      </c>
      <c r="B132" s="0" t="s">
        <v>1608</v>
      </c>
      <c r="C132" s="0" t="s">
        <v>656</v>
      </c>
      <c r="D132" s="0" t="s">
        <v>1194</v>
      </c>
      <c r="E132" s="0" t="s">
        <v>1609</v>
      </c>
      <c r="F132" s="0">
        <v>1</v>
      </c>
      <c r="G132" s="0" t="s">
        <v>293</v>
      </c>
      <c r="H132" s="0" t="s">
        <v>294</v>
      </c>
      <c r="I132" s="0" t="s">
        <v>918</v>
      </c>
      <c r="P132" s="0" t="s">
        <v>1610</v>
      </c>
      <c r="Q132" s="0" t="s">
        <v>1611</v>
      </c>
      <c r="R132" s="0" t="s">
        <v>1612</v>
      </c>
      <c r="T132" s="0" t="s">
        <v>1613</v>
      </c>
      <c r="U132" s="0" t="s">
        <v>1614</v>
      </c>
      <c r="X132" s="0" t="s">
        <v>347</v>
      </c>
      <c r="Y132" s="0" t="s">
        <v>38</v>
      </c>
      <c r="Z132" s="0" t="s">
        <v>1615</v>
      </c>
      <c r="AA132" s="0" t="s">
        <v>199</v>
      </c>
      <c r="AB132" s="0" t="s">
        <v>531</v>
      </c>
      <c r="AF132" s="0" t="s">
        <v>301</v>
      </c>
      <c r="AP132" s="0" t="s">
        <v>305</v>
      </c>
      <c r="BA132" s="0">
        <v>455</v>
      </c>
      <c r="BB132" s="0" t="s">
        <v>232</v>
      </c>
      <c r="BC132" s="0">
        <v>2</v>
      </c>
      <c r="BD132" s="0">
        <v>10</v>
      </c>
      <c r="BE132" s="0">
        <v>519332</v>
      </c>
      <c r="BF132" s="0">
        <v>4</v>
      </c>
      <c r="BG132" s="0" t="s">
        <v>1616</v>
      </c>
      <c r="BI132" s="0">
        <v>1082</v>
      </c>
      <c r="BK132" s="0" t="s">
        <v>1617</v>
      </c>
    </row>
    <row r="133">
      <c r="A133" s="0">
        <v>4647</v>
      </c>
      <c r="B133" s="0" t="s">
        <v>1618</v>
      </c>
      <c r="C133" s="0" t="s">
        <v>315</v>
      </c>
      <c r="D133" s="0" t="s">
        <v>1194</v>
      </c>
      <c r="E133" s="0" t="s">
        <v>1619</v>
      </c>
      <c r="F133" s="0">
        <v>1</v>
      </c>
      <c r="G133" s="0" t="s">
        <v>319</v>
      </c>
      <c r="H133" s="0" t="s">
        <v>398</v>
      </c>
      <c r="I133" s="0" t="s">
        <v>471</v>
      </c>
      <c r="J133" s="0" t="s">
        <v>293</v>
      </c>
      <c r="K133" s="0" t="s">
        <v>294</v>
      </c>
      <c r="L133" s="0" t="s">
        <v>295</v>
      </c>
      <c r="M133" s="0" t="s">
        <v>525</v>
      </c>
      <c r="N133" s="0" t="s">
        <v>508</v>
      </c>
      <c r="O133" s="0" t="s">
        <v>469</v>
      </c>
      <c r="P133" s="0" t="s">
        <v>1610</v>
      </c>
      <c r="Q133" s="0" t="s">
        <v>1611</v>
      </c>
      <c r="R133" s="0" t="s">
        <v>1620</v>
      </c>
      <c r="T133" s="0" t="s">
        <v>1621</v>
      </c>
      <c r="U133" s="0" t="s">
        <v>1622</v>
      </c>
      <c r="X133" s="0" t="s">
        <v>347</v>
      </c>
      <c r="Y133" s="0" t="s">
        <v>38</v>
      </c>
      <c r="Z133" s="0" t="s">
        <v>1615</v>
      </c>
      <c r="AA133" s="0" t="s">
        <v>199</v>
      </c>
      <c r="AB133" s="0" t="s">
        <v>531</v>
      </c>
      <c r="AF133" s="0" t="s">
        <v>301</v>
      </c>
      <c r="AP133" s="0" t="s">
        <v>305</v>
      </c>
      <c r="BA133" s="0">
        <v>455</v>
      </c>
      <c r="BB133" s="0" t="s">
        <v>232</v>
      </c>
      <c r="BC133" s="0">
        <v>2</v>
      </c>
      <c r="BD133" s="0">
        <v>374043</v>
      </c>
      <c r="BE133" s="0">
        <v>519332</v>
      </c>
      <c r="BF133" s="0">
        <v>4</v>
      </c>
      <c r="BG133" s="0" t="s">
        <v>1623</v>
      </c>
      <c r="BI133" s="0">
        <v>1392</v>
      </c>
      <c r="BK133" s="0" t="s">
        <v>1624</v>
      </c>
    </row>
    <row r="134">
      <c r="A134" s="0">
        <v>4644</v>
      </c>
      <c r="B134" s="0" t="s">
        <v>1625</v>
      </c>
      <c r="C134" s="0" t="s">
        <v>656</v>
      </c>
      <c r="D134" s="0" t="s">
        <v>1194</v>
      </c>
      <c r="E134" s="0" t="s">
        <v>1626</v>
      </c>
      <c r="F134" s="0">
        <v>1</v>
      </c>
      <c r="G134" s="0" t="s">
        <v>293</v>
      </c>
      <c r="H134" s="0" t="s">
        <v>294</v>
      </c>
      <c r="I134" s="0" t="s">
        <v>860</v>
      </c>
      <c r="P134" s="0" t="s">
        <v>1627</v>
      </c>
      <c r="Q134" s="0" t="s">
        <v>1611</v>
      </c>
      <c r="R134" s="0" t="s">
        <v>1628</v>
      </c>
      <c r="T134" s="0" t="s">
        <v>1629</v>
      </c>
      <c r="U134" s="0" t="s">
        <v>1630</v>
      </c>
      <c r="X134" s="0" t="s">
        <v>347</v>
      </c>
      <c r="Y134" s="0" t="s">
        <v>38</v>
      </c>
      <c r="Z134" s="0" t="s">
        <v>1615</v>
      </c>
      <c r="AA134" s="0" t="s">
        <v>199</v>
      </c>
      <c r="AB134" s="0" t="s">
        <v>531</v>
      </c>
      <c r="AF134" s="0" t="s">
        <v>301</v>
      </c>
      <c r="AP134" s="0" t="s">
        <v>305</v>
      </c>
      <c r="BA134" s="0">
        <v>455</v>
      </c>
      <c r="BB134" s="0" t="s">
        <v>232</v>
      </c>
      <c r="BC134" s="0">
        <v>2</v>
      </c>
      <c r="BD134" s="0">
        <v>10</v>
      </c>
      <c r="BE134" s="0">
        <v>519332</v>
      </c>
      <c r="BF134" s="0">
        <v>4</v>
      </c>
      <c r="BG134" s="0" t="s">
        <v>1631</v>
      </c>
      <c r="BI134" s="0">
        <v>340</v>
      </c>
      <c r="BK134" s="0" t="s">
        <v>1632</v>
      </c>
    </row>
    <row r="135">
      <c r="A135" s="0">
        <v>4645</v>
      </c>
      <c r="B135" s="0" t="s">
        <v>1633</v>
      </c>
      <c r="C135" s="0" t="s">
        <v>945</v>
      </c>
      <c r="D135" s="0" t="s">
        <v>1194</v>
      </c>
      <c r="E135" s="0" t="s">
        <v>1634</v>
      </c>
      <c r="F135" s="0">
        <v>1</v>
      </c>
      <c r="G135" s="0" t="s">
        <v>555</v>
      </c>
      <c r="H135" s="0" t="s">
        <v>593</v>
      </c>
      <c r="I135" s="0" t="s">
        <v>549</v>
      </c>
      <c r="J135" s="0" t="s">
        <v>525</v>
      </c>
      <c r="K135" s="0" t="s">
        <v>508</v>
      </c>
      <c r="L135" s="0" t="s">
        <v>705</v>
      </c>
      <c r="P135" s="0" t="s">
        <v>1610</v>
      </c>
      <c r="Q135" s="0" t="s">
        <v>1611</v>
      </c>
      <c r="R135" s="0" t="s">
        <v>661</v>
      </c>
      <c r="T135" s="0" t="s">
        <v>1629</v>
      </c>
      <c r="U135" s="0" t="s">
        <v>1635</v>
      </c>
      <c r="X135" s="0" t="s">
        <v>347</v>
      </c>
      <c r="Y135" s="0" t="s">
        <v>38</v>
      </c>
      <c r="Z135" s="0" t="s">
        <v>1615</v>
      </c>
      <c r="AA135" s="0" t="s">
        <v>199</v>
      </c>
      <c r="AB135" s="0" t="s">
        <v>531</v>
      </c>
      <c r="AF135" s="0" t="s">
        <v>301</v>
      </c>
      <c r="AP135" s="0" t="s">
        <v>305</v>
      </c>
      <c r="BA135" s="0">
        <v>455</v>
      </c>
      <c r="BB135" s="0" t="s">
        <v>232</v>
      </c>
      <c r="BC135" s="0">
        <v>2</v>
      </c>
      <c r="BD135" s="0">
        <v>14</v>
      </c>
      <c r="BE135" s="0">
        <v>519332</v>
      </c>
      <c r="BF135" s="0">
        <v>4</v>
      </c>
      <c r="BG135" s="0" t="s">
        <v>1636</v>
      </c>
      <c r="BI135" s="0">
        <v>746</v>
      </c>
      <c r="BK135" s="0" t="s">
        <v>1637</v>
      </c>
    </row>
    <row r="136">
      <c r="A136" s="0">
        <v>4655</v>
      </c>
      <c r="B136" s="0" t="s">
        <v>1638</v>
      </c>
      <c r="C136" s="0" t="s">
        <v>315</v>
      </c>
      <c r="D136" s="0" t="s">
        <v>1594</v>
      </c>
      <c r="E136" s="0" t="s">
        <v>1639</v>
      </c>
      <c r="F136" s="0">
        <v>1</v>
      </c>
      <c r="G136" s="0" t="s">
        <v>319</v>
      </c>
      <c r="H136" s="0" t="s">
        <v>483</v>
      </c>
      <c r="I136" s="0" t="s">
        <v>524</v>
      </c>
      <c r="J136" s="0" t="s">
        <v>293</v>
      </c>
      <c r="K136" s="0" t="s">
        <v>294</v>
      </c>
      <c r="L136" s="0" t="s">
        <v>295</v>
      </c>
      <c r="T136" s="0" t="s">
        <v>1640</v>
      </c>
      <c r="U136" s="0" t="s">
        <v>1641</v>
      </c>
      <c r="W136" s="0" t="s">
        <v>1167</v>
      </c>
      <c r="X136" s="0" t="s">
        <v>529</v>
      </c>
      <c r="Y136" s="0" t="s">
        <v>195</v>
      </c>
      <c r="Z136" s="0" t="s">
        <v>299</v>
      </c>
      <c r="AA136" s="0" t="s">
        <v>194</v>
      </c>
      <c r="AB136" s="0" t="s">
        <v>531</v>
      </c>
      <c r="AD136" s="0" t="s">
        <v>1642</v>
      </c>
      <c r="AF136" s="0" t="s">
        <v>301</v>
      </c>
      <c r="AP136" s="0" t="s">
        <v>305</v>
      </c>
      <c r="BA136" s="0">
        <v>456</v>
      </c>
      <c r="BB136" s="0" t="s">
        <v>232</v>
      </c>
      <c r="BC136" s="0">
        <v>2</v>
      </c>
      <c r="BD136" s="0">
        <v>374043</v>
      </c>
      <c r="BE136" s="0">
        <v>519081</v>
      </c>
      <c r="BF136" s="0">
        <v>2</v>
      </c>
      <c r="BG136" s="0" t="s">
        <v>1643</v>
      </c>
      <c r="BI136" s="0">
        <v>2140</v>
      </c>
      <c r="BK136" s="0" t="s">
        <v>1644</v>
      </c>
    </row>
    <row r="137">
      <c r="A137" s="0">
        <v>4664</v>
      </c>
      <c r="B137" s="0" t="s">
        <v>1645</v>
      </c>
      <c r="C137" s="0" t="s">
        <v>290</v>
      </c>
      <c r="D137" s="0" t="s">
        <v>1594</v>
      </c>
      <c r="E137" s="0" t="s">
        <v>1639</v>
      </c>
      <c r="F137" s="0">
        <v>1</v>
      </c>
      <c r="G137" s="0" t="s">
        <v>293</v>
      </c>
      <c r="H137" s="0" t="s">
        <v>294</v>
      </c>
      <c r="I137" s="0" t="s">
        <v>295</v>
      </c>
      <c r="J137" s="0" t="s">
        <v>319</v>
      </c>
      <c r="K137" s="0" t="s">
        <v>483</v>
      </c>
      <c r="L137" s="0" t="s">
        <v>524</v>
      </c>
      <c r="T137" s="0" t="s">
        <v>1646</v>
      </c>
      <c r="U137" s="0" t="s">
        <v>1647</v>
      </c>
      <c r="W137" s="0" t="s">
        <v>1167</v>
      </c>
      <c r="X137" s="0" t="s">
        <v>529</v>
      </c>
      <c r="Y137" s="0" t="s">
        <v>195</v>
      </c>
      <c r="Z137" s="0" t="s">
        <v>299</v>
      </c>
      <c r="AA137" s="0" t="s">
        <v>194</v>
      </c>
      <c r="AB137" s="0" t="s">
        <v>531</v>
      </c>
      <c r="AD137" s="0" t="s">
        <v>1642</v>
      </c>
      <c r="AF137" s="0" t="s">
        <v>301</v>
      </c>
      <c r="AP137" s="0" t="s">
        <v>305</v>
      </c>
      <c r="BA137" s="0">
        <v>456</v>
      </c>
      <c r="BB137" s="0" t="s">
        <v>232</v>
      </c>
      <c r="BC137" s="0">
        <v>2</v>
      </c>
      <c r="BD137" s="0">
        <v>374053</v>
      </c>
      <c r="BE137" s="0">
        <v>519081</v>
      </c>
      <c r="BF137" s="0">
        <v>2</v>
      </c>
      <c r="BG137" s="0" t="s">
        <v>1648</v>
      </c>
      <c r="BI137" s="0">
        <v>2554</v>
      </c>
      <c r="BK137" s="0" t="s">
        <v>1649</v>
      </c>
    </row>
    <row r="138">
      <c r="A138" s="0">
        <v>4652</v>
      </c>
      <c r="B138" s="0" t="s">
        <v>1650</v>
      </c>
      <c r="C138" s="0" t="s">
        <v>290</v>
      </c>
      <c r="D138" s="0" t="s">
        <v>1594</v>
      </c>
      <c r="E138" s="0" t="s">
        <v>1651</v>
      </c>
      <c r="F138" s="0">
        <v>1</v>
      </c>
      <c r="G138" s="0" t="s">
        <v>293</v>
      </c>
      <c r="H138" s="0" t="s">
        <v>294</v>
      </c>
      <c r="I138" s="0" t="s">
        <v>918</v>
      </c>
      <c r="T138" s="0" t="s">
        <v>1652</v>
      </c>
      <c r="U138" s="0" t="s">
        <v>1653</v>
      </c>
      <c r="W138" s="0" t="s">
        <v>1167</v>
      </c>
      <c r="X138" s="0" t="s">
        <v>529</v>
      </c>
      <c r="Y138" s="0" t="s">
        <v>195</v>
      </c>
      <c r="Z138" s="0" t="s">
        <v>299</v>
      </c>
      <c r="AA138" s="0" t="s">
        <v>194</v>
      </c>
      <c r="AB138" s="0" t="s">
        <v>531</v>
      </c>
      <c r="AD138" s="0" t="s">
        <v>1642</v>
      </c>
      <c r="AF138" s="0" t="s">
        <v>301</v>
      </c>
      <c r="AP138" s="0" t="s">
        <v>305</v>
      </c>
      <c r="BA138" s="0">
        <v>456</v>
      </c>
      <c r="BB138" s="0" t="s">
        <v>232</v>
      </c>
      <c r="BC138" s="0">
        <v>2</v>
      </c>
      <c r="BD138" s="0">
        <v>374053</v>
      </c>
      <c r="BE138" s="0">
        <v>519081</v>
      </c>
      <c r="BF138" s="0">
        <v>2</v>
      </c>
      <c r="BG138" s="0" t="s">
        <v>1654</v>
      </c>
      <c r="BI138" s="0">
        <v>1393</v>
      </c>
      <c r="BK138" s="0" t="s">
        <v>1655</v>
      </c>
    </row>
    <row r="139">
      <c r="A139" s="0">
        <v>4665</v>
      </c>
      <c r="B139" s="0" t="s">
        <v>1656</v>
      </c>
      <c r="C139" s="0" t="s">
        <v>339</v>
      </c>
      <c r="D139" s="0" t="s">
        <v>1594</v>
      </c>
      <c r="E139" s="0" t="s">
        <v>1657</v>
      </c>
      <c r="F139" s="0">
        <v>1</v>
      </c>
      <c r="G139" s="0" t="s">
        <v>319</v>
      </c>
      <c r="H139" s="0" t="s">
        <v>398</v>
      </c>
      <c r="I139" s="0" t="s">
        <v>471</v>
      </c>
      <c r="J139" s="0" t="s">
        <v>400</v>
      </c>
      <c r="P139" s="0" t="s">
        <v>451</v>
      </c>
      <c r="Q139" s="0" t="s">
        <v>451</v>
      </c>
      <c r="R139" s="0" t="s">
        <v>324</v>
      </c>
      <c r="T139" s="0" t="s">
        <v>1658</v>
      </c>
      <c r="U139" s="0" t="s">
        <v>1659</v>
      </c>
      <c r="W139" s="0" t="s">
        <v>1167</v>
      </c>
      <c r="X139" s="0" t="s">
        <v>347</v>
      </c>
      <c r="Y139" s="0" t="s">
        <v>195</v>
      </c>
      <c r="Z139" s="0" t="s">
        <v>299</v>
      </c>
      <c r="AA139" s="0" t="s">
        <v>194</v>
      </c>
      <c r="AB139" s="0" t="s">
        <v>531</v>
      </c>
      <c r="AD139" s="0" t="s">
        <v>1642</v>
      </c>
      <c r="AF139" s="0" t="s">
        <v>301</v>
      </c>
      <c r="AM139" s="0" t="s">
        <v>406</v>
      </c>
      <c r="AN139" s="0" t="s">
        <v>407</v>
      </c>
      <c r="AO139" s="0" t="s">
        <v>408</v>
      </c>
      <c r="AP139" s="0" t="s">
        <v>305</v>
      </c>
      <c r="AU139" s="0">
        <v>15</v>
      </c>
      <c r="AX139" s="0" t="s">
        <v>1660</v>
      </c>
      <c r="AY139" s="0" t="s">
        <v>1661</v>
      </c>
      <c r="AZ139" s="0" t="s">
        <v>1398</v>
      </c>
      <c r="BA139" s="0">
        <v>456</v>
      </c>
      <c r="BB139" s="0" t="s">
        <v>232</v>
      </c>
      <c r="BC139" s="0">
        <v>2</v>
      </c>
      <c r="BD139" s="0">
        <v>8</v>
      </c>
      <c r="BE139" s="0">
        <v>519081</v>
      </c>
      <c r="BF139" s="0">
        <v>4</v>
      </c>
      <c r="BG139" s="0" t="s">
        <v>1662</v>
      </c>
      <c r="BI139" s="0">
        <v>2731</v>
      </c>
      <c r="BK139" s="0" t="s">
        <v>1663</v>
      </c>
    </row>
    <row r="140">
      <c r="A140" s="0">
        <v>4666</v>
      </c>
      <c r="B140" s="0" t="s">
        <v>1664</v>
      </c>
      <c r="C140" s="0" t="s">
        <v>315</v>
      </c>
      <c r="D140" s="0" t="s">
        <v>1594</v>
      </c>
      <c r="E140" s="0" t="s">
        <v>1665</v>
      </c>
      <c r="F140" s="0">
        <v>1</v>
      </c>
      <c r="G140" s="0" t="s">
        <v>293</v>
      </c>
      <c r="H140" s="0" t="s">
        <v>294</v>
      </c>
      <c r="I140" s="0" t="s">
        <v>918</v>
      </c>
      <c r="J140" s="0" t="s">
        <v>319</v>
      </c>
      <c r="K140" s="0" t="s">
        <v>416</v>
      </c>
      <c r="L140" s="0" t="s">
        <v>1666</v>
      </c>
      <c r="P140" s="0" t="s">
        <v>1667</v>
      </c>
      <c r="R140" s="0" t="s">
        <v>1668</v>
      </c>
      <c r="T140" s="0" t="s">
        <v>1669</v>
      </c>
      <c r="U140" s="0" t="s">
        <v>1670</v>
      </c>
      <c r="W140" s="0" t="s">
        <v>1167</v>
      </c>
      <c r="X140" s="0" t="s">
        <v>529</v>
      </c>
      <c r="Y140" s="0" t="s">
        <v>195</v>
      </c>
      <c r="Z140" s="0" t="s">
        <v>299</v>
      </c>
      <c r="AA140" s="0" t="s">
        <v>194</v>
      </c>
      <c r="AB140" s="0" t="s">
        <v>531</v>
      </c>
      <c r="AD140" s="0" t="s">
        <v>1642</v>
      </c>
      <c r="AF140" s="0" t="s">
        <v>301</v>
      </c>
      <c r="AP140" s="0" t="s">
        <v>305</v>
      </c>
      <c r="BA140" s="0">
        <v>456</v>
      </c>
      <c r="BB140" s="0" t="s">
        <v>232</v>
      </c>
      <c r="BC140" s="0">
        <v>2</v>
      </c>
      <c r="BD140" s="0">
        <v>374043</v>
      </c>
      <c r="BE140" s="0">
        <v>519081</v>
      </c>
      <c r="BF140" s="0">
        <v>2</v>
      </c>
      <c r="BG140" s="0" t="s">
        <v>1671</v>
      </c>
      <c r="BI140" s="0">
        <v>2905</v>
      </c>
      <c r="BK140" s="0" t="s">
        <v>1672</v>
      </c>
    </row>
    <row r="141">
      <c r="A141" s="0">
        <v>4649</v>
      </c>
      <c r="B141" s="0" t="s">
        <v>1673</v>
      </c>
      <c r="C141" s="0" t="s">
        <v>339</v>
      </c>
      <c r="D141" s="0" t="s">
        <v>1594</v>
      </c>
      <c r="E141" s="0" t="s">
        <v>1674</v>
      </c>
      <c r="F141" s="0">
        <v>1</v>
      </c>
      <c r="G141" s="0" t="s">
        <v>319</v>
      </c>
      <c r="H141" s="0" t="s">
        <v>1675</v>
      </c>
      <c r="I141" s="0" t="s">
        <v>524</v>
      </c>
      <c r="J141" s="0" t="s">
        <v>400</v>
      </c>
      <c r="K141" s="0" t="s">
        <v>1190</v>
      </c>
      <c r="L141" s="0" t="s">
        <v>469</v>
      </c>
      <c r="P141" s="0" t="s">
        <v>343</v>
      </c>
      <c r="Q141" s="0" t="s">
        <v>343</v>
      </c>
      <c r="T141" s="0" t="s">
        <v>1676</v>
      </c>
      <c r="U141" s="0" t="s">
        <v>1677</v>
      </c>
      <c r="W141" s="0" t="s">
        <v>1167</v>
      </c>
      <c r="X141" s="0" t="s">
        <v>347</v>
      </c>
      <c r="Y141" s="0" t="s">
        <v>195</v>
      </c>
      <c r="Z141" s="0" t="s">
        <v>299</v>
      </c>
      <c r="AA141" s="0" t="s">
        <v>194</v>
      </c>
      <c r="AB141" s="0" t="s">
        <v>531</v>
      </c>
      <c r="AD141" s="0" t="s">
        <v>1642</v>
      </c>
      <c r="AF141" s="0" t="s">
        <v>301</v>
      </c>
      <c r="AP141" s="0" t="s">
        <v>305</v>
      </c>
      <c r="BA141" s="0">
        <v>456</v>
      </c>
      <c r="BB141" s="0" t="s">
        <v>232</v>
      </c>
      <c r="BC141" s="0">
        <v>2</v>
      </c>
      <c r="BD141" s="0">
        <v>8</v>
      </c>
      <c r="BE141" s="0">
        <v>519081</v>
      </c>
      <c r="BF141" s="0">
        <v>4</v>
      </c>
      <c r="BG141" s="0" t="s">
        <v>1678</v>
      </c>
      <c r="BI141" s="0">
        <v>344</v>
      </c>
      <c r="BK141" s="0" t="s">
        <v>1679</v>
      </c>
    </row>
    <row r="142">
      <c r="A142" s="0">
        <v>4650</v>
      </c>
      <c r="B142" s="0" t="s">
        <v>1680</v>
      </c>
      <c r="C142" s="0" t="s">
        <v>315</v>
      </c>
      <c r="D142" s="0" t="s">
        <v>1594</v>
      </c>
      <c r="E142" s="0" t="s">
        <v>1681</v>
      </c>
      <c r="F142" s="0">
        <v>1</v>
      </c>
      <c r="G142" s="0" t="s">
        <v>319</v>
      </c>
      <c r="H142" s="0" t="s">
        <v>416</v>
      </c>
      <c r="I142" s="0" t="s">
        <v>1682</v>
      </c>
      <c r="J142" s="0" t="s">
        <v>400</v>
      </c>
      <c r="K142" s="0" t="s">
        <v>1190</v>
      </c>
      <c r="L142" s="0" t="s">
        <v>1683</v>
      </c>
      <c r="M142" s="0" t="s">
        <v>759</v>
      </c>
      <c r="N142" s="0" t="s">
        <v>1684</v>
      </c>
      <c r="O142" s="0" t="s">
        <v>1685</v>
      </c>
      <c r="P142" s="0" t="s">
        <v>1667</v>
      </c>
      <c r="Q142" s="0" t="s">
        <v>1686</v>
      </c>
      <c r="R142" s="0" t="s">
        <v>344</v>
      </c>
      <c r="U142" s="0" t="s">
        <v>1687</v>
      </c>
      <c r="W142" s="0" t="s">
        <v>1167</v>
      </c>
      <c r="X142" s="0" t="s">
        <v>1688</v>
      </c>
      <c r="Y142" s="0" t="s">
        <v>195</v>
      </c>
      <c r="Z142" s="0" t="s">
        <v>299</v>
      </c>
      <c r="AA142" s="0" t="s">
        <v>194</v>
      </c>
      <c r="AB142" s="0" t="s">
        <v>531</v>
      </c>
      <c r="AD142" s="0" t="s">
        <v>1642</v>
      </c>
      <c r="AF142" s="0" t="s">
        <v>301</v>
      </c>
      <c r="AP142" s="0" t="s">
        <v>305</v>
      </c>
      <c r="BA142" s="0">
        <v>456</v>
      </c>
      <c r="BB142" s="0" t="s">
        <v>232</v>
      </c>
      <c r="BC142" s="0">
        <v>2</v>
      </c>
      <c r="BD142" s="0">
        <v>374043</v>
      </c>
      <c r="BE142" s="0">
        <v>519081</v>
      </c>
      <c r="BF142" s="0">
        <v>6</v>
      </c>
      <c r="BG142" s="0" t="s">
        <v>1689</v>
      </c>
      <c r="BI142" s="0">
        <v>749</v>
      </c>
      <c r="BK142" s="0" t="s">
        <v>1690</v>
      </c>
    </row>
    <row r="143">
      <c r="A143" s="0">
        <v>4653</v>
      </c>
      <c r="B143" s="0" t="s">
        <v>1691</v>
      </c>
      <c r="C143" s="0" t="s">
        <v>315</v>
      </c>
      <c r="D143" s="0" t="s">
        <v>1594</v>
      </c>
      <c r="E143" s="0" t="s">
        <v>1692</v>
      </c>
      <c r="F143" s="0">
        <v>1</v>
      </c>
      <c r="G143" s="0" t="s">
        <v>319</v>
      </c>
      <c r="H143" s="0" t="s">
        <v>1693</v>
      </c>
      <c r="I143" s="0" t="s">
        <v>1694</v>
      </c>
      <c r="J143" s="0" t="s">
        <v>400</v>
      </c>
      <c r="K143" s="0" t="s">
        <v>1190</v>
      </c>
      <c r="P143" s="0" t="s">
        <v>1667</v>
      </c>
      <c r="R143" s="0" t="s">
        <v>1695</v>
      </c>
      <c r="T143" s="0" t="s">
        <v>1696</v>
      </c>
      <c r="U143" s="0" t="s">
        <v>1697</v>
      </c>
      <c r="W143" s="0" t="s">
        <v>1167</v>
      </c>
      <c r="X143" s="0" t="s">
        <v>529</v>
      </c>
      <c r="Y143" s="0" t="s">
        <v>195</v>
      </c>
      <c r="Z143" s="0" t="s">
        <v>299</v>
      </c>
      <c r="AA143" s="0" t="s">
        <v>194</v>
      </c>
      <c r="AB143" s="0" t="s">
        <v>531</v>
      </c>
      <c r="AD143" s="0" t="s">
        <v>1642</v>
      </c>
      <c r="AF143" s="0" t="s">
        <v>301</v>
      </c>
      <c r="AP143" s="0" t="s">
        <v>305</v>
      </c>
      <c r="BA143" s="0">
        <v>456</v>
      </c>
      <c r="BB143" s="0" t="s">
        <v>232</v>
      </c>
      <c r="BC143" s="0">
        <v>2</v>
      </c>
      <c r="BD143" s="0">
        <v>374043</v>
      </c>
      <c r="BE143" s="0">
        <v>519081</v>
      </c>
      <c r="BF143" s="0">
        <v>2</v>
      </c>
      <c r="BG143" s="0" t="s">
        <v>1698</v>
      </c>
      <c r="BI143" s="0">
        <v>1662</v>
      </c>
      <c r="BK143" s="0" t="s">
        <v>1699</v>
      </c>
    </row>
    <row r="144">
      <c r="A144" s="0">
        <v>4761</v>
      </c>
      <c r="B144" s="0" t="s">
        <v>1700</v>
      </c>
      <c r="C144" s="0" t="s">
        <v>315</v>
      </c>
      <c r="D144" s="0" t="s">
        <v>1701</v>
      </c>
      <c r="E144" s="0" t="s">
        <v>1702</v>
      </c>
      <c r="F144" s="0">
        <v>1</v>
      </c>
      <c r="G144" s="0" t="s">
        <v>319</v>
      </c>
      <c r="H144" s="0" t="s">
        <v>1693</v>
      </c>
      <c r="I144" s="0" t="s">
        <v>1703</v>
      </c>
      <c r="J144" s="0" t="s">
        <v>400</v>
      </c>
      <c r="K144" s="0" t="s">
        <v>1190</v>
      </c>
      <c r="P144" s="0" t="s">
        <v>1667</v>
      </c>
      <c r="R144" s="0" t="s">
        <v>880</v>
      </c>
      <c r="T144" s="0" t="s">
        <v>1704</v>
      </c>
      <c r="U144" s="0" t="s">
        <v>1705</v>
      </c>
      <c r="W144" s="0" t="s">
        <v>1167</v>
      </c>
      <c r="X144" s="0" t="s">
        <v>529</v>
      </c>
      <c r="Y144" s="0" t="s">
        <v>195</v>
      </c>
      <c r="Z144" s="0" t="s">
        <v>299</v>
      </c>
      <c r="AA144" s="0" t="s">
        <v>194</v>
      </c>
      <c r="AB144" s="0" t="s">
        <v>531</v>
      </c>
      <c r="AD144" s="0" t="s">
        <v>1642</v>
      </c>
      <c r="AF144" s="0" t="s">
        <v>301</v>
      </c>
      <c r="AP144" s="0" t="s">
        <v>305</v>
      </c>
      <c r="BA144" s="0">
        <v>456</v>
      </c>
      <c r="BB144" s="0" t="s">
        <v>232</v>
      </c>
      <c r="BC144" s="0">
        <v>2</v>
      </c>
      <c r="BD144" s="0">
        <v>374043</v>
      </c>
      <c r="BE144" s="0">
        <v>519081</v>
      </c>
      <c r="BF144" s="0">
        <v>2</v>
      </c>
      <c r="BG144" s="0" t="s">
        <v>1706</v>
      </c>
      <c r="BI144" s="0">
        <v>3364</v>
      </c>
      <c r="BK144" s="0" t="s">
        <v>1707</v>
      </c>
    </row>
    <row r="145">
      <c r="A145" s="0">
        <v>4667</v>
      </c>
      <c r="C145" s="0" t="s">
        <v>315</v>
      </c>
      <c r="D145" s="0" t="s">
        <v>1594</v>
      </c>
      <c r="E145" s="0" t="s">
        <v>1708</v>
      </c>
      <c r="F145" s="0">
        <v>3</v>
      </c>
      <c r="G145" s="0" t="s">
        <v>319</v>
      </c>
      <c r="H145" s="0" t="s">
        <v>1693</v>
      </c>
      <c r="I145" s="0" t="s">
        <v>1694</v>
      </c>
      <c r="T145" s="0" t="s">
        <v>1709</v>
      </c>
      <c r="U145" s="0" t="s">
        <v>1710</v>
      </c>
      <c r="W145" s="0" t="s">
        <v>1167</v>
      </c>
      <c r="X145" s="0" t="s">
        <v>529</v>
      </c>
      <c r="Y145" s="0" t="s">
        <v>195</v>
      </c>
      <c r="Z145" s="0" t="s">
        <v>299</v>
      </c>
      <c r="AA145" s="0" t="s">
        <v>194</v>
      </c>
      <c r="AB145" s="0" t="s">
        <v>531</v>
      </c>
      <c r="AD145" s="0" t="s">
        <v>1642</v>
      </c>
      <c r="AF145" s="0" t="s">
        <v>301</v>
      </c>
      <c r="AP145" s="0" t="s">
        <v>305</v>
      </c>
      <c r="BA145" s="0">
        <v>456</v>
      </c>
      <c r="BB145" s="0" t="s">
        <v>232</v>
      </c>
      <c r="BC145" s="0">
        <v>2</v>
      </c>
      <c r="BD145" s="0">
        <v>374043</v>
      </c>
      <c r="BE145" s="0">
        <v>519081</v>
      </c>
      <c r="BF145" s="0">
        <v>2</v>
      </c>
      <c r="BG145" s="0" t="s">
        <v>1711</v>
      </c>
      <c r="BI145" s="0">
        <v>3070</v>
      </c>
      <c r="BK145" s="0" t="s">
        <v>1712</v>
      </c>
    </row>
    <row r="146">
      <c r="A146" s="0">
        <v>4668</v>
      </c>
      <c r="C146" s="0" t="s">
        <v>315</v>
      </c>
      <c r="D146" s="0" t="s">
        <v>1594</v>
      </c>
      <c r="E146" s="0" t="s">
        <v>1713</v>
      </c>
      <c r="F146" s="0">
        <v>3</v>
      </c>
      <c r="G146" s="0" t="s">
        <v>319</v>
      </c>
      <c r="H146" s="0" t="s">
        <v>1693</v>
      </c>
      <c r="I146" s="0" t="s">
        <v>1703</v>
      </c>
      <c r="T146" s="0" t="s">
        <v>1709</v>
      </c>
      <c r="U146" s="0" t="s">
        <v>1714</v>
      </c>
      <c r="W146" s="0" t="s">
        <v>1167</v>
      </c>
      <c r="X146" s="0" t="s">
        <v>529</v>
      </c>
      <c r="Y146" s="0" t="s">
        <v>195</v>
      </c>
      <c r="Z146" s="0" t="s">
        <v>299</v>
      </c>
      <c r="AA146" s="0" t="s">
        <v>194</v>
      </c>
      <c r="AB146" s="0" t="s">
        <v>531</v>
      </c>
      <c r="AD146" s="0" t="s">
        <v>1642</v>
      </c>
      <c r="AF146" s="0" t="s">
        <v>301</v>
      </c>
      <c r="AP146" s="0" t="s">
        <v>305</v>
      </c>
      <c r="BA146" s="0">
        <v>456</v>
      </c>
      <c r="BB146" s="0" t="s">
        <v>232</v>
      </c>
      <c r="BC146" s="0">
        <v>2</v>
      </c>
      <c r="BD146" s="0">
        <v>374043</v>
      </c>
      <c r="BE146" s="0">
        <v>519081</v>
      </c>
      <c r="BF146" s="0">
        <v>2</v>
      </c>
      <c r="BG146" s="0" t="s">
        <v>1715</v>
      </c>
      <c r="BI146" s="0">
        <v>3222</v>
      </c>
      <c r="BK146" s="0" t="s">
        <v>1716</v>
      </c>
    </row>
    <row r="147">
      <c r="A147" s="0">
        <v>4654</v>
      </c>
      <c r="B147" s="0" t="s">
        <v>1717</v>
      </c>
      <c r="C147" s="0" t="s">
        <v>290</v>
      </c>
      <c r="D147" s="0" t="s">
        <v>1594</v>
      </c>
      <c r="E147" s="0" t="s">
        <v>1718</v>
      </c>
      <c r="F147" s="0">
        <v>1</v>
      </c>
      <c r="G147" s="0" t="s">
        <v>293</v>
      </c>
      <c r="H147" s="0" t="s">
        <v>294</v>
      </c>
      <c r="I147" s="0" t="s">
        <v>295</v>
      </c>
      <c r="J147" s="0" t="s">
        <v>1590</v>
      </c>
      <c r="K147" s="0" t="s">
        <v>496</v>
      </c>
      <c r="L147" s="0" t="s">
        <v>497</v>
      </c>
      <c r="T147" s="0" t="s">
        <v>1719</v>
      </c>
      <c r="U147" s="0" t="s">
        <v>1720</v>
      </c>
      <c r="W147" s="0" t="s">
        <v>1167</v>
      </c>
      <c r="X147" s="0" t="s">
        <v>529</v>
      </c>
      <c r="Y147" s="0" t="s">
        <v>195</v>
      </c>
      <c r="Z147" s="0" t="s">
        <v>299</v>
      </c>
      <c r="AA147" s="0" t="s">
        <v>194</v>
      </c>
      <c r="AB147" s="0" t="s">
        <v>531</v>
      </c>
      <c r="AD147" s="0" t="s">
        <v>1642</v>
      </c>
      <c r="AF147" s="0" t="s">
        <v>301</v>
      </c>
      <c r="AP147" s="0" t="s">
        <v>305</v>
      </c>
      <c r="BA147" s="0">
        <v>456</v>
      </c>
      <c r="BB147" s="0" t="s">
        <v>232</v>
      </c>
      <c r="BC147" s="0">
        <v>2</v>
      </c>
      <c r="BD147" s="0">
        <v>374053</v>
      </c>
      <c r="BE147" s="0">
        <v>519081</v>
      </c>
      <c r="BF147" s="0">
        <v>2</v>
      </c>
      <c r="BG147" s="0" t="s">
        <v>1721</v>
      </c>
      <c r="BI147" s="0">
        <v>1906</v>
      </c>
      <c r="BK147" s="0" t="s">
        <v>1722</v>
      </c>
    </row>
    <row r="148">
      <c r="A148" s="0">
        <v>4663</v>
      </c>
      <c r="B148" s="0" t="s">
        <v>1723</v>
      </c>
      <c r="C148" s="0" t="s">
        <v>339</v>
      </c>
      <c r="D148" s="0" t="s">
        <v>1594</v>
      </c>
      <c r="E148" s="0" t="s">
        <v>1724</v>
      </c>
      <c r="F148" s="0">
        <v>1</v>
      </c>
      <c r="G148" s="0" t="s">
        <v>319</v>
      </c>
      <c r="H148" s="0" t="s">
        <v>1725</v>
      </c>
      <c r="J148" s="0" t="s">
        <v>400</v>
      </c>
      <c r="K148" s="0" t="s">
        <v>1190</v>
      </c>
      <c r="M148" s="0" t="s">
        <v>508</v>
      </c>
      <c r="U148" s="0" t="s">
        <v>1726</v>
      </c>
      <c r="W148" s="0" t="s">
        <v>1167</v>
      </c>
      <c r="X148" s="0" t="s">
        <v>347</v>
      </c>
      <c r="Y148" s="0" t="s">
        <v>195</v>
      </c>
      <c r="Z148" s="0" t="s">
        <v>299</v>
      </c>
      <c r="AA148" s="0" t="s">
        <v>194</v>
      </c>
      <c r="AB148" s="0" t="s">
        <v>531</v>
      </c>
      <c r="AD148" s="0" t="s">
        <v>1642</v>
      </c>
      <c r="AF148" s="0" t="s">
        <v>301</v>
      </c>
      <c r="AP148" s="0" t="s">
        <v>305</v>
      </c>
      <c r="BA148" s="0">
        <v>456</v>
      </c>
      <c r="BB148" s="0" t="s">
        <v>232</v>
      </c>
      <c r="BC148" s="0">
        <v>2</v>
      </c>
      <c r="BD148" s="0">
        <v>8</v>
      </c>
      <c r="BE148" s="0">
        <v>519081</v>
      </c>
      <c r="BF148" s="0">
        <v>4</v>
      </c>
      <c r="BG148" s="0" t="s">
        <v>1727</v>
      </c>
      <c r="BI148" s="0">
        <v>2358</v>
      </c>
      <c r="BK148" s="0" t="s">
        <v>1728</v>
      </c>
    </row>
    <row r="149">
      <c r="A149" s="0">
        <v>4678</v>
      </c>
      <c r="B149" s="0" t="s">
        <v>1729</v>
      </c>
      <c r="C149" s="0" t="s">
        <v>315</v>
      </c>
      <c r="D149" s="0" t="s">
        <v>1730</v>
      </c>
      <c r="E149" s="0" t="s">
        <v>1731</v>
      </c>
      <c r="F149" s="0">
        <v>1</v>
      </c>
      <c r="G149" s="0" t="s">
        <v>594</v>
      </c>
      <c r="I149" s="0" t="s">
        <v>469</v>
      </c>
      <c r="J149" s="0" t="s">
        <v>293</v>
      </c>
      <c r="K149" s="0" t="s">
        <v>294</v>
      </c>
      <c r="L149" s="0" t="s">
        <v>295</v>
      </c>
      <c r="P149" s="0" t="s">
        <v>323</v>
      </c>
      <c r="Q149" s="0" t="s">
        <v>323</v>
      </c>
      <c r="R149" s="0" t="s">
        <v>568</v>
      </c>
      <c r="T149" s="0" t="s">
        <v>1732</v>
      </c>
      <c r="U149" s="0" t="s">
        <v>1733</v>
      </c>
      <c r="W149" s="0" t="s">
        <v>1734</v>
      </c>
      <c r="X149" s="0" t="s">
        <v>347</v>
      </c>
      <c r="Y149" s="0" t="s">
        <v>171</v>
      </c>
      <c r="Z149" s="0" t="s">
        <v>1735</v>
      </c>
      <c r="AA149" s="0" t="s">
        <v>200</v>
      </c>
      <c r="AB149" s="0" t="s">
        <v>531</v>
      </c>
      <c r="AC149" s="0" t="s">
        <v>532</v>
      </c>
      <c r="AF149" s="0" t="s">
        <v>301</v>
      </c>
      <c r="AM149" s="0" t="s">
        <v>1736</v>
      </c>
      <c r="AN149" s="0" t="s">
        <v>1737</v>
      </c>
      <c r="AO149" s="0" t="s">
        <v>1738</v>
      </c>
      <c r="AP149" s="0" t="s">
        <v>305</v>
      </c>
      <c r="AQ149" s="0" t="s">
        <v>1739</v>
      </c>
      <c r="AR149" s="0" t="s">
        <v>426</v>
      </c>
      <c r="AS149" s="0">
        <v>18</v>
      </c>
      <c r="AT149" s="0">
        <v>36</v>
      </c>
      <c r="AU149" s="0">
        <v>50</v>
      </c>
      <c r="AV149" s="0" t="s">
        <v>977</v>
      </c>
      <c r="AW149" s="0" t="s">
        <v>332</v>
      </c>
      <c r="AX149" s="0" t="s">
        <v>443</v>
      </c>
      <c r="AY149" s="0" t="s">
        <v>1740</v>
      </c>
      <c r="AZ149" s="0" t="s">
        <v>309</v>
      </c>
      <c r="BA149" s="0">
        <v>459</v>
      </c>
      <c r="BB149" s="0" t="s">
        <v>232</v>
      </c>
      <c r="BC149" s="0">
        <v>2</v>
      </c>
      <c r="BD149" s="0">
        <v>374043</v>
      </c>
      <c r="BE149" s="0">
        <v>412</v>
      </c>
      <c r="BF149" s="0">
        <v>4</v>
      </c>
      <c r="BG149" s="0" t="s">
        <v>1741</v>
      </c>
      <c r="BI149" s="0">
        <v>3363</v>
      </c>
      <c r="BK149" s="0" t="s">
        <v>1742</v>
      </c>
    </row>
    <row r="150">
      <c r="A150" s="0">
        <v>4672</v>
      </c>
      <c r="B150" s="0" t="s">
        <v>1743</v>
      </c>
      <c r="C150" s="0" t="s">
        <v>945</v>
      </c>
      <c r="D150" s="0" t="s">
        <v>1730</v>
      </c>
      <c r="E150" s="0" t="s">
        <v>1744</v>
      </c>
      <c r="F150" s="0">
        <v>1</v>
      </c>
      <c r="G150" s="0" t="s">
        <v>319</v>
      </c>
      <c r="H150" s="0" t="s">
        <v>1745</v>
      </c>
      <c r="I150" s="0" t="s">
        <v>1746</v>
      </c>
      <c r="J150" s="0" t="s">
        <v>400</v>
      </c>
      <c r="L150" s="0" t="s">
        <v>1668</v>
      </c>
      <c r="P150" s="0" t="s">
        <v>323</v>
      </c>
      <c r="Q150" s="0" t="s">
        <v>868</v>
      </c>
      <c r="R150" s="0" t="s">
        <v>961</v>
      </c>
      <c r="T150" s="0" t="s">
        <v>1747</v>
      </c>
      <c r="U150" s="0" t="s">
        <v>1748</v>
      </c>
      <c r="W150" s="0" t="s">
        <v>1734</v>
      </c>
      <c r="X150" s="0" t="s">
        <v>347</v>
      </c>
      <c r="Y150" s="0" t="s">
        <v>171</v>
      </c>
      <c r="Z150" s="0" t="s">
        <v>1735</v>
      </c>
      <c r="AA150" s="0" t="s">
        <v>200</v>
      </c>
      <c r="AB150" s="0" t="s">
        <v>531</v>
      </c>
      <c r="AC150" s="0" t="s">
        <v>532</v>
      </c>
      <c r="AF150" s="0" t="s">
        <v>301</v>
      </c>
      <c r="AP150" s="0" t="s">
        <v>305</v>
      </c>
      <c r="BA150" s="0">
        <v>459</v>
      </c>
      <c r="BB150" s="0" t="s">
        <v>232</v>
      </c>
      <c r="BC150" s="0">
        <v>2</v>
      </c>
      <c r="BD150" s="0">
        <v>14</v>
      </c>
      <c r="BE150" s="0">
        <v>412</v>
      </c>
      <c r="BF150" s="0">
        <v>4</v>
      </c>
      <c r="BG150" s="0" t="s">
        <v>1749</v>
      </c>
      <c r="BI150" s="0">
        <v>2553</v>
      </c>
      <c r="BK150" s="0" t="s">
        <v>1750</v>
      </c>
    </row>
    <row r="151">
      <c r="A151" s="0">
        <v>4673</v>
      </c>
      <c r="B151" s="0" t="s">
        <v>1751</v>
      </c>
      <c r="C151" s="0" t="s">
        <v>945</v>
      </c>
      <c r="D151" s="0" t="s">
        <v>1730</v>
      </c>
      <c r="E151" s="0" t="s">
        <v>1752</v>
      </c>
      <c r="F151" s="0">
        <v>1</v>
      </c>
      <c r="G151" s="0" t="s">
        <v>319</v>
      </c>
      <c r="H151" s="0" t="s">
        <v>658</v>
      </c>
      <c r="I151" s="0" t="s">
        <v>1746</v>
      </c>
      <c r="J151" s="0" t="s">
        <v>400</v>
      </c>
      <c r="L151" s="0" t="s">
        <v>1668</v>
      </c>
      <c r="P151" s="0" t="s">
        <v>323</v>
      </c>
      <c r="Q151" s="0" t="s">
        <v>343</v>
      </c>
      <c r="R151" s="0" t="s">
        <v>961</v>
      </c>
      <c r="T151" s="0" t="s">
        <v>1753</v>
      </c>
      <c r="U151" s="0" t="s">
        <v>1754</v>
      </c>
      <c r="W151" s="0" t="s">
        <v>1734</v>
      </c>
      <c r="X151" s="0" t="s">
        <v>347</v>
      </c>
      <c r="Y151" s="0" t="s">
        <v>171</v>
      </c>
      <c r="Z151" s="0" t="s">
        <v>1735</v>
      </c>
      <c r="AA151" s="0" t="s">
        <v>200</v>
      </c>
      <c r="AB151" s="0" t="s">
        <v>531</v>
      </c>
      <c r="AC151" s="0" t="s">
        <v>532</v>
      </c>
      <c r="AF151" s="0" t="s">
        <v>301</v>
      </c>
      <c r="AP151" s="0" t="s">
        <v>305</v>
      </c>
      <c r="BA151" s="0">
        <v>459</v>
      </c>
      <c r="BB151" s="0" t="s">
        <v>232</v>
      </c>
      <c r="BC151" s="0">
        <v>2</v>
      </c>
      <c r="BD151" s="0">
        <v>14</v>
      </c>
      <c r="BE151" s="0">
        <v>412</v>
      </c>
      <c r="BF151" s="0">
        <v>4</v>
      </c>
      <c r="BG151" s="0" t="s">
        <v>1755</v>
      </c>
      <c r="BI151" s="0">
        <v>2730</v>
      </c>
      <c r="BK151" s="0" t="s">
        <v>1756</v>
      </c>
    </row>
    <row r="152">
      <c r="A152" s="0">
        <v>4659</v>
      </c>
      <c r="B152" s="0" t="s">
        <v>1757</v>
      </c>
      <c r="C152" s="0" t="s">
        <v>930</v>
      </c>
      <c r="D152" s="0" t="s">
        <v>1730</v>
      </c>
      <c r="E152" s="0" t="s">
        <v>1758</v>
      </c>
      <c r="F152" s="0">
        <v>1</v>
      </c>
      <c r="G152" s="0" t="s">
        <v>293</v>
      </c>
      <c r="H152" s="0" t="s">
        <v>294</v>
      </c>
      <c r="I152" s="0" t="s">
        <v>295</v>
      </c>
      <c r="P152" s="0" t="s">
        <v>343</v>
      </c>
      <c r="Q152" s="0" t="s">
        <v>343</v>
      </c>
      <c r="T152" s="0" t="s">
        <v>1759</v>
      </c>
      <c r="U152" s="0" t="s">
        <v>1760</v>
      </c>
      <c r="W152" s="0" t="s">
        <v>1734</v>
      </c>
      <c r="X152" s="0" t="s">
        <v>347</v>
      </c>
      <c r="Y152" s="0" t="s">
        <v>171</v>
      </c>
      <c r="Z152" s="0" t="s">
        <v>1735</v>
      </c>
      <c r="AA152" s="0" t="s">
        <v>200</v>
      </c>
      <c r="AB152" s="0" t="s">
        <v>531</v>
      </c>
      <c r="AC152" s="0" t="s">
        <v>532</v>
      </c>
      <c r="AF152" s="0" t="s">
        <v>301</v>
      </c>
      <c r="AM152" s="0" t="s">
        <v>372</v>
      </c>
      <c r="AN152" s="0" t="s">
        <v>762</v>
      </c>
      <c r="AO152" s="0" t="s">
        <v>353</v>
      </c>
      <c r="AP152" s="0" t="s">
        <v>305</v>
      </c>
      <c r="AQ152" s="0" t="s">
        <v>1084</v>
      </c>
      <c r="AR152" s="0" t="s">
        <v>1761</v>
      </c>
      <c r="AS152" s="0">
        <v>255</v>
      </c>
      <c r="AT152" s="0">
        <v>473</v>
      </c>
      <c r="AU152" s="0">
        <v>570</v>
      </c>
      <c r="AV152" s="0" t="s">
        <v>332</v>
      </c>
      <c r="AW152" s="0" t="s">
        <v>332</v>
      </c>
      <c r="AX152" s="0" t="s">
        <v>1762</v>
      </c>
      <c r="AY152" s="0" t="s">
        <v>912</v>
      </c>
      <c r="AZ152" s="0" t="s">
        <v>1763</v>
      </c>
      <c r="BA152" s="0">
        <v>459</v>
      </c>
      <c r="BB152" s="0" t="s">
        <v>232</v>
      </c>
      <c r="BC152" s="0">
        <v>2</v>
      </c>
      <c r="BD152" s="0">
        <v>374049</v>
      </c>
      <c r="BE152" s="0">
        <v>412</v>
      </c>
      <c r="BF152" s="0">
        <v>4</v>
      </c>
      <c r="BG152" s="0" t="s">
        <v>1764</v>
      </c>
      <c r="BI152" s="0">
        <v>338</v>
      </c>
      <c r="BK152" s="0" t="s">
        <v>1765</v>
      </c>
    </row>
    <row r="153">
      <c r="A153" s="0">
        <v>4683</v>
      </c>
      <c r="B153" s="0" t="s">
        <v>1766</v>
      </c>
      <c r="C153" s="0" t="s">
        <v>1139</v>
      </c>
      <c r="D153" s="0" t="s">
        <v>1730</v>
      </c>
      <c r="E153" s="0" t="s">
        <v>1767</v>
      </c>
      <c r="F153" s="0">
        <v>1</v>
      </c>
      <c r="G153" s="0" t="s">
        <v>293</v>
      </c>
      <c r="H153" s="0" t="s">
        <v>294</v>
      </c>
      <c r="I153" s="0" t="s">
        <v>295</v>
      </c>
      <c r="P153" s="0" t="s">
        <v>323</v>
      </c>
      <c r="Q153" s="0" t="s">
        <v>343</v>
      </c>
      <c r="R153" s="0" t="s">
        <v>1021</v>
      </c>
      <c r="T153" s="0" t="s">
        <v>1768</v>
      </c>
      <c r="U153" s="0" t="s">
        <v>1769</v>
      </c>
      <c r="W153" s="0" t="s">
        <v>1734</v>
      </c>
      <c r="X153" s="0" t="s">
        <v>347</v>
      </c>
      <c r="Y153" s="0" t="s">
        <v>171</v>
      </c>
      <c r="Z153" s="0" t="s">
        <v>1735</v>
      </c>
      <c r="AA153" s="0" t="s">
        <v>200</v>
      </c>
      <c r="AB153" s="0" t="s">
        <v>531</v>
      </c>
      <c r="AC153" s="0" t="s">
        <v>532</v>
      </c>
      <c r="AF153" s="0" t="s">
        <v>301</v>
      </c>
      <c r="AM153" s="0" t="s">
        <v>1067</v>
      </c>
      <c r="AN153" s="0" t="s">
        <v>310</v>
      </c>
      <c r="AO153" s="0" t="s">
        <v>393</v>
      </c>
      <c r="AP153" s="0" t="s">
        <v>305</v>
      </c>
      <c r="AQ153" s="0" t="s">
        <v>1146</v>
      </c>
      <c r="AR153" s="0" t="s">
        <v>1770</v>
      </c>
      <c r="AS153" s="0">
        <v>828</v>
      </c>
      <c r="AT153" s="0">
        <v>1706</v>
      </c>
      <c r="AU153" s="0">
        <v>2049</v>
      </c>
      <c r="AV153" s="0" t="s">
        <v>332</v>
      </c>
      <c r="AW153" s="0" t="s">
        <v>332</v>
      </c>
      <c r="AX153" s="0" t="s">
        <v>780</v>
      </c>
      <c r="AY153" s="0" t="s">
        <v>1771</v>
      </c>
      <c r="AZ153" s="0" t="s">
        <v>1772</v>
      </c>
      <c r="BA153" s="0">
        <v>459</v>
      </c>
      <c r="BB153" s="0" t="s">
        <v>232</v>
      </c>
      <c r="BC153" s="0">
        <v>2</v>
      </c>
      <c r="BD153" s="0">
        <v>38030</v>
      </c>
      <c r="BE153" s="0">
        <v>412</v>
      </c>
      <c r="BF153" s="0">
        <v>4</v>
      </c>
      <c r="BG153" s="0" t="s">
        <v>1773</v>
      </c>
      <c r="BI153" s="0">
        <v>3901</v>
      </c>
      <c r="BK153" s="0" t="s">
        <v>1774</v>
      </c>
    </row>
    <row r="154">
      <c r="A154" s="0">
        <v>4680</v>
      </c>
      <c r="B154" s="0" t="s">
        <v>1775</v>
      </c>
      <c r="C154" s="0" t="s">
        <v>1139</v>
      </c>
      <c r="D154" s="0" t="s">
        <v>1730</v>
      </c>
      <c r="E154" s="0" t="s">
        <v>1776</v>
      </c>
      <c r="F154" s="0">
        <v>1</v>
      </c>
      <c r="G154" s="0" t="s">
        <v>293</v>
      </c>
      <c r="H154" s="0" t="s">
        <v>294</v>
      </c>
      <c r="I154" s="0" t="s">
        <v>295</v>
      </c>
      <c r="P154" s="0" t="s">
        <v>323</v>
      </c>
      <c r="Q154" s="0" t="s">
        <v>343</v>
      </c>
      <c r="R154" s="0" t="s">
        <v>1021</v>
      </c>
      <c r="T154" s="0" t="s">
        <v>1777</v>
      </c>
      <c r="U154" s="0" t="s">
        <v>1778</v>
      </c>
      <c r="W154" s="0" t="s">
        <v>1734</v>
      </c>
      <c r="X154" s="0" t="s">
        <v>347</v>
      </c>
      <c r="Y154" s="0" t="s">
        <v>171</v>
      </c>
      <c r="Z154" s="0" t="s">
        <v>1735</v>
      </c>
      <c r="AA154" s="0" t="s">
        <v>200</v>
      </c>
      <c r="AB154" s="0" t="s">
        <v>531</v>
      </c>
      <c r="AC154" s="0" t="s">
        <v>532</v>
      </c>
      <c r="AF154" s="0" t="s">
        <v>301</v>
      </c>
      <c r="AM154" s="0" t="s">
        <v>1067</v>
      </c>
      <c r="AN154" s="0" t="s">
        <v>762</v>
      </c>
      <c r="AO154" s="0" t="s">
        <v>393</v>
      </c>
      <c r="AP154" s="0" t="s">
        <v>305</v>
      </c>
      <c r="AQ154" s="0" t="s">
        <v>1450</v>
      </c>
      <c r="AR154" s="0" t="s">
        <v>1012</v>
      </c>
      <c r="AS154" s="0">
        <v>546</v>
      </c>
      <c r="AT154" s="0">
        <v>1144</v>
      </c>
      <c r="AU154" s="0">
        <v>1345</v>
      </c>
      <c r="AV154" s="0" t="s">
        <v>332</v>
      </c>
      <c r="AW154" s="0" t="s">
        <v>332</v>
      </c>
      <c r="AX154" s="0" t="s">
        <v>1502</v>
      </c>
      <c r="AY154" s="0" t="s">
        <v>1779</v>
      </c>
      <c r="AZ154" s="0" t="s">
        <v>1287</v>
      </c>
      <c r="BA154" s="0">
        <v>459</v>
      </c>
      <c r="BB154" s="0" t="s">
        <v>232</v>
      </c>
      <c r="BC154" s="0">
        <v>2</v>
      </c>
      <c r="BD154" s="0">
        <v>38030</v>
      </c>
      <c r="BE154" s="0">
        <v>412</v>
      </c>
      <c r="BF154" s="0">
        <v>4</v>
      </c>
      <c r="BG154" s="0" t="s">
        <v>1780</v>
      </c>
      <c r="BI154" s="0">
        <v>3811</v>
      </c>
      <c r="BK154" s="0" t="s">
        <v>1781</v>
      </c>
    </row>
    <row r="155">
      <c r="A155" s="0">
        <v>4677</v>
      </c>
      <c r="C155" s="0" t="s">
        <v>945</v>
      </c>
      <c r="D155" s="0" t="s">
        <v>1730</v>
      </c>
      <c r="E155" s="0" t="s">
        <v>1782</v>
      </c>
      <c r="F155" s="0">
        <v>1</v>
      </c>
      <c r="G155" s="0" t="s">
        <v>319</v>
      </c>
      <c r="H155" s="0" t="s">
        <v>523</v>
      </c>
      <c r="I155" s="0" t="s">
        <v>524</v>
      </c>
      <c r="K155" s="0" t="s">
        <v>508</v>
      </c>
      <c r="L155" s="0" t="s">
        <v>1133</v>
      </c>
      <c r="P155" s="0" t="s">
        <v>323</v>
      </c>
      <c r="Q155" s="0" t="s">
        <v>343</v>
      </c>
      <c r="R155" s="0" t="s">
        <v>1783</v>
      </c>
      <c r="T155" s="0" t="s">
        <v>1784</v>
      </c>
      <c r="U155" s="0" t="s">
        <v>1785</v>
      </c>
      <c r="W155" s="0" t="s">
        <v>1734</v>
      </c>
      <c r="X155" s="0" t="s">
        <v>347</v>
      </c>
      <c r="Y155" s="0" t="s">
        <v>171</v>
      </c>
      <c r="Z155" s="0" t="s">
        <v>1735</v>
      </c>
      <c r="AA155" s="0" t="s">
        <v>200</v>
      </c>
      <c r="AB155" s="0" t="s">
        <v>531</v>
      </c>
      <c r="AC155" s="0" t="s">
        <v>532</v>
      </c>
      <c r="AF155" s="0" t="s">
        <v>301</v>
      </c>
      <c r="AP155" s="0" t="s">
        <v>305</v>
      </c>
      <c r="BA155" s="0">
        <v>459</v>
      </c>
      <c r="BB155" s="0" t="s">
        <v>232</v>
      </c>
      <c r="BC155" s="0">
        <v>2</v>
      </c>
      <c r="BD155" s="0">
        <v>14</v>
      </c>
      <c r="BE155" s="0">
        <v>412</v>
      </c>
      <c r="BF155" s="0">
        <v>4</v>
      </c>
      <c r="BG155" s="0" t="s">
        <v>1786</v>
      </c>
      <c r="BI155" s="0">
        <v>3221</v>
      </c>
      <c r="BK155" s="0" t="s">
        <v>1787</v>
      </c>
    </row>
    <row r="156">
      <c r="A156" s="0">
        <v>4674</v>
      </c>
      <c r="B156" s="0" t="s">
        <v>1788</v>
      </c>
      <c r="C156" s="0" t="s">
        <v>315</v>
      </c>
      <c r="D156" s="0" t="s">
        <v>1730</v>
      </c>
      <c r="E156" s="0" t="s">
        <v>1789</v>
      </c>
      <c r="F156" s="0">
        <v>1</v>
      </c>
      <c r="G156" s="0" t="s">
        <v>319</v>
      </c>
      <c r="H156" s="0" t="s">
        <v>1745</v>
      </c>
      <c r="I156" s="0" t="s">
        <v>1746</v>
      </c>
      <c r="K156" s="0" t="s">
        <v>400</v>
      </c>
      <c r="L156" s="0" t="s">
        <v>1668</v>
      </c>
      <c r="M156" s="0" t="s">
        <v>293</v>
      </c>
      <c r="N156" s="0" t="s">
        <v>294</v>
      </c>
      <c r="O156" s="0" t="s">
        <v>1790</v>
      </c>
      <c r="P156" s="0" t="s">
        <v>323</v>
      </c>
      <c r="Q156" s="0" t="s">
        <v>323</v>
      </c>
      <c r="R156" s="0" t="s">
        <v>1791</v>
      </c>
      <c r="U156" s="0" t="s">
        <v>1792</v>
      </c>
      <c r="W156" s="0" t="s">
        <v>1734</v>
      </c>
      <c r="X156" s="0" t="s">
        <v>347</v>
      </c>
      <c r="Y156" s="0" t="s">
        <v>171</v>
      </c>
      <c r="Z156" s="0" t="s">
        <v>1735</v>
      </c>
      <c r="AA156" s="0" t="s">
        <v>200</v>
      </c>
      <c r="AB156" s="0" t="s">
        <v>531</v>
      </c>
      <c r="AC156" s="0" t="s">
        <v>532</v>
      </c>
      <c r="AF156" s="0" t="s">
        <v>301</v>
      </c>
      <c r="AM156" s="0" t="s">
        <v>327</v>
      </c>
      <c r="AN156" s="0" t="s">
        <v>1793</v>
      </c>
      <c r="AO156" s="0" t="s">
        <v>329</v>
      </c>
      <c r="AP156" s="0" t="s">
        <v>305</v>
      </c>
      <c r="AQ156" s="0" t="s">
        <v>1794</v>
      </c>
      <c r="AR156" s="0" t="s">
        <v>1473</v>
      </c>
      <c r="AS156" s="0">
        <v>24</v>
      </c>
      <c r="AT156" s="0">
        <v>50</v>
      </c>
      <c r="AU156" s="0">
        <v>58</v>
      </c>
      <c r="AV156" s="0" t="s">
        <v>331</v>
      </c>
      <c r="AX156" s="0" t="s">
        <v>1795</v>
      </c>
      <c r="AY156" s="0" t="s">
        <v>474</v>
      </c>
      <c r="AZ156" s="0" t="s">
        <v>1574</v>
      </c>
      <c r="BA156" s="0">
        <v>459</v>
      </c>
      <c r="BB156" s="0" t="s">
        <v>232</v>
      </c>
      <c r="BC156" s="0">
        <v>2</v>
      </c>
      <c r="BD156" s="0">
        <v>374043</v>
      </c>
      <c r="BE156" s="0">
        <v>412</v>
      </c>
      <c r="BF156" s="0">
        <v>4</v>
      </c>
      <c r="BG156" s="0" t="s">
        <v>1796</v>
      </c>
      <c r="BI156" s="0">
        <v>2357</v>
      </c>
      <c r="BK156" s="0" t="s">
        <v>1797</v>
      </c>
    </row>
    <row r="157">
      <c r="A157" s="0">
        <v>4679</v>
      </c>
      <c r="B157" s="0" t="s">
        <v>1798</v>
      </c>
      <c r="C157" s="0" t="s">
        <v>1139</v>
      </c>
      <c r="D157" s="0" t="s">
        <v>1730</v>
      </c>
      <c r="E157" s="0" t="s">
        <v>1153</v>
      </c>
      <c r="F157" s="0">
        <v>1</v>
      </c>
      <c r="G157" s="0" t="s">
        <v>293</v>
      </c>
      <c r="H157" s="0" t="s">
        <v>294</v>
      </c>
      <c r="I157" s="0" t="s">
        <v>295</v>
      </c>
      <c r="P157" s="0" t="s">
        <v>323</v>
      </c>
      <c r="Q157" s="0" t="s">
        <v>323</v>
      </c>
      <c r="R157" s="0" t="s">
        <v>1620</v>
      </c>
      <c r="T157" s="0" t="s">
        <v>1799</v>
      </c>
      <c r="U157" s="0" t="s">
        <v>1800</v>
      </c>
      <c r="W157" s="0" t="s">
        <v>1734</v>
      </c>
      <c r="X157" s="0" t="s">
        <v>347</v>
      </c>
      <c r="Y157" s="0" t="s">
        <v>171</v>
      </c>
      <c r="Z157" s="0" t="s">
        <v>1735</v>
      </c>
      <c r="AA157" s="0" t="s">
        <v>200</v>
      </c>
      <c r="AB157" s="0" t="s">
        <v>531</v>
      </c>
      <c r="AC157" s="0" t="s">
        <v>532</v>
      </c>
      <c r="AF157" s="0" t="s">
        <v>301</v>
      </c>
      <c r="AM157" s="0" t="s">
        <v>1157</v>
      </c>
      <c r="AN157" s="0" t="s">
        <v>1158</v>
      </c>
      <c r="AO157" s="0" t="s">
        <v>1159</v>
      </c>
      <c r="AP157" s="0" t="s">
        <v>305</v>
      </c>
      <c r="AQ157" s="0" t="s">
        <v>1160</v>
      </c>
      <c r="AR157" s="0" t="s">
        <v>1161</v>
      </c>
      <c r="AS157" s="0">
        <v>38</v>
      </c>
      <c r="AT157" s="0">
        <v>81</v>
      </c>
      <c r="AU157" s="0">
        <v>87</v>
      </c>
      <c r="AV157" s="0" t="s">
        <v>977</v>
      </c>
      <c r="AW157" s="0" t="s">
        <v>977</v>
      </c>
      <c r="AX157" s="0" t="s">
        <v>1162</v>
      </c>
      <c r="AY157" s="0" t="s">
        <v>1157</v>
      </c>
      <c r="AZ157" s="0" t="s">
        <v>1163</v>
      </c>
      <c r="BA157" s="0">
        <v>459</v>
      </c>
      <c r="BB157" s="0" t="s">
        <v>232</v>
      </c>
      <c r="BC157" s="0">
        <v>2</v>
      </c>
      <c r="BD157" s="0">
        <v>38030</v>
      </c>
      <c r="BE157" s="0">
        <v>412</v>
      </c>
      <c r="BF157" s="0">
        <v>4</v>
      </c>
      <c r="BG157" s="0" t="s">
        <v>1801</v>
      </c>
      <c r="BI157" s="0">
        <v>3491</v>
      </c>
      <c r="BK157" s="0" t="s">
        <v>1802</v>
      </c>
    </row>
    <row r="158">
      <c r="A158" s="0">
        <v>4681</v>
      </c>
      <c r="C158" s="0" t="s">
        <v>1139</v>
      </c>
      <c r="D158" s="0" t="s">
        <v>1730</v>
      </c>
      <c r="E158" s="0" t="s">
        <v>1803</v>
      </c>
      <c r="F158" s="0">
        <v>1</v>
      </c>
      <c r="G158" s="0" t="s">
        <v>293</v>
      </c>
      <c r="H158" s="0" t="s">
        <v>294</v>
      </c>
      <c r="I158" s="0" t="s">
        <v>295</v>
      </c>
      <c r="P158" s="0" t="s">
        <v>343</v>
      </c>
      <c r="Q158" s="0" t="s">
        <v>343</v>
      </c>
      <c r="U158" s="0" t="s">
        <v>1804</v>
      </c>
      <c r="W158" s="0" t="s">
        <v>1734</v>
      </c>
      <c r="X158" s="0" t="s">
        <v>347</v>
      </c>
      <c r="Y158" s="0" t="s">
        <v>171</v>
      </c>
      <c r="Z158" s="0" t="s">
        <v>1735</v>
      </c>
      <c r="AA158" s="0" t="s">
        <v>200</v>
      </c>
      <c r="AB158" s="0" t="s">
        <v>531</v>
      </c>
      <c r="AC158" s="0" t="s">
        <v>532</v>
      </c>
      <c r="AF158" s="0" t="s">
        <v>301</v>
      </c>
      <c r="AM158" s="0" t="s">
        <v>310</v>
      </c>
      <c r="AN158" s="0" t="s">
        <v>599</v>
      </c>
      <c r="AO158" s="0" t="s">
        <v>1482</v>
      </c>
      <c r="AP158" s="0" t="s">
        <v>305</v>
      </c>
      <c r="AQ158" s="0" t="s">
        <v>1805</v>
      </c>
      <c r="AR158" s="0" t="s">
        <v>1806</v>
      </c>
      <c r="AS158" s="0">
        <v>440</v>
      </c>
      <c r="AT158" s="0">
        <v>920</v>
      </c>
      <c r="AU158" s="0">
        <v>1069</v>
      </c>
      <c r="AV158" s="0" t="s">
        <v>332</v>
      </c>
      <c r="AW158" s="0" t="s">
        <v>332</v>
      </c>
      <c r="AX158" s="0" t="s">
        <v>978</v>
      </c>
      <c r="AY158" s="0" t="s">
        <v>1472</v>
      </c>
      <c r="AZ158" s="0" t="s">
        <v>1807</v>
      </c>
      <c r="BA158" s="0">
        <v>459</v>
      </c>
      <c r="BB158" s="0" t="s">
        <v>232</v>
      </c>
      <c r="BC158" s="0">
        <v>2</v>
      </c>
      <c r="BD158" s="0">
        <v>38030</v>
      </c>
      <c r="BE158" s="0">
        <v>412</v>
      </c>
      <c r="BF158" s="0">
        <v>4</v>
      </c>
      <c r="BG158" s="0" t="s">
        <v>1808</v>
      </c>
      <c r="BI158" s="0">
        <v>3604</v>
      </c>
      <c r="BK158" s="0" t="s">
        <v>1809</v>
      </c>
    </row>
    <row r="159">
      <c r="A159" s="0">
        <v>4669</v>
      </c>
      <c r="B159" s="0" t="s">
        <v>1810</v>
      </c>
      <c r="C159" s="0" t="s">
        <v>315</v>
      </c>
      <c r="D159" s="0" t="s">
        <v>1730</v>
      </c>
      <c r="E159" s="0" t="s">
        <v>1811</v>
      </c>
      <c r="F159" s="0">
        <v>1</v>
      </c>
      <c r="G159" s="0" t="s">
        <v>319</v>
      </c>
      <c r="H159" s="0" t="s">
        <v>1745</v>
      </c>
      <c r="I159" s="0" t="s">
        <v>1746</v>
      </c>
      <c r="K159" s="0" t="s">
        <v>400</v>
      </c>
      <c r="L159" s="0" t="s">
        <v>1668</v>
      </c>
      <c r="P159" s="0" t="s">
        <v>323</v>
      </c>
      <c r="Q159" s="0" t="s">
        <v>323</v>
      </c>
      <c r="R159" s="0" t="s">
        <v>1791</v>
      </c>
      <c r="T159" s="0" t="s">
        <v>1812</v>
      </c>
      <c r="U159" s="0" t="s">
        <v>1813</v>
      </c>
      <c r="W159" s="0" t="s">
        <v>1734</v>
      </c>
      <c r="X159" s="0" t="s">
        <v>347</v>
      </c>
      <c r="Y159" s="0" t="s">
        <v>171</v>
      </c>
      <c r="Z159" s="0" t="s">
        <v>1735</v>
      </c>
      <c r="AA159" s="0" t="s">
        <v>200</v>
      </c>
      <c r="AB159" s="0" t="s">
        <v>531</v>
      </c>
      <c r="AC159" s="0" t="s">
        <v>532</v>
      </c>
      <c r="AF159" s="0" t="s">
        <v>301</v>
      </c>
      <c r="AM159" s="0" t="s">
        <v>1814</v>
      </c>
      <c r="AN159" s="0" t="s">
        <v>1815</v>
      </c>
      <c r="AO159" s="0" t="s">
        <v>1816</v>
      </c>
      <c r="AP159" s="0" t="s">
        <v>305</v>
      </c>
      <c r="AQ159" s="0" t="s">
        <v>1817</v>
      </c>
      <c r="AR159" s="0" t="s">
        <v>1818</v>
      </c>
      <c r="AS159" s="0">
        <v>21</v>
      </c>
      <c r="AT159" s="0">
        <v>44</v>
      </c>
      <c r="AU159" s="0">
        <v>56</v>
      </c>
      <c r="AV159" s="0" t="s">
        <v>977</v>
      </c>
      <c r="AW159" s="0" t="s">
        <v>332</v>
      </c>
      <c r="AX159" s="0" t="s">
        <v>842</v>
      </c>
      <c r="AY159" s="0" t="s">
        <v>739</v>
      </c>
      <c r="AZ159" s="0" t="s">
        <v>349</v>
      </c>
      <c r="BA159" s="0">
        <v>459</v>
      </c>
      <c r="BB159" s="0" t="s">
        <v>232</v>
      </c>
      <c r="BC159" s="0">
        <v>2</v>
      </c>
      <c r="BD159" s="0">
        <v>374043</v>
      </c>
      <c r="BE159" s="0">
        <v>412</v>
      </c>
      <c r="BF159" s="0">
        <v>4</v>
      </c>
      <c r="BG159" s="0" t="s">
        <v>1819</v>
      </c>
      <c r="BI159" s="0">
        <v>1660</v>
      </c>
      <c r="BK159" s="0" t="s">
        <v>1820</v>
      </c>
    </row>
    <row r="160">
      <c r="A160" s="0">
        <v>4684</v>
      </c>
      <c r="B160" s="0" t="s">
        <v>1821</v>
      </c>
      <c r="C160" s="0" t="s">
        <v>1139</v>
      </c>
      <c r="D160" s="0" t="s">
        <v>1730</v>
      </c>
      <c r="E160" s="0" t="s">
        <v>1822</v>
      </c>
      <c r="F160" s="0">
        <v>1</v>
      </c>
      <c r="G160" s="0" t="s">
        <v>293</v>
      </c>
      <c r="H160" s="0" t="s">
        <v>294</v>
      </c>
      <c r="I160" s="0" t="s">
        <v>918</v>
      </c>
      <c r="P160" s="0" t="s">
        <v>343</v>
      </c>
      <c r="Q160" s="0" t="s">
        <v>343</v>
      </c>
      <c r="T160" s="0" t="s">
        <v>1823</v>
      </c>
      <c r="U160" s="0" t="s">
        <v>1824</v>
      </c>
      <c r="W160" s="0" t="s">
        <v>1734</v>
      </c>
      <c r="X160" s="0" t="s">
        <v>347</v>
      </c>
      <c r="Y160" s="0" t="s">
        <v>171</v>
      </c>
      <c r="Z160" s="0" t="s">
        <v>1735</v>
      </c>
      <c r="AA160" s="0" t="s">
        <v>200</v>
      </c>
      <c r="AB160" s="0" t="s">
        <v>531</v>
      </c>
      <c r="AC160" s="0" t="s">
        <v>532</v>
      </c>
      <c r="AF160" s="0" t="s">
        <v>301</v>
      </c>
      <c r="AM160" s="0" t="s">
        <v>1825</v>
      </c>
      <c r="AN160" s="0" t="s">
        <v>1826</v>
      </c>
      <c r="AO160" s="0" t="s">
        <v>1827</v>
      </c>
      <c r="AP160" s="0" t="s">
        <v>305</v>
      </c>
      <c r="AQ160" s="0" t="s">
        <v>1828</v>
      </c>
      <c r="AR160" s="0" t="s">
        <v>1829</v>
      </c>
      <c r="AS160" s="0">
        <v>304</v>
      </c>
      <c r="AT160" s="0">
        <v>628</v>
      </c>
      <c r="AU160" s="0">
        <v>732</v>
      </c>
      <c r="AV160" s="0" t="s">
        <v>332</v>
      </c>
      <c r="AW160" s="0" t="s">
        <v>332</v>
      </c>
      <c r="AX160" s="0" t="s">
        <v>666</v>
      </c>
      <c r="AY160" s="0" t="s">
        <v>611</v>
      </c>
      <c r="AZ160" s="0" t="s">
        <v>883</v>
      </c>
      <c r="BA160" s="0">
        <v>459</v>
      </c>
      <c r="BB160" s="0" t="s">
        <v>232</v>
      </c>
      <c r="BC160" s="0">
        <v>2</v>
      </c>
      <c r="BD160" s="0">
        <v>38030</v>
      </c>
      <c r="BE160" s="0">
        <v>412</v>
      </c>
      <c r="BF160" s="0">
        <v>4</v>
      </c>
      <c r="BG160" s="0" t="s">
        <v>1830</v>
      </c>
      <c r="BI160" s="0">
        <v>3989</v>
      </c>
      <c r="BK160" s="0" t="s">
        <v>1831</v>
      </c>
    </row>
    <row r="161">
      <c r="A161" s="0">
        <v>4675</v>
      </c>
      <c r="B161" s="0" t="s">
        <v>1832</v>
      </c>
      <c r="C161" s="0" t="s">
        <v>315</v>
      </c>
      <c r="D161" s="0" t="s">
        <v>1730</v>
      </c>
      <c r="E161" s="0" t="s">
        <v>1833</v>
      </c>
      <c r="F161" s="0">
        <v>1</v>
      </c>
      <c r="G161" s="0" t="s">
        <v>319</v>
      </c>
      <c r="H161" s="0" t="s">
        <v>1745</v>
      </c>
      <c r="I161" s="0" t="s">
        <v>948</v>
      </c>
      <c r="K161" s="0" t="s">
        <v>400</v>
      </c>
      <c r="L161" s="0" t="s">
        <v>1683</v>
      </c>
      <c r="M161" s="0" t="s">
        <v>293</v>
      </c>
      <c r="N161" s="0" t="s">
        <v>294</v>
      </c>
      <c r="O161" s="0" t="s">
        <v>918</v>
      </c>
      <c r="P161" s="0" t="s">
        <v>323</v>
      </c>
      <c r="Q161" s="0" t="s">
        <v>323</v>
      </c>
      <c r="R161" s="0" t="s">
        <v>1791</v>
      </c>
      <c r="U161" s="0" t="s">
        <v>1834</v>
      </c>
      <c r="W161" s="0" t="s">
        <v>1734</v>
      </c>
      <c r="X161" s="0" t="s">
        <v>347</v>
      </c>
      <c r="Y161" s="0" t="s">
        <v>171</v>
      </c>
      <c r="Z161" s="0" t="s">
        <v>1735</v>
      </c>
      <c r="AA161" s="0" t="s">
        <v>200</v>
      </c>
      <c r="AB161" s="0" t="s">
        <v>531</v>
      </c>
      <c r="AC161" s="0" t="s">
        <v>532</v>
      </c>
      <c r="AF161" s="0" t="s">
        <v>301</v>
      </c>
      <c r="AM161" s="0" t="s">
        <v>1835</v>
      </c>
      <c r="AN161" s="0" t="s">
        <v>1836</v>
      </c>
      <c r="AO161" s="0" t="s">
        <v>1837</v>
      </c>
      <c r="AP161" s="0" t="s">
        <v>305</v>
      </c>
      <c r="AQ161" s="0" t="s">
        <v>1838</v>
      </c>
      <c r="AR161" s="0" t="s">
        <v>1839</v>
      </c>
      <c r="AS161" s="0">
        <v>26</v>
      </c>
      <c r="AT161" s="0">
        <v>56</v>
      </c>
      <c r="AU161" s="0">
        <v>65</v>
      </c>
      <c r="AV161" s="0" t="s">
        <v>1840</v>
      </c>
      <c r="AW161" s="0" t="s">
        <v>308</v>
      </c>
      <c r="AX161" s="0" t="s">
        <v>1841</v>
      </c>
      <c r="AY161" s="0" t="s">
        <v>1842</v>
      </c>
      <c r="AZ161" s="0" t="s">
        <v>1843</v>
      </c>
      <c r="BA161" s="0">
        <v>459</v>
      </c>
      <c r="BB161" s="0" t="s">
        <v>232</v>
      </c>
      <c r="BC161" s="0">
        <v>2</v>
      </c>
      <c r="BD161" s="0">
        <v>374043</v>
      </c>
      <c r="BE161" s="0">
        <v>412</v>
      </c>
      <c r="BF161" s="0">
        <v>4</v>
      </c>
      <c r="BG161" s="0" t="s">
        <v>1844</v>
      </c>
      <c r="BI161" s="0">
        <v>2903</v>
      </c>
      <c r="BK161" s="0" t="s">
        <v>1845</v>
      </c>
    </row>
    <row r="162">
      <c r="A162" s="0">
        <v>4671</v>
      </c>
      <c r="B162" s="0" t="s">
        <v>1846</v>
      </c>
      <c r="C162" s="0" t="s">
        <v>315</v>
      </c>
      <c r="D162" s="0" t="s">
        <v>1730</v>
      </c>
      <c r="E162" s="0" t="s">
        <v>1681</v>
      </c>
      <c r="F162" s="0">
        <v>1</v>
      </c>
      <c r="G162" s="0" t="s">
        <v>319</v>
      </c>
      <c r="H162" s="0" t="s">
        <v>1745</v>
      </c>
      <c r="I162" s="0" t="s">
        <v>1746</v>
      </c>
      <c r="K162" s="0" t="s">
        <v>400</v>
      </c>
      <c r="L162" s="0" t="s">
        <v>729</v>
      </c>
      <c r="P162" s="0" t="s">
        <v>323</v>
      </c>
      <c r="Q162" s="0" t="s">
        <v>323</v>
      </c>
      <c r="R162" s="0" t="s">
        <v>961</v>
      </c>
      <c r="T162" s="0" t="s">
        <v>1847</v>
      </c>
      <c r="U162" s="0" t="s">
        <v>1848</v>
      </c>
      <c r="W162" s="0" t="s">
        <v>1734</v>
      </c>
      <c r="X162" s="0" t="s">
        <v>347</v>
      </c>
      <c r="Y162" s="0" t="s">
        <v>171</v>
      </c>
      <c r="Z162" s="0" t="s">
        <v>1735</v>
      </c>
      <c r="AA162" s="0" t="s">
        <v>200</v>
      </c>
      <c r="AB162" s="0" t="s">
        <v>531</v>
      </c>
      <c r="AC162" s="0" t="s">
        <v>532</v>
      </c>
      <c r="AF162" s="0" t="s">
        <v>301</v>
      </c>
      <c r="AM162" s="0" t="s">
        <v>455</v>
      </c>
      <c r="AN162" s="0" t="s">
        <v>456</v>
      </c>
      <c r="AO162" s="0" t="s">
        <v>457</v>
      </c>
      <c r="AP162" s="0" t="s">
        <v>305</v>
      </c>
      <c r="AQ162" s="0" t="s">
        <v>1849</v>
      </c>
      <c r="AR162" s="0" t="s">
        <v>303</v>
      </c>
      <c r="AS162" s="0">
        <v>30</v>
      </c>
      <c r="AT162" s="0">
        <v>63</v>
      </c>
      <c r="AU162" s="0">
        <v>72</v>
      </c>
      <c r="AV162" s="0" t="s">
        <v>1850</v>
      </c>
      <c r="AW162" s="0" t="s">
        <v>332</v>
      </c>
      <c r="AX162" s="0" t="s">
        <v>1851</v>
      </c>
      <c r="AY162" s="0" t="s">
        <v>1584</v>
      </c>
      <c r="AZ162" s="0" t="s">
        <v>816</v>
      </c>
      <c r="BA162" s="0">
        <v>459</v>
      </c>
      <c r="BB162" s="0" t="s">
        <v>232</v>
      </c>
      <c r="BC162" s="0">
        <v>2</v>
      </c>
      <c r="BD162" s="0">
        <v>374043</v>
      </c>
      <c r="BE162" s="0">
        <v>412</v>
      </c>
      <c r="BF162" s="0">
        <v>4</v>
      </c>
      <c r="BG162" s="0" t="s">
        <v>1852</v>
      </c>
      <c r="BI162" s="0">
        <v>2138</v>
      </c>
      <c r="BK162" s="0" t="s">
        <v>1853</v>
      </c>
    </row>
    <row r="163">
      <c r="A163" s="0">
        <v>4661</v>
      </c>
      <c r="B163" s="0" t="s">
        <v>1854</v>
      </c>
      <c r="C163" s="0" t="s">
        <v>1855</v>
      </c>
      <c r="D163" s="0" t="s">
        <v>1730</v>
      </c>
      <c r="E163" s="0" t="s">
        <v>1856</v>
      </c>
      <c r="F163" s="0">
        <v>2</v>
      </c>
      <c r="G163" s="0" t="s">
        <v>293</v>
      </c>
      <c r="H163" s="0" t="s">
        <v>294</v>
      </c>
      <c r="I163" s="0" t="s">
        <v>918</v>
      </c>
      <c r="K163" s="0" t="s">
        <v>400</v>
      </c>
      <c r="L163" s="0" t="s">
        <v>1133</v>
      </c>
      <c r="P163" s="0" t="s">
        <v>343</v>
      </c>
      <c r="Q163" s="0" t="s">
        <v>343</v>
      </c>
      <c r="T163" s="0" t="s">
        <v>1857</v>
      </c>
      <c r="W163" s="0" t="s">
        <v>1734</v>
      </c>
      <c r="X163" s="0" t="s">
        <v>529</v>
      </c>
      <c r="Y163" s="0" t="s">
        <v>171</v>
      </c>
      <c r="Z163" s="0" t="s">
        <v>1735</v>
      </c>
      <c r="AA163" s="0" t="s">
        <v>200</v>
      </c>
      <c r="AB163" s="0" t="s">
        <v>531</v>
      </c>
      <c r="AC163" s="0" t="s">
        <v>532</v>
      </c>
      <c r="AF163" s="0" t="s">
        <v>301</v>
      </c>
      <c r="AP163" s="0" t="s">
        <v>305</v>
      </c>
      <c r="BA163" s="0">
        <v>459</v>
      </c>
      <c r="BB163" s="0" t="s">
        <v>232</v>
      </c>
      <c r="BC163" s="0">
        <v>2</v>
      </c>
      <c r="BD163" s="0">
        <v>28</v>
      </c>
      <c r="BE163" s="0">
        <v>412</v>
      </c>
      <c r="BF163" s="0">
        <v>2</v>
      </c>
      <c r="BG163" s="0" t="s">
        <v>1858</v>
      </c>
      <c r="BI163" s="0">
        <v>1080</v>
      </c>
      <c r="BK163" s="0" t="s">
        <v>1859</v>
      </c>
    </row>
    <row r="164">
      <c r="A164" s="0">
        <v>4662</v>
      </c>
      <c r="B164" s="0" t="s">
        <v>1860</v>
      </c>
      <c r="C164" s="0" t="s">
        <v>1855</v>
      </c>
      <c r="D164" s="0" t="s">
        <v>1730</v>
      </c>
      <c r="E164" s="0" t="s">
        <v>1861</v>
      </c>
      <c r="F164" s="0">
        <v>1</v>
      </c>
      <c r="G164" s="0" t="s">
        <v>293</v>
      </c>
      <c r="H164" s="0" t="s">
        <v>294</v>
      </c>
      <c r="I164" s="0" t="s">
        <v>918</v>
      </c>
      <c r="K164" s="0" t="s">
        <v>400</v>
      </c>
      <c r="L164" s="0" t="s">
        <v>1862</v>
      </c>
      <c r="P164" s="0" t="s">
        <v>343</v>
      </c>
      <c r="Q164" s="0" t="s">
        <v>343</v>
      </c>
      <c r="T164" s="0" t="s">
        <v>1863</v>
      </c>
      <c r="U164" s="0" t="s">
        <v>1864</v>
      </c>
      <c r="W164" s="0" t="s">
        <v>1734</v>
      </c>
      <c r="X164" s="0" t="s">
        <v>347</v>
      </c>
      <c r="Y164" s="0" t="s">
        <v>171</v>
      </c>
      <c r="Z164" s="0" t="s">
        <v>1735</v>
      </c>
      <c r="AA164" s="0" t="s">
        <v>200</v>
      </c>
      <c r="AB164" s="0" t="s">
        <v>531</v>
      </c>
      <c r="AC164" s="0" t="s">
        <v>532</v>
      </c>
      <c r="AF164" s="0" t="s">
        <v>301</v>
      </c>
      <c r="AP164" s="0" t="s">
        <v>305</v>
      </c>
      <c r="BA164" s="0">
        <v>459</v>
      </c>
      <c r="BB164" s="0" t="s">
        <v>232</v>
      </c>
      <c r="BC164" s="0">
        <v>2</v>
      </c>
      <c r="BD164" s="0">
        <v>28</v>
      </c>
      <c r="BE164" s="0">
        <v>412</v>
      </c>
      <c r="BF164" s="0">
        <v>4</v>
      </c>
      <c r="BG164" s="0" t="s">
        <v>1865</v>
      </c>
      <c r="BI164" s="0">
        <v>1390</v>
      </c>
      <c r="BK164" s="0" t="s">
        <v>1866</v>
      </c>
    </row>
    <row r="165">
      <c r="A165" s="0">
        <v>4690</v>
      </c>
      <c r="B165" s="0" t="s">
        <v>1867</v>
      </c>
      <c r="C165" s="0" t="s">
        <v>315</v>
      </c>
      <c r="D165" s="0" t="s">
        <v>1730</v>
      </c>
      <c r="E165" s="0" t="s">
        <v>1868</v>
      </c>
      <c r="F165" s="0">
        <v>1</v>
      </c>
      <c r="G165" s="0" t="s">
        <v>543</v>
      </c>
      <c r="H165" s="0" t="s">
        <v>1112</v>
      </c>
      <c r="I165" s="0" t="s">
        <v>549</v>
      </c>
      <c r="K165" s="0" t="s">
        <v>400</v>
      </c>
      <c r="L165" s="0" t="s">
        <v>549</v>
      </c>
      <c r="P165" s="0" t="s">
        <v>323</v>
      </c>
      <c r="Q165" s="0" t="s">
        <v>323</v>
      </c>
      <c r="R165" s="0" t="s">
        <v>1869</v>
      </c>
      <c r="U165" s="0" t="s">
        <v>1870</v>
      </c>
      <c r="W165" s="0" t="s">
        <v>1734</v>
      </c>
      <c r="X165" s="0" t="s">
        <v>347</v>
      </c>
      <c r="Y165" s="0" t="s">
        <v>171</v>
      </c>
      <c r="Z165" s="0" t="s">
        <v>1735</v>
      </c>
      <c r="AA165" s="0" t="s">
        <v>200</v>
      </c>
      <c r="AB165" s="0" t="s">
        <v>531</v>
      </c>
      <c r="AC165" s="0" t="s">
        <v>532</v>
      </c>
      <c r="AF165" s="0" t="s">
        <v>301</v>
      </c>
      <c r="AM165" s="0" t="s">
        <v>1871</v>
      </c>
      <c r="AN165" s="0" t="s">
        <v>1872</v>
      </c>
      <c r="AO165" s="0" t="s">
        <v>1873</v>
      </c>
      <c r="AP165" s="0" t="s">
        <v>305</v>
      </c>
      <c r="AQ165" s="0" t="s">
        <v>1874</v>
      </c>
      <c r="AR165" s="0" t="s">
        <v>303</v>
      </c>
      <c r="AS165" s="0">
        <v>13</v>
      </c>
      <c r="AT165" s="0">
        <v>26</v>
      </c>
      <c r="AU165" s="0">
        <v>39</v>
      </c>
      <c r="AV165" s="0" t="s">
        <v>331</v>
      </c>
      <c r="AW165" s="0" t="s">
        <v>332</v>
      </c>
      <c r="AX165" s="0" t="s">
        <v>1875</v>
      </c>
      <c r="AY165" s="0" t="s">
        <v>1876</v>
      </c>
      <c r="AZ165" s="0" t="s">
        <v>350</v>
      </c>
      <c r="BA165" s="0">
        <v>459</v>
      </c>
      <c r="BB165" s="0" t="s">
        <v>232</v>
      </c>
      <c r="BC165" s="0">
        <v>2</v>
      </c>
      <c r="BD165" s="0">
        <v>374043</v>
      </c>
      <c r="BE165" s="0">
        <v>412</v>
      </c>
      <c r="BF165" s="0">
        <v>4</v>
      </c>
      <c r="BG165" s="0" t="s">
        <v>1877</v>
      </c>
      <c r="BI165" s="0">
        <v>4071</v>
      </c>
      <c r="BK165" s="0" t="s">
        <v>1878</v>
      </c>
    </row>
    <row r="166">
      <c r="A166" s="0">
        <v>4670</v>
      </c>
      <c r="B166" s="0" t="s">
        <v>1879</v>
      </c>
      <c r="C166" s="0" t="s">
        <v>339</v>
      </c>
      <c r="D166" s="0" t="s">
        <v>1730</v>
      </c>
      <c r="E166" s="0" t="s">
        <v>1880</v>
      </c>
      <c r="F166" s="0">
        <v>1</v>
      </c>
      <c r="G166" s="0" t="s">
        <v>319</v>
      </c>
      <c r="H166" s="0" t="s">
        <v>1745</v>
      </c>
      <c r="I166" s="0" t="s">
        <v>1746</v>
      </c>
      <c r="J166" s="0" t="s">
        <v>594</v>
      </c>
      <c r="L166" s="0" t="s">
        <v>1668</v>
      </c>
      <c r="P166" s="0" t="s">
        <v>323</v>
      </c>
      <c r="Q166" s="0" t="s">
        <v>1881</v>
      </c>
      <c r="R166" s="0" t="s">
        <v>1791</v>
      </c>
      <c r="T166" s="0" t="s">
        <v>1882</v>
      </c>
      <c r="U166" s="0" t="s">
        <v>1883</v>
      </c>
      <c r="W166" s="0" t="s">
        <v>1734</v>
      </c>
      <c r="X166" s="0" t="s">
        <v>347</v>
      </c>
      <c r="Y166" s="0" t="s">
        <v>171</v>
      </c>
      <c r="Z166" s="0" t="s">
        <v>1735</v>
      </c>
      <c r="AA166" s="0" t="s">
        <v>200</v>
      </c>
      <c r="AB166" s="0" t="s">
        <v>531</v>
      </c>
      <c r="AC166" s="0" t="s">
        <v>532</v>
      </c>
      <c r="AF166" s="0" t="s">
        <v>301</v>
      </c>
      <c r="AM166" s="0" t="s">
        <v>1884</v>
      </c>
      <c r="AN166" s="0" t="s">
        <v>1885</v>
      </c>
      <c r="AO166" s="0" t="s">
        <v>1886</v>
      </c>
      <c r="AP166" s="0" t="s">
        <v>305</v>
      </c>
      <c r="AQ166" s="0" t="s">
        <v>1887</v>
      </c>
      <c r="AR166" s="0" t="s">
        <v>1888</v>
      </c>
      <c r="AS166" s="0">
        <v>12</v>
      </c>
      <c r="AT166" s="0">
        <v>24</v>
      </c>
      <c r="AU166" s="0">
        <v>36</v>
      </c>
      <c r="AV166" s="0" t="s">
        <v>1889</v>
      </c>
      <c r="AW166" s="0" t="s">
        <v>308</v>
      </c>
      <c r="AX166" s="0" t="s">
        <v>1890</v>
      </c>
      <c r="AY166" s="0" t="s">
        <v>1891</v>
      </c>
      <c r="AZ166" s="0" t="s">
        <v>1892</v>
      </c>
      <c r="BA166" s="0">
        <v>459</v>
      </c>
      <c r="BB166" s="0" t="s">
        <v>232</v>
      </c>
      <c r="BC166" s="0">
        <v>2</v>
      </c>
      <c r="BD166" s="0">
        <v>8</v>
      </c>
      <c r="BE166" s="0">
        <v>412</v>
      </c>
      <c r="BF166" s="0">
        <v>4</v>
      </c>
      <c r="BG166" s="0" t="s">
        <v>1893</v>
      </c>
      <c r="BI166" s="0">
        <v>1904</v>
      </c>
      <c r="BK166" s="0" t="s">
        <v>1894</v>
      </c>
    </row>
    <row r="167">
      <c r="A167" s="0">
        <v>4660</v>
      </c>
      <c r="B167" s="0" t="s">
        <v>1895</v>
      </c>
      <c r="C167" s="0" t="s">
        <v>1139</v>
      </c>
      <c r="D167" s="0" t="s">
        <v>1730</v>
      </c>
      <c r="E167" s="0" t="s">
        <v>1896</v>
      </c>
      <c r="F167" s="0">
        <v>1</v>
      </c>
      <c r="G167" s="0" t="s">
        <v>293</v>
      </c>
      <c r="H167" s="0" t="s">
        <v>294</v>
      </c>
      <c r="I167" s="0" t="s">
        <v>295</v>
      </c>
      <c r="P167" s="0" t="s">
        <v>343</v>
      </c>
      <c r="Q167" s="0" t="s">
        <v>343</v>
      </c>
      <c r="T167" s="0" t="s">
        <v>1897</v>
      </c>
      <c r="U167" s="0" t="s">
        <v>1898</v>
      </c>
      <c r="W167" s="0" t="s">
        <v>1734</v>
      </c>
      <c r="X167" s="0" t="s">
        <v>347</v>
      </c>
      <c r="Y167" s="0" t="s">
        <v>171</v>
      </c>
      <c r="Z167" s="0" t="s">
        <v>1735</v>
      </c>
      <c r="AA167" s="0" t="s">
        <v>200</v>
      </c>
      <c r="AB167" s="0" t="s">
        <v>531</v>
      </c>
      <c r="AC167" s="0" t="s">
        <v>532</v>
      </c>
      <c r="AF167" s="0" t="s">
        <v>301</v>
      </c>
      <c r="AM167" s="0" t="s">
        <v>422</v>
      </c>
      <c r="AN167" s="0" t="s">
        <v>1899</v>
      </c>
      <c r="AO167" s="0" t="s">
        <v>487</v>
      </c>
      <c r="AP167" s="0" t="s">
        <v>305</v>
      </c>
      <c r="AQ167" s="0" t="s">
        <v>307</v>
      </c>
      <c r="AR167" s="0" t="s">
        <v>424</v>
      </c>
      <c r="AS167" s="0">
        <v>205</v>
      </c>
      <c r="AT167" s="0">
        <v>416</v>
      </c>
      <c r="AU167" s="0">
        <v>476</v>
      </c>
      <c r="AV167" s="0" t="s">
        <v>332</v>
      </c>
      <c r="AW167" s="0" t="s">
        <v>332</v>
      </c>
      <c r="AX167" s="0" t="s">
        <v>1900</v>
      </c>
      <c r="AY167" s="0" t="s">
        <v>426</v>
      </c>
      <c r="AZ167" s="0" t="s">
        <v>612</v>
      </c>
      <c r="BA167" s="0">
        <v>459</v>
      </c>
      <c r="BB167" s="0" t="s">
        <v>232</v>
      </c>
      <c r="BC167" s="0">
        <v>2</v>
      </c>
      <c r="BD167" s="0">
        <v>38030</v>
      </c>
      <c r="BE167" s="0">
        <v>412</v>
      </c>
      <c r="BF167" s="0">
        <v>4</v>
      </c>
      <c r="BG167" s="0" t="s">
        <v>1901</v>
      </c>
      <c r="BI167" s="0">
        <v>744</v>
      </c>
      <c r="BK167" s="0" t="s">
        <v>1902</v>
      </c>
    </row>
    <row r="168">
      <c r="A168" s="0">
        <v>4682</v>
      </c>
      <c r="B168" s="0" t="s">
        <v>1903</v>
      </c>
      <c r="C168" s="0" t="s">
        <v>1855</v>
      </c>
      <c r="D168" s="0" t="s">
        <v>1730</v>
      </c>
      <c r="E168" s="0" t="s">
        <v>1904</v>
      </c>
      <c r="F168" s="0">
        <v>1</v>
      </c>
      <c r="G168" s="0" t="s">
        <v>293</v>
      </c>
      <c r="H168" s="0" t="s">
        <v>294</v>
      </c>
      <c r="I168" s="0" t="s">
        <v>295</v>
      </c>
      <c r="K168" s="0" t="s">
        <v>400</v>
      </c>
      <c r="L168" s="0" t="s">
        <v>1133</v>
      </c>
      <c r="P168" s="0" t="s">
        <v>343</v>
      </c>
      <c r="Q168" s="0" t="s">
        <v>343</v>
      </c>
      <c r="T168" s="0" t="s">
        <v>1905</v>
      </c>
      <c r="W168" s="0" t="s">
        <v>1734</v>
      </c>
      <c r="X168" s="0" t="s">
        <v>529</v>
      </c>
      <c r="Y168" s="0" t="s">
        <v>171</v>
      </c>
      <c r="Z168" s="0" t="s">
        <v>1735</v>
      </c>
      <c r="AA168" s="0" t="s">
        <v>200</v>
      </c>
      <c r="AB168" s="0" t="s">
        <v>531</v>
      </c>
      <c r="AC168" s="0" t="s">
        <v>532</v>
      </c>
      <c r="AF168" s="0" t="s">
        <v>301</v>
      </c>
      <c r="AP168" s="0" t="s">
        <v>305</v>
      </c>
      <c r="BA168" s="0">
        <v>459</v>
      </c>
      <c r="BB168" s="0" t="s">
        <v>232</v>
      </c>
      <c r="BC168" s="0">
        <v>2</v>
      </c>
      <c r="BD168" s="0">
        <v>28</v>
      </c>
      <c r="BE168" s="0">
        <v>412</v>
      </c>
      <c r="BF168" s="0">
        <v>2</v>
      </c>
      <c r="BG168" s="0" t="s">
        <v>1906</v>
      </c>
      <c r="BI168" s="0">
        <v>3713</v>
      </c>
      <c r="BK168" s="0" t="s">
        <v>1907</v>
      </c>
    </row>
    <row r="169">
      <c r="A169" s="0">
        <v>4676</v>
      </c>
      <c r="B169" s="0" t="s">
        <v>1908</v>
      </c>
      <c r="C169" s="0" t="s">
        <v>945</v>
      </c>
      <c r="D169" s="0" t="s">
        <v>1730</v>
      </c>
      <c r="E169" s="0" t="s">
        <v>1909</v>
      </c>
      <c r="F169" s="0">
        <v>1</v>
      </c>
      <c r="G169" s="0" t="s">
        <v>319</v>
      </c>
      <c r="H169" s="0" t="s">
        <v>523</v>
      </c>
      <c r="I169" s="0" t="s">
        <v>1268</v>
      </c>
      <c r="J169" s="0" t="s">
        <v>594</v>
      </c>
      <c r="L169" s="0" t="s">
        <v>1268</v>
      </c>
      <c r="P169" s="0" t="s">
        <v>323</v>
      </c>
      <c r="Q169" s="0" t="s">
        <v>343</v>
      </c>
      <c r="R169" s="0" t="s">
        <v>1783</v>
      </c>
      <c r="U169" s="0" t="s">
        <v>1910</v>
      </c>
      <c r="W169" s="0" t="s">
        <v>1734</v>
      </c>
      <c r="X169" s="0" t="s">
        <v>347</v>
      </c>
      <c r="Y169" s="0" t="s">
        <v>171</v>
      </c>
      <c r="Z169" s="0" t="s">
        <v>1735</v>
      </c>
      <c r="AA169" s="0" t="s">
        <v>200</v>
      </c>
      <c r="AB169" s="0" t="s">
        <v>531</v>
      </c>
      <c r="AC169" s="0" t="s">
        <v>532</v>
      </c>
      <c r="AF169" s="0" t="s">
        <v>301</v>
      </c>
      <c r="AP169" s="0" t="s">
        <v>305</v>
      </c>
      <c r="BA169" s="0">
        <v>459</v>
      </c>
      <c r="BB169" s="0" t="s">
        <v>232</v>
      </c>
      <c r="BC169" s="0">
        <v>2</v>
      </c>
      <c r="BD169" s="0">
        <v>14</v>
      </c>
      <c r="BE169" s="0">
        <v>412</v>
      </c>
      <c r="BF169" s="0">
        <v>4</v>
      </c>
      <c r="BG169" s="0" t="s">
        <v>1911</v>
      </c>
      <c r="BI169" s="0">
        <v>3069</v>
      </c>
      <c r="BK169" s="0" t="s">
        <v>1912</v>
      </c>
    </row>
    <row r="170">
      <c r="A170" s="0">
        <v>4686</v>
      </c>
      <c r="B170" s="0" t="s">
        <v>1913</v>
      </c>
      <c r="C170" s="0" t="s">
        <v>1855</v>
      </c>
      <c r="D170" s="0" t="s">
        <v>1914</v>
      </c>
      <c r="E170" s="0" t="s">
        <v>1915</v>
      </c>
      <c r="F170" s="0">
        <v>2</v>
      </c>
      <c r="G170" s="0" t="s">
        <v>400</v>
      </c>
      <c r="H170" s="0" t="s">
        <v>1916</v>
      </c>
      <c r="J170" s="0" t="s">
        <v>293</v>
      </c>
      <c r="K170" s="0" t="s">
        <v>294</v>
      </c>
      <c r="L170" s="0" t="s">
        <v>295</v>
      </c>
      <c r="P170" s="0" t="s">
        <v>343</v>
      </c>
      <c r="Q170" s="0" t="s">
        <v>343</v>
      </c>
      <c r="T170" s="0" t="s">
        <v>1917</v>
      </c>
      <c r="U170" s="0" t="s">
        <v>1918</v>
      </c>
      <c r="W170" s="0" t="s">
        <v>1914</v>
      </c>
      <c r="X170" s="0" t="s">
        <v>841</v>
      </c>
      <c r="Y170" s="0" t="s">
        <v>150</v>
      </c>
      <c r="Z170" s="0" t="s">
        <v>1919</v>
      </c>
      <c r="AA170" s="0" t="s">
        <v>196</v>
      </c>
      <c r="AB170" s="0" t="s">
        <v>300</v>
      </c>
      <c r="AF170" s="0" t="s">
        <v>301</v>
      </c>
      <c r="AM170" s="0" t="s">
        <v>1503</v>
      </c>
      <c r="AN170" s="0" t="s">
        <v>1920</v>
      </c>
      <c r="AO170" s="0" t="s">
        <v>598</v>
      </c>
      <c r="AP170" s="0" t="s">
        <v>305</v>
      </c>
      <c r="AQ170" s="0" t="s">
        <v>1450</v>
      </c>
      <c r="AR170" s="0" t="s">
        <v>307</v>
      </c>
      <c r="AS170" s="0">
        <v>124</v>
      </c>
      <c r="AT170" s="0">
        <v>264</v>
      </c>
      <c r="AU170" s="0">
        <v>314</v>
      </c>
      <c r="AV170" s="0" t="s">
        <v>308</v>
      </c>
      <c r="AW170" s="0" t="s">
        <v>332</v>
      </c>
      <c r="AX170" s="0" t="s">
        <v>1921</v>
      </c>
      <c r="AY170" s="0" t="s">
        <v>422</v>
      </c>
      <c r="AZ170" s="0" t="s">
        <v>445</v>
      </c>
      <c r="BA170" s="0">
        <v>460</v>
      </c>
      <c r="BB170" s="0" t="s">
        <v>232</v>
      </c>
      <c r="BC170" s="0">
        <v>2</v>
      </c>
      <c r="BD170" s="0">
        <v>28</v>
      </c>
      <c r="BE170" s="0">
        <v>142781</v>
      </c>
      <c r="BF170" s="0">
        <v>9</v>
      </c>
      <c r="BG170" s="0" t="s">
        <v>1922</v>
      </c>
      <c r="BI170" s="0">
        <v>750</v>
      </c>
      <c r="BK170" s="0" t="s">
        <v>1923</v>
      </c>
    </row>
    <row r="171">
      <c r="A171" s="0">
        <v>4687</v>
      </c>
      <c r="B171" s="0" t="s">
        <v>1924</v>
      </c>
      <c r="C171" s="0" t="s">
        <v>1855</v>
      </c>
      <c r="D171" s="0" t="s">
        <v>1914</v>
      </c>
      <c r="E171" s="0" t="s">
        <v>1925</v>
      </c>
      <c r="F171" s="0">
        <v>2</v>
      </c>
      <c r="G171" s="0" t="s">
        <v>400</v>
      </c>
      <c r="H171" s="0" t="s">
        <v>1916</v>
      </c>
      <c r="J171" s="0" t="s">
        <v>293</v>
      </c>
      <c r="K171" s="0" t="s">
        <v>294</v>
      </c>
      <c r="L171" s="0" t="s">
        <v>295</v>
      </c>
      <c r="T171" s="0" t="s">
        <v>1926</v>
      </c>
      <c r="U171" s="0" t="s">
        <v>1927</v>
      </c>
      <c r="W171" s="0" t="s">
        <v>1914</v>
      </c>
      <c r="X171" s="0" t="s">
        <v>841</v>
      </c>
      <c r="Y171" s="0" t="s">
        <v>150</v>
      </c>
      <c r="Z171" s="0" t="s">
        <v>1919</v>
      </c>
      <c r="AA171" s="0" t="s">
        <v>196</v>
      </c>
      <c r="AB171" s="0" t="s">
        <v>300</v>
      </c>
      <c r="AF171" s="0" t="s">
        <v>301</v>
      </c>
      <c r="AM171" s="0" t="s">
        <v>627</v>
      </c>
      <c r="AN171" s="0" t="s">
        <v>627</v>
      </c>
      <c r="AO171" s="0" t="s">
        <v>650</v>
      </c>
      <c r="AP171" s="0" t="s">
        <v>305</v>
      </c>
      <c r="AQ171" s="0" t="s">
        <v>1450</v>
      </c>
      <c r="AR171" s="0" t="s">
        <v>1182</v>
      </c>
      <c r="AS171" s="0">
        <v>208</v>
      </c>
      <c r="AT171" s="0">
        <v>440</v>
      </c>
      <c r="AU171" s="0">
        <v>546</v>
      </c>
      <c r="AV171" s="0" t="s">
        <v>332</v>
      </c>
      <c r="AW171" s="0" t="s">
        <v>332</v>
      </c>
      <c r="AX171" s="0" t="s">
        <v>474</v>
      </c>
      <c r="AY171" s="0" t="s">
        <v>474</v>
      </c>
      <c r="AZ171" s="0" t="s">
        <v>307</v>
      </c>
      <c r="BA171" s="0">
        <v>460</v>
      </c>
      <c r="BB171" s="0" t="s">
        <v>232</v>
      </c>
      <c r="BC171" s="0">
        <v>2</v>
      </c>
      <c r="BD171" s="0">
        <v>28</v>
      </c>
      <c r="BE171" s="0">
        <v>142781</v>
      </c>
      <c r="BF171" s="0">
        <v>9</v>
      </c>
      <c r="BG171" s="0" t="s">
        <v>1928</v>
      </c>
      <c r="BI171" s="0">
        <v>1084</v>
      </c>
      <c r="BK171" s="0" t="s">
        <v>1929</v>
      </c>
    </row>
    <row r="172">
      <c r="A172" s="0">
        <v>4685</v>
      </c>
      <c r="B172" s="0" t="s">
        <v>1930</v>
      </c>
      <c r="C172" s="0" t="s">
        <v>339</v>
      </c>
      <c r="D172" s="0" t="s">
        <v>1914</v>
      </c>
      <c r="E172" s="0" t="s">
        <v>1931</v>
      </c>
      <c r="F172" s="0">
        <v>2</v>
      </c>
      <c r="G172" s="0" t="s">
        <v>400</v>
      </c>
      <c r="H172" s="0" t="s">
        <v>1190</v>
      </c>
      <c r="I172" s="0" t="s">
        <v>1932</v>
      </c>
      <c r="J172" s="0" t="s">
        <v>319</v>
      </c>
      <c r="K172" s="0" t="s">
        <v>1933</v>
      </c>
      <c r="L172" s="0" t="s">
        <v>1932</v>
      </c>
      <c r="P172" s="0" t="s">
        <v>343</v>
      </c>
      <c r="Q172" s="0" t="s">
        <v>343</v>
      </c>
      <c r="T172" s="0" t="s">
        <v>1934</v>
      </c>
      <c r="U172" s="0" t="s">
        <v>1935</v>
      </c>
      <c r="W172" s="0" t="s">
        <v>1914</v>
      </c>
      <c r="X172" s="0" t="s">
        <v>1688</v>
      </c>
      <c r="Y172" s="0" t="s">
        <v>150</v>
      </c>
      <c r="Z172" s="0" t="s">
        <v>1919</v>
      </c>
      <c r="AA172" s="0" t="s">
        <v>196</v>
      </c>
      <c r="AB172" s="0" t="s">
        <v>300</v>
      </c>
      <c r="AF172" s="0" t="s">
        <v>301</v>
      </c>
      <c r="AM172" s="0" t="s">
        <v>335</v>
      </c>
      <c r="AN172" s="0" t="s">
        <v>304</v>
      </c>
      <c r="AO172" s="0" t="s">
        <v>353</v>
      </c>
      <c r="AP172" s="0" t="s">
        <v>305</v>
      </c>
      <c r="AQ172" s="0" t="s">
        <v>368</v>
      </c>
      <c r="AR172" s="0" t="s">
        <v>1182</v>
      </c>
      <c r="AS172" s="0">
        <v>75</v>
      </c>
      <c r="AT172" s="0">
        <v>156</v>
      </c>
      <c r="AU172" s="0">
        <v>172</v>
      </c>
      <c r="AV172" s="0" t="s">
        <v>332</v>
      </c>
      <c r="AW172" s="0" t="s">
        <v>332</v>
      </c>
      <c r="AX172" s="0" t="s">
        <v>474</v>
      </c>
      <c r="AY172" s="0" t="s">
        <v>611</v>
      </c>
      <c r="AZ172" s="0" t="s">
        <v>780</v>
      </c>
      <c r="BA172" s="0">
        <v>460</v>
      </c>
      <c r="BB172" s="0" t="s">
        <v>232</v>
      </c>
      <c r="BC172" s="0">
        <v>2</v>
      </c>
      <c r="BD172" s="0">
        <v>8</v>
      </c>
      <c r="BE172" s="0">
        <v>142781</v>
      </c>
      <c r="BF172" s="0">
        <v>6</v>
      </c>
      <c r="BG172" s="0" t="s">
        <v>1936</v>
      </c>
      <c r="BI172" s="0">
        <v>345</v>
      </c>
      <c r="BK172" s="0" t="s">
        <v>1937</v>
      </c>
    </row>
    <row r="173">
      <c r="A173" s="0">
        <v>4688</v>
      </c>
      <c r="B173" s="0" t="s">
        <v>1938</v>
      </c>
      <c r="C173" s="0" t="s">
        <v>315</v>
      </c>
      <c r="D173" s="0" t="s">
        <v>1914</v>
      </c>
      <c r="E173" s="0" t="s">
        <v>1939</v>
      </c>
      <c r="F173" s="0">
        <v>2</v>
      </c>
      <c r="G173" s="0" t="s">
        <v>400</v>
      </c>
      <c r="H173" s="0" t="s">
        <v>660</v>
      </c>
      <c r="J173" s="0" t="s">
        <v>319</v>
      </c>
      <c r="K173" s="0" t="s">
        <v>483</v>
      </c>
      <c r="L173" s="0" t="s">
        <v>1932</v>
      </c>
      <c r="P173" s="0" t="s">
        <v>434</v>
      </c>
      <c r="Q173" s="0" t="s">
        <v>434</v>
      </c>
      <c r="T173" s="0" t="s">
        <v>1940</v>
      </c>
      <c r="U173" s="0" t="s">
        <v>1941</v>
      </c>
      <c r="W173" s="0" t="s">
        <v>1914</v>
      </c>
      <c r="X173" s="0" t="s">
        <v>298</v>
      </c>
      <c r="Y173" s="0" t="s">
        <v>150</v>
      </c>
      <c r="Z173" s="0" t="s">
        <v>1919</v>
      </c>
      <c r="AA173" s="0" t="s">
        <v>196</v>
      </c>
      <c r="AB173" s="0" t="s">
        <v>300</v>
      </c>
      <c r="AF173" s="0" t="s">
        <v>301</v>
      </c>
      <c r="AM173" s="0" t="s">
        <v>1942</v>
      </c>
      <c r="AN173" s="0" t="s">
        <v>1943</v>
      </c>
      <c r="AO173" s="0" t="s">
        <v>1944</v>
      </c>
      <c r="AP173" s="0" t="s">
        <v>305</v>
      </c>
      <c r="AQ173" s="0" t="s">
        <v>1077</v>
      </c>
      <c r="AR173" s="0" t="s">
        <v>1945</v>
      </c>
      <c r="AS173" s="0">
        <v>625</v>
      </c>
      <c r="AT173" s="0">
        <v>1275</v>
      </c>
      <c r="AU173" s="0">
        <v>1530</v>
      </c>
      <c r="AV173" s="0" t="s">
        <v>818</v>
      </c>
      <c r="AX173" s="0" t="s">
        <v>1946</v>
      </c>
      <c r="AY173" s="0" t="s">
        <v>422</v>
      </c>
      <c r="AZ173" s="0" t="s">
        <v>1947</v>
      </c>
      <c r="BA173" s="0">
        <v>460</v>
      </c>
      <c r="BB173" s="0" t="s">
        <v>232</v>
      </c>
      <c r="BC173" s="0">
        <v>2</v>
      </c>
      <c r="BD173" s="0">
        <v>374043</v>
      </c>
      <c r="BE173" s="0">
        <v>142781</v>
      </c>
      <c r="BF173" s="0">
        <v>5</v>
      </c>
      <c r="BG173" s="0" t="s">
        <v>1948</v>
      </c>
      <c r="BI173" s="0">
        <v>1394</v>
      </c>
      <c r="BK173" s="0" t="s">
        <v>1949</v>
      </c>
    </row>
    <row r="174">
      <c r="A174" s="0">
        <v>4689</v>
      </c>
      <c r="B174" s="0" t="s">
        <v>1950</v>
      </c>
      <c r="C174" s="0" t="s">
        <v>1951</v>
      </c>
      <c r="D174" s="0" t="s">
        <v>1952</v>
      </c>
      <c r="E174" s="0" t="s">
        <v>1514</v>
      </c>
      <c r="F174" s="0">
        <v>2</v>
      </c>
      <c r="G174" s="0" t="s">
        <v>555</v>
      </c>
      <c r="H174" s="0" t="s">
        <v>1020</v>
      </c>
      <c r="I174" s="0" t="s">
        <v>417</v>
      </c>
      <c r="J174" s="0" t="s">
        <v>594</v>
      </c>
      <c r="L174" s="0" t="s">
        <v>549</v>
      </c>
      <c r="M174" s="0" t="s">
        <v>293</v>
      </c>
      <c r="N174" s="0" t="s">
        <v>294</v>
      </c>
      <c r="O174" s="0" t="s">
        <v>295</v>
      </c>
      <c r="P174" s="0" t="s">
        <v>323</v>
      </c>
      <c r="Q174" s="0" t="s">
        <v>1592</v>
      </c>
      <c r="R174" s="0" t="s">
        <v>673</v>
      </c>
      <c r="T174" s="0" t="s">
        <v>1953</v>
      </c>
      <c r="U174" s="0" t="s">
        <v>1954</v>
      </c>
      <c r="W174" s="0" t="s">
        <v>1955</v>
      </c>
      <c r="X174" s="0" t="s">
        <v>347</v>
      </c>
      <c r="Y174" s="0" t="s">
        <v>190</v>
      </c>
      <c r="Z174" s="0" t="s">
        <v>1956</v>
      </c>
      <c r="AA174" s="0" t="s">
        <v>189</v>
      </c>
      <c r="AB174" s="0" t="s">
        <v>531</v>
      </c>
      <c r="AC174" s="0" t="s">
        <v>532</v>
      </c>
      <c r="AF174" s="0" t="s">
        <v>301</v>
      </c>
      <c r="AP174" s="0" t="s">
        <v>305</v>
      </c>
      <c r="BA174" s="0">
        <v>461</v>
      </c>
      <c r="BB174" s="0" t="s">
        <v>232</v>
      </c>
      <c r="BC174" s="0">
        <v>2</v>
      </c>
      <c r="BD174" s="0">
        <v>374079</v>
      </c>
      <c r="BE174" s="0">
        <v>142862</v>
      </c>
      <c r="BF174" s="0">
        <v>4</v>
      </c>
      <c r="BG174" s="0" t="s">
        <v>1957</v>
      </c>
      <c r="BI174" s="0">
        <v>347</v>
      </c>
      <c r="BK174" s="0" t="s">
        <v>1958</v>
      </c>
    </row>
    <row r="175">
      <c r="A175" s="0">
        <v>4706</v>
      </c>
      <c r="B175" s="0" t="s">
        <v>1959</v>
      </c>
      <c r="C175" s="0" t="s">
        <v>945</v>
      </c>
      <c r="D175" s="0" t="s">
        <v>1960</v>
      </c>
      <c r="E175" s="0" t="s">
        <v>1961</v>
      </c>
      <c r="F175" s="0">
        <v>2</v>
      </c>
      <c r="G175" s="0" t="s">
        <v>594</v>
      </c>
      <c r="I175" s="0" t="s">
        <v>469</v>
      </c>
      <c r="J175" s="0" t="s">
        <v>555</v>
      </c>
      <c r="K175" s="0" t="s">
        <v>1112</v>
      </c>
      <c r="L175" s="0" t="s">
        <v>469</v>
      </c>
      <c r="P175" s="0" t="s">
        <v>323</v>
      </c>
      <c r="Q175" s="0" t="s">
        <v>343</v>
      </c>
      <c r="R175" s="0" t="s">
        <v>568</v>
      </c>
      <c r="T175" s="0" t="s">
        <v>1962</v>
      </c>
      <c r="U175" s="0" t="s">
        <v>1963</v>
      </c>
      <c r="W175" s="0" t="s">
        <v>1960</v>
      </c>
      <c r="X175" s="0" t="s">
        <v>529</v>
      </c>
      <c r="Y175" s="0" t="s">
        <v>188</v>
      </c>
      <c r="Z175" s="0" t="s">
        <v>1964</v>
      </c>
      <c r="AA175" s="0" t="s">
        <v>187</v>
      </c>
      <c r="AB175" s="0" t="s">
        <v>531</v>
      </c>
      <c r="AC175" s="0" t="s">
        <v>571</v>
      </c>
      <c r="AF175" s="0" t="s">
        <v>301</v>
      </c>
      <c r="AP175" s="0" t="s">
        <v>305</v>
      </c>
      <c r="BA175" s="0">
        <v>464</v>
      </c>
      <c r="BB175" s="0" t="s">
        <v>232</v>
      </c>
      <c r="BC175" s="0">
        <v>2</v>
      </c>
      <c r="BD175" s="0">
        <v>14</v>
      </c>
      <c r="BE175" s="0">
        <v>519830</v>
      </c>
      <c r="BF175" s="0">
        <v>2</v>
      </c>
      <c r="BG175" s="0" t="s">
        <v>1965</v>
      </c>
      <c r="BI175" s="0">
        <v>350</v>
      </c>
      <c r="BK175" s="0" t="s">
        <v>1966</v>
      </c>
    </row>
    <row r="176">
      <c r="A176" s="0">
        <v>4766</v>
      </c>
      <c r="C176" s="0" t="s">
        <v>339</v>
      </c>
      <c r="D176" s="0" t="s">
        <v>1967</v>
      </c>
      <c r="E176" s="0" t="s">
        <v>1968</v>
      </c>
      <c r="F176" s="0">
        <v>4</v>
      </c>
      <c r="R176" s="0" t="s">
        <v>1969</v>
      </c>
      <c r="T176" s="0" t="s">
        <v>1970</v>
      </c>
      <c r="U176" s="0" t="s">
        <v>1971</v>
      </c>
      <c r="W176" s="0" t="s">
        <v>1955</v>
      </c>
      <c r="X176" s="0" t="s">
        <v>347</v>
      </c>
      <c r="Y176" s="0" t="s">
        <v>94</v>
      </c>
      <c r="Z176" s="0" t="s">
        <v>1972</v>
      </c>
      <c r="AA176" s="0" t="s">
        <v>191</v>
      </c>
      <c r="AB176" s="0" t="s">
        <v>300</v>
      </c>
      <c r="AD176" s="0" t="s">
        <v>1973</v>
      </c>
      <c r="AE176" s="0" t="s">
        <v>1974</v>
      </c>
      <c r="AF176" s="0" t="s">
        <v>301</v>
      </c>
      <c r="AP176" s="0" t="s">
        <v>305</v>
      </c>
      <c r="BA176" s="0">
        <v>466</v>
      </c>
      <c r="BB176" s="0" t="s">
        <v>232</v>
      </c>
      <c r="BC176" s="0">
        <v>2</v>
      </c>
      <c r="BD176" s="0">
        <v>8</v>
      </c>
      <c r="BE176" s="0">
        <v>112779</v>
      </c>
      <c r="BF176" s="0">
        <v>4</v>
      </c>
      <c r="BG176" s="0" t="s">
        <v>1975</v>
      </c>
      <c r="BI176" s="0">
        <v>3990</v>
      </c>
      <c r="BK176" s="0" t="s">
        <v>1976</v>
      </c>
    </row>
    <row r="177">
      <c r="A177" s="0">
        <v>4764</v>
      </c>
      <c r="B177" s="0" t="s">
        <v>1977</v>
      </c>
      <c r="C177" s="0" t="s">
        <v>315</v>
      </c>
      <c r="D177" s="0" t="s">
        <v>1967</v>
      </c>
      <c r="E177" s="0" t="s">
        <v>1978</v>
      </c>
      <c r="F177" s="0">
        <v>1</v>
      </c>
      <c r="G177" s="0" t="s">
        <v>508</v>
      </c>
      <c r="H177" s="0" t="s">
        <v>549</v>
      </c>
      <c r="J177" s="0" t="s">
        <v>293</v>
      </c>
      <c r="K177" s="0" t="s">
        <v>294</v>
      </c>
      <c r="L177" s="0" t="s">
        <v>295</v>
      </c>
      <c r="P177" s="0" t="s">
        <v>343</v>
      </c>
      <c r="Q177" s="0" t="s">
        <v>343</v>
      </c>
      <c r="T177" s="0" t="s">
        <v>1979</v>
      </c>
      <c r="U177" s="0" t="s">
        <v>1980</v>
      </c>
      <c r="W177" s="0" t="s">
        <v>1955</v>
      </c>
      <c r="X177" s="0" t="s">
        <v>529</v>
      </c>
      <c r="Y177" s="0" t="s">
        <v>94</v>
      </c>
      <c r="Z177" s="0" t="s">
        <v>1972</v>
      </c>
      <c r="AA177" s="0" t="s">
        <v>191</v>
      </c>
      <c r="AB177" s="0" t="s">
        <v>300</v>
      </c>
      <c r="AD177" s="0" t="s">
        <v>1973</v>
      </c>
      <c r="AE177" s="0" t="s">
        <v>1974</v>
      </c>
      <c r="AF177" s="0" t="s">
        <v>301</v>
      </c>
      <c r="AP177" s="0" t="s">
        <v>305</v>
      </c>
      <c r="BA177" s="0">
        <v>466</v>
      </c>
      <c r="BB177" s="0" t="s">
        <v>232</v>
      </c>
      <c r="BC177" s="0">
        <v>2</v>
      </c>
      <c r="BD177" s="0">
        <v>374043</v>
      </c>
      <c r="BE177" s="0">
        <v>112779</v>
      </c>
      <c r="BF177" s="0">
        <v>2</v>
      </c>
      <c r="BG177" s="0" t="s">
        <v>1981</v>
      </c>
      <c r="BI177" s="0">
        <v>3812</v>
      </c>
      <c r="BK177" s="0" t="s">
        <v>1982</v>
      </c>
    </row>
    <row r="178">
      <c r="A178" s="0">
        <v>4722</v>
      </c>
      <c r="B178" s="0" t="s">
        <v>1983</v>
      </c>
      <c r="C178" s="0" t="s">
        <v>339</v>
      </c>
      <c r="D178" s="0" t="s">
        <v>1984</v>
      </c>
      <c r="E178" s="0" t="s">
        <v>1985</v>
      </c>
      <c r="F178" s="0">
        <v>1</v>
      </c>
      <c r="G178" s="0" t="s">
        <v>1986</v>
      </c>
      <c r="H178" s="0" t="s">
        <v>469</v>
      </c>
      <c r="J178" s="0" t="s">
        <v>319</v>
      </c>
      <c r="K178" s="0" t="s">
        <v>1987</v>
      </c>
      <c r="L178" s="0" t="s">
        <v>469</v>
      </c>
      <c r="P178" s="0" t="s">
        <v>343</v>
      </c>
      <c r="Q178" s="0" t="s">
        <v>343</v>
      </c>
      <c r="T178" s="0" t="s">
        <v>1988</v>
      </c>
      <c r="U178" s="0" t="s">
        <v>1989</v>
      </c>
      <c r="W178" s="0" t="s">
        <v>1955</v>
      </c>
      <c r="X178" s="0" t="s">
        <v>347</v>
      </c>
      <c r="Y178" s="0" t="s">
        <v>94</v>
      </c>
      <c r="Z178" s="0" t="s">
        <v>1972</v>
      </c>
      <c r="AA178" s="0" t="s">
        <v>191</v>
      </c>
      <c r="AB178" s="0" t="s">
        <v>300</v>
      </c>
      <c r="AD178" s="0" t="s">
        <v>1973</v>
      </c>
      <c r="AE178" s="0" t="s">
        <v>1974</v>
      </c>
      <c r="AF178" s="0" t="s">
        <v>301</v>
      </c>
      <c r="AM178" s="0" t="s">
        <v>513</v>
      </c>
      <c r="AN178" s="0" t="s">
        <v>372</v>
      </c>
      <c r="AO178" s="0" t="s">
        <v>304</v>
      </c>
      <c r="AP178" s="0" t="s">
        <v>305</v>
      </c>
      <c r="AS178" s="0">
        <v>120</v>
      </c>
      <c r="AT178" s="0">
        <v>255</v>
      </c>
      <c r="AU178" s="0">
        <v>283</v>
      </c>
      <c r="AV178" s="0" t="s">
        <v>332</v>
      </c>
      <c r="AW178" s="0" t="s">
        <v>332</v>
      </c>
      <c r="AX178" s="0" t="s">
        <v>1066</v>
      </c>
      <c r="AY178" s="0" t="s">
        <v>964</v>
      </c>
      <c r="AZ178" s="0" t="s">
        <v>1990</v>
      </c>
      <c r="BA178" s="0">
        <v>466</v>
      </c>
      <c r="BB178" s="0" t="s">
        <v>232</v>
      </c>
      <c r="BC178" s="0">
        <v>2</v>
      </c>
      <c r="BD178" s="0">
        <v>8</v>
      </c>
      <c r="BE178" s="0">
        <v>112779</v>
      </c>
      <c r="BF178" s="0">
        <v>4</v>
      </c>
      <c r="BG178" s="0" t="s">
        <v>1991</v>
      </c>
      <c r="BI178" s="0">
        <v>2555</v>
      </c>
      <c r="BK178" s="0" t="s">
        <v>1992</v>
      </c>
    </row>
    <row r="179">
      <c r="A179" s="0">
        <v>4721</v>
      </c>
      <c r="B179" s="0" t="s">
        <v>1993</v>
      </c>
      <c r="C179" s="0" t="s">
        <v>339</v>
      </c>
      <c r="D179" s="0" t="s">
        <v>1701</v>
      </c>
      <c r="E179" s="0" t="s">
        <v>1994</v>
      </c>
      <c r="F179" s="0">
        <v>1</v>
      </c>
      <c r="G179" s="0" t="s">
        <v>1995</v>
      </c>
      <c r="H179" s="0" t="s">
        <v>1996</v>
      </c>
      <c r="J179" s="0" t="s">
        <v>319</v>
      </c>
      <c r="K179" s="0" t="s">
        <v>1997</v>
      </c>
      <c r="L179" s="0" t="s">
        <v>1998</v>
      </c>
      <c r="P179" s="0" t="s">
        <v>343</v>
      </c>
      <c r="Q179" s="0" t="s">
        <v>343</v>
      </c>
      <c r="T179" s="0" t="s">
        <v>1999</v>
      </c>
      <c r="U179" s="0" t="s">
        <v>2000</v>
      </c>
      <c r="W179" s="0" t="s">
        <v>1955</v>
      </c>
      <c r="X179" s="0" t="s">
        <v>347</v>
      </c>
      <c r="Y179" s="0" t="s">
        <v>94</v>
      </c>
      <c r="Z179" s="0" t="s">
        <v>1972</v>
      </c>
      <c r="AA179" s="0" t="s">
        <v>191</v>
      </c>
      <c r="AB179" s="0" t="s">
        <v>300</v>
      </c>
      <c r="AD179" s="0" t="s">
        <v>1973</v>
      </c>
      <c r="AE179" s="0" t="s">
        <v>1974</v>
      </c>
      <c r="AF179" s="0" t="s">
        <v>301</v>
      </c>
      <c r="AM179" s="0" t="s">
        <v>309</v>
      </c>
      <c r="AN179" s="0" t="s">
        <v>310</v>
      </c>
      <c r="AO179" s="0" t="s">
        <v>627</v>
      </c>
      <c r="AP179" s="0" t="s">
        <v>305</v>
      </c>
      <c r="AS179" s="0">
        <v>152</v>
      </c>
      <c r="AT179" s="0">
        <v>315</v>
      </c>
      <c r="AU179" s="0">
        <v>364</v>
      </c>
      <c r="AV179" s="0" t="s">
        <v>332</v>
      </c>
      <c r="AW179" s="0" t="s">
        <v>332</v>
      </c>
      <c r="AX179" s="0" t="s">
        <v>490</v>
      </c>
      <c r="AY179" s="0" t="s">
        <v>1472</v>
      </c>
      <c r="AZ179" s="0" t="s">
        <v>808</v>
      </c>
      <c r="BA179" s="0">
        <v>466</v>
      </c>
      <c r="BB179" s="0" t="s">
        <v>232</v>
      </c>
      <c r="BC179" s="0">
        <v>2</v>
      </c>
      <c r="BD179" s="0">
        <v>8</v>
      </c>
      <c r="BE179" s="0">
        <v>112779</v>
      </c>
      <c r="BF179" s="0">
        <v>4</v>
      </c>
      <c r="BG179" s="0" t="s">
        <v>2001</v>
      </c>
      <c r="BI179" s="0">
        <v>2359</v>
      </c>
      <c r="BK179" s="0" t="s">
        <v>2002</v>
      </c>
    </row>
    <row r="180">
      <c r="A180" s="0">
        <v>4763</v>
      </c>
      <c r="B180" s="0" t="s">
        <v>2003</v>
      </c>
      <c r="C180" s="0" t="s">
        <v>945</v>
      </c>
      <c r="D180" s="0" t="s">
        <v>2004</v>
      </c>
      <c r="E180" s="0" t="s">
        <v>2005</v>
      </c>
      <c r="F180" s="0">
        <v>1</v>
      </c>
      <c r="G180" s="0" t="s">
        <v>400</v>
      </c>
      <c r="H180" s="0" t="s">
        <v>482</v>
      </c>
      <c r="J180" s="0" t="s">
        <v>319</v>
      </c>
      <c r="K180" s="0" t="s">
        <v>1987</v>
      </c>
      <c r="L180" s="0" t="s">
        <v>417</v>
      </c>
      <c r="P180" s="0" t="s">
        <v>2006</v>
      </c>
      <c r="Q180" s="0" t="s">
        <v>343</v>
      </c>
      <c r="R180" s="0" t="s">
        <v>2007</v>
      </c>
      <c r="T180" s="0" t="s">
        <v>2008</v>
      </c>
      <c r="U180" s="0" t="s">
        <v>2009</v>
      </c>
      <c r="W180" s="0" t="s">
        <v>1955</v>
      </c>
      <c r="X180" s="0" t="s">
        <v>529</v>
      </c>
      <c r="Y180" s="0" t="s">
        <v>94</v>
      </c>
      <c r="Z180" s="0" t="s">
        <v>1972</v>
      </c>
      <c r="AA180" s="0" t="s">
        <v>191</v>
      </c>
      <c r="AB180" s="0" t="s">
        <v>300</v>
      </c>
      <c r="AD180" s="0" t="s">
        <v>1973</v>
      </c>
      <c r="AE180" s="0" t="s">
        <v>1974</v>
      </c>
      <c r="AF180" s="0" t="s">
        <v>301</v>
      </c>
      <c r="AP180" s="0" t="s">
        <v>305</v>
      </c>
      <c r="BA180" s="0">
        <v>466</v>
      </c>
      <c r="BB180" s="0" t="s">
        <v>232</v>
      </c>
      <c r="BC180" s="0">
        <v>2</v>
      </c>
      <c r="BD180" s="0">
        <v>14</v>
      </c>
      <c r="BE180" s="0">
        <v>112779</v>
      </c>
      <c r="BF180" s="0">
        <v>2</v>
      </c>
      <c r="BG180" s="0" t="s">
        <v>2010</v>
      </c>
      <c r="BI180" s="0">
        <v>3714</v>
      </c>
      <c r="BK180" s="0" t="s">
        <v>2011</v>
      </c>
    </row>
    <row r="181">
      <c r="A181" s="0">
        <v>4765</v>
      </c>
      <c r="B181" s="0" t="s">
        <v>2012</v>
      </c>
      <c r="C181" s="0" t="s">
        <v>315</v>
      </c>
      <c r="D181" s="0" t="s">
        <v>528</v>
      </c>
      <c r="E181" s="0" t="s">
        <v>2013</v>
      </c>
      <c r="F181" s="0">
        <v>1</v>
      </c>
      <c r="G181" s="0" t="s">
        <v>293</v>
      </c>
      <c r="H181" s="0" t="s">
        <v>294</v>
      </c>
      <c r="I181" s="0" t="s">
        <v>918</v>
      </c>
      <c r="J181" s="0" t="s">
        <v>508</v>
      </c>
      <c r="K181" s="0" t="s">
        <v>469</v>
      </c>
      <c r="M181" s="0" t="s">
        <v>319</v>
      </c>
      <c r="N181" s="0" t="s">
        <v>1987</v>
      </c>
      <c r="O181" s="0" t="s">
        <v>469</v>
      </c>
      <c r="P181" s="0" t="s">
        <v>343</v>
      </c>
      <c r="Q181" s="0" t="s">
        <v>343</v>
      </c>
      <c r="T181" s="0" t="s">
        <v>2014</v>
      </c>
      <c r="U181" s="0" t="s">
        <v>2015</v>
      </c>
      <c r="W181" s="0" t="s">
        <v>1955</v>
      </c>
      <c r="X181" s="0" t="s">
        <v>529</v>
      </c>
      <c r="Y181" s="0" t="s">
        <v>94</v>
      </c>
      <c r="Z181" s="0" t="s">
        <v>1972</v>
      </c>
      <c r="AA181" s="0" t="s">
        <v>191</v>
      </c>
      <c r="AB181" s="0" t="s">
        <v>300</v>
      </c>
      <c r="AD181" s="0" t="s">
        <v>1973</v>
      </c>
      <c r="AE181" s="0" t="s">
        <v>1974</v>
      </c>
      <c r="AF181" s="0" t="s">
        <v>301</v>
      </c>
      <c r="AP181" s="0" t="s">
        <v>305</v>
      </c>
      <c r="BA181" s="0">
        <v>466</v>
      </c>
      <c r="BB181" s="0" t="s">
        <v>232</v>
      </c>
      <c r="BC181" s="0">
        <v>2</v>
      </c>
      <c r="BD181" s="0">
        <v>374043</v>
      </c>
      <c r="BE181" s="0">
        <v>112779</v>
      </c>
      <c r="BF181" s="0">
        <v>2</v>
      </c>
      <c r="BG181" s="0" t="s">
        <v>2016</v>
      </c>
      <c r="BI181" s="0">
        <v>3903</v>
      </c>
      <c r="BK181" s="0" t="s">
        <v>2017</v>
      </c>
    </row>
    <row r="182">
      <c r="A182" s="0">
        <v>4715</v>
      </c>
      <c r="B182" s="0" t="s">
        <v>2018</v>
      </c>
      <c r="C182" s="0" t="s">
        <v>290</v>
      </c>
      <c r="D182" s="0" t="s">
        <v>1701</v>
      </c>
      <c r="E182" s="0" t="s">
        <v>2019</v>
      </c>
      <c r="F182" s="0">
        <v>1</v>
      </c>
      <c r="G182" s="0" t="s">
        <v>293</v>
      </c>
      <c r="H182" s="0" t="s">
        <v>379</v>
      </c>
      <c r="I182" s="0" t="s">
        <v>918</v>
      </c>
      <c r="J182" s="0" t="s">
        <v>319</v>
      </c>
      <c r="K182" s="0" t="s">
        <v>1987</v>
      </c>
      <c r="L182" s="0" t="s">
        <v>469</v>
      </c>
      <c r="P182" s="0" t="s">
        <v>343</v>
      </c>
      <c r="Q182" s="0" t="s">
        <v>343</v>
      </c>
      <c r="T182" s="0" t="s">
        <v>2020</v>
      </c>
      <c r="U182" s="0" t="s">
        <v>2021</v>
      </c>
      <c r="W182" s="0" t="s">
        <v>1955</v>
      </c>
      <c r="X182" s="0" t="s">
        <v>529</v>
      </c>
      <c r="Y182" s="0" t="s">
        <v>94</v>
      </c>
      <c r="Z182" s="0" t="s">
        <v>1972</v>
      </c>
      <c r="AA182" s="0" t="s">
        <v>191</v>
      </c>
      <c r="AB182" s="0" t="s">
        <v>300</v>
      </c>
      <c r="AD182" s="0" t="s">
        <v>1973</v>
      </c>
      <c r="AE182" s="0" t="s">
        <v>1974</v>
      </c>
      <c r="AF182" s="0" t="s">
        <v>301</v>
      </c>
      <c r="AP182" s="0" t="s">
        <v>305</v>
      </c>
      <c r="BA182" s="0">
        <v>466</v>
      </c>
      <c r="BB182" s="0" t="s">
        <v>232</v>
      </c>
      <c r="BC182" s="0">
        <v>2</v>
      </c>
      <c r="BD182" s="0">
        <v>374053</v>
      </c>
      <c r="BE182" s="0">
        <v>112779</v>
      </c>
      <c r="BF182" s="0">
        <v>2</v>
      </c>
      <c r="BG182" s="0" t="s">
        <v>2022</v>
      </c>
      <c r="BI182" s="0">
        <v>752</v>
      </c>
      <c r="BK182" s="0" t="s">
        <v>2023</v>
      </c>
    </row>
    <row r="183">
      <c r="A183" s="0">
        <v>4716</v>
      </c>
      <c r="B183" s="0" t="s">
        <v>2024</v>
      </c>
      <c r="C183" s="0" t="s">
        <v>290</v>
      </c>
      <c r="D183" s="0" t="s">
        <v>521</v>
      </c>
      <c r="E183" s="0" t="s">
        <v>2025</v>
      </c>
      <c r="F183" s="0">
        <v>1</v>
      </c>
      <c r="G183" s="0" t="s">
        <v>293</v>
      </c>
      <c r="H183" s="0" t="s">
        <v>294</v>
      </c>
      <c r="I183" s="0" t="s">
        <v>295</v>
      </c>
      <c r="T183" s="0" t="s">
        <v>2026</v>
      </c>
      <c r="U183" s="0" t="s">
        <v>2027</v>
      </c>
      <c r="W183" s="0" t="s">
        <v>1955</v>
      </c>
      <c r="X183" s="0" t="s">
        <v>529</v>
      </c>
      <c r="Y183" s="0" t="s">
        <v>94</v>
      </c>
      <c r="Z183" s="0" t="s">
        <v>1972</v>
      </c>
      <c r="AA183" s="0" t="s">
        <v>191</v>
      </c>
      <c r="AB183" s="0" t="s">
        <v>300</v>
      </c>
      <c r="AD183" s="0" t="s">
        <v>1973</v>
      </c>
      <c r="AE183" s="0" t="s">
        <v>1974</v>
      </c>
      <c r="AF183" s="0" t="s">
        <v>301</v>
      </c>
      <c r="AP183" s="0" t="s">
        <v>305</v>
      </c>
      <c r="BA183" s="0">
        <v>466</v>
      </c>
      <c r="BB183" s="0" t="s">
        <v>232</v>
      </c>
      <c r="BC183" s="0">
        <v>2</v>
      </c>
      <c r="BD183" s="0">
        <v>374053</v>
      </c>
      <c r="BE183" s="0">
        <v>112779</v>
      </c>
      <c r="BF183" s="0">
        <v>2</v>
      </c>
      <c r="BG183" s="0" t="s">
        <v>2028</v>
      </c>
      <c r="BI183" s="0">
        <v>1085</v>
      </c>
      <c r="BK183" s="0" t="s">
        <v>2029</v>
      </c>
    </row>
    <row r="184">
      <c r="A184" s="0">
        <v>4714</v>
      </c>
      <c r="B184" s="0" t="s">
        <v>2030</v>
      </c>
      <c r="C184" s="0" t="s">
        <v>339</v>
      </c>
      <c r="D184" s="0" t="s">
        <v>1984</v>
      </c>
      <c r="E184" s="0" t="s">
        <v>2031</v>
      </c>
      <c r="F184" s="0">
        <v>1</v>
      </c>
      <c r="G184" s="0" t="s">
        <v>400</v>
      </c>
      <c r="J184" s="0" t="s">
        <v>319</v>
      </c>
      <c r="K184" s="0" t="s">
        <v>398</v>
      </c>
      <c r="L184" s="0" t="s">
        <v>948</v>
      </c>
      <c r="M184" s="0" t="s">
        <v>2032</v>
      </c>
      <c r="N184" s="0" t="s">
        <v>2033</v>
      </c>
      <c r="P184" s="0" t="s">
        <v>323</v>
      </c>
      <c r="Q184" s="0" t="s">
        <v>323</v>
      </c>
      <c r="R184" s="0" t="s">
        <v>2034</v>
      </c>
      <c r="T184" s="0" t="s">
        <v>2035</v>
      </c>
      <c r="U184" s="0" t="s">
        <v>2036</v>
      </c>
      <c r="W184" s="0" t="s">
        <v>1955</v>
      </c>
      <c r="X184" s="0" t="s">
        <v>347</v>
      </c>
      <c r="Y184" s="0" t="s">
        <v>94</v>
      </c>
      <c r="Z184" s="0" t="s">
        <v>1972</v>
      </c>
      <c r="AA184" s="0" t="s">
        <v>191</v>
      </c>
      <c r="AB184" s="0" t="s">
        <v>300</v>
      </c>
      <c r="AD184" s="0" t="s">
        <v>1973</v>
      </c>
      <c r="AE184" s="0" t="s">
        <v>1974</v>
      </c>
      <c r="AF184" s="0" t="s">
        <v>301</v>
      </c>
      <c r="AP184" s="0" t="s">
        <v>305</v>
      </c>
      <c r="AV184" s="0" t="s">
        <v>332</v>
      </c>
      <c r="AW184" s="0" t="s">
        <v>1450</v>
      </c>
      <c r="BA184" s="0">
        <v>466</v>
      </c>
      <c r="BB184" s="0" t="s">
        <v>232</v>
      </c>
      <c r="BC184" s="0">
        <v>2</v>
      </c>
      <c r="BD184" s="0">
        <v>8</v>
      </c>
      <c r="BE184" s="0">
        <v>112779</v>
      </c>
      <c r="BF184" s="0">
        <v>4</v>
      </c>
      <c r="BG184" s="0" t="s">
        <v>2037</v>
      </c>
      <c r="BI184" s="0">
        <v>348</v>
      </c>
      <c r="BK184" s="0" t="s">
        <v>2038</v>
      </c>
    </row>
    <row r="185">
      <c r="A185" s="0">
        <v>4767</v>
      </c>
      <c r="C185" s="0" t="s">
        <v>339</v>
      </c>
      <c r="D185" s="0" t="s">
        <v>1984</v>
      </c>
      <c r="E185" s="0" t="s">
        <v>2039</v>
      </c>
      <c r="F185" s="0">
        <v>33</v>
      </c>
      <c r="G185" s="0" t="s">
        <v>400</v>
      </c>
      <c r="H185" s="0" t="s">
        <v>400</v>
      </c>
      <c r="I185" s="0" t="s">
        <v>2040</v>
      </c>
      <c r="J185" s="0" t="s">
        <v>508</v>
      </c>
      <c r="L185" s="0" t="s">
        <v>2040</v>
      </c>
      <c r="M185" s="0" t="s">
        <v>319</v>
      </c>
      <c r="O185" s="0" t="s">
        <v>2040</v>
      </c>
      <c r="T185" s="0" t="s">
        <v>2041</v>
      </c>
      <c r="U185" s="0" t="s">
        <v>2042</v>
      </c>
      <c r="W185" s="0" t="s">
        <v>1955</v>
      </c>
      <c r="X185" s="0" t="s">
        <v>347</v>
      </c>
      <c r="Y185" s="0" t="s">
        <v>94</v>
      </c>
      <c r="Z185" s="0" t="s">
        <v>1972</v>
      </c>
      <c r="AA185" s="0" t="s">
        <v>191</v>
      </c>
      <c r="AB185" s="0" t="s">
        <v>300</v>
      </c>
      <c r="AD185" s="0" t="s">
        <v>1973</v>
      </c>
      <c r="AE185" s="0" t="s">
        <v>1974</v>
      </c>
      <c r="AF185" s="0" t="s">
        <v>301</v>
      </c>
      <c r="AP185" s="0" t="s">
        <v>305</v>
      </c>
      <c r="BA185" s="0">
        <v>466</v>
      </c>
      <c r="BB185" s="0" t="s">
        <v>232</v>
      </c>
      <c r="BC185" s="0">
        <v>2</v>
      </c>
      <c r="BD185" s="0">
        <v>8</v>
      </c>
      <c r="BE185" s="0">
        <v>112779</v>
      </c>
      <c r="BF185" s="0">
        <v>4</v>
      </c>
      <c r="BG185" s="0" t="s">
        <v>2043</v>
      </c>
      <c r="BI185" s="0">
        <v>4072</v>
      </c>
      <c r="BK185" s="0" t="s">
        <v>2044</v>
      </c>
    </row>
    <row r="186">
      <c r="A186" s="0">
        <v>4769</v>
      </c>
      <c r="C186" s="0" t="s">
        <v>945</v>
      </c>
      <c r="D186" s="0" t="s">
        <v>1984</v>
      </c>
      <c r="E186" s="0" t="s">
        <v>2045</v>
      </c>
      <c r="F186" s="0">
        <v>18</v>
      </c>
      <c r="G186" s="0" t="s">
        <v>400</v>
      </c>
      <c r="I186" s="0" t="s">
        <v>2040</v>
      </c>
      <c r="J186" s="0" t="s">
        <v>319</v>
      </c>
      <c r="L186" s="0" t="s">
        <v>2040</v>
      </c>
      <c r="M186" s="0" t="s">
        <v>1590</v>
      </c>
      <c r="O186" s="0" t="s">
        <v>2040</v>
      </c>
      <c r="T186" s="0" t="s">
        <v>2046</v>
      </c>
      <c r="W186" s="0" t="s">
        <v>1955</v>
      </c>
      <c r="X186" s="0" t="s">
        <v>529</v>
      </c>
      <c r="Y186" s="0" t="s">
        <v>94</v>
      </c>
      <c r="Z186" s="0" t="s">
        <v>1972</v>
      </c>
      <c r="AA186" s="0" t="s">
        <v>191</v>
      </c>
      <c r="AB186" s="0" t="s">
        <v>300</v>
      </c>
      <c r="AD186" s="0" t="s">
        <v>1973</v>
      </c>
      <c r="AE186" s="0" t="s">
        <v>1974</v>
      </c>
      <c r="AF186" s="0" t="s">
        <v>301</v>
      </c>
      <c r="AP186" s="0" t="s">
        <v>305</v>
      </c>
      <c r="BA186" s="0">
        <v>466</v>
      </c>
      <c r="BB186" s="0" t="s">
        <v>232</v>
      </c>
      <c r="BC186" s="0">
        <v>2</v>
      </c>
      <c r="BD186" s="0">
        <v>14</v>
      </c>
      <c r="BE186" s="0">
        <v>112779</v>
      </c>
      <c r="BF186" s="0">
        <v>2</v>
      </c>
      <c r="BG186" s="0" t="s">
        <v>2047</v>
      </c>
      <c r="BI186" s="0">
        <v>4217</v>
      </c>
      <c r="BK186" s="0" t="s">
        <v>2048</v>
      </c>
    </row>
    <row r="187">
      <c r="A187" s="0">
        <v>4768</v>
      </c>
      <c r="C187" s="0" t="s">
        <v>1100</v>
      </c>
      <c r="D187" s="0" t="s">
        <v>1984</v>
      </c>
      <c r="E187" s="0" t="s">
        <v>2049</v>
      </c>
      <c r="F187" s="0">
        <v>21</v>
      </c>
      <c r="G187" s="0" t="s">
        <v>319</v>
      </c>
      <c r="I187" s="0" t="s">
        <v>2040</v>
      </c>
      <c r="J187" s="0" t="s">
        <v>508</v>
      </c>
      <c r="L187" s="0" t="s">
        <v>2040</v>
      </c>
      <c r="M187" s="0" t="s">
        <v>1590</v>
      </c>
      <c r="O187" s="0" t="s">
        <v>2040</v>
      </c>
      <c r="T187" s="0" t="s">
        <v>2050</v>
      </c>
      <c r="W187" s="0" t="s">
        <v>1955</v>
      </c>
      <c r="X187" s="0" t="s">
        <v>529</v>
      </c>
      <c r="Y187" s="0" t="s">
        <v>94</v>
      </c>
      <c r="Z187" s="0" t="s">
        <v>1972</v>
      </c>
      <c r="AA187" s="0" t="s">
        <v>191</v>
      </c>
      <c r="AB187" s="0" t="s">
        <v>300</v>
      </c>
      <c r="AD187" s="0" t="s">
        <v>1973</v>
      </c>
      <c r="AE187" s="0" t="s">
        <v>1974</v>
      </c>
      <c r="AF187" s="0" t="s">
        <v>301</v>
      </c>
      <c r="AP187" s="0" t="s">
        <v>305</v>
      </c>
      <c r="BA187" s="0">
        <v>466</v>
      </c>
      <c r="BB187" s="0" t="s">
        <v>232</v>
      </c>
      <c r="BC187" s="0">
        <v>2</v>
      </c>
      <c r="BD187" s="0">
        <v>374072</v>
      </c>
      <c r="BE187" s="0">
        <v>112779</v>
      </c>
      <c r="BF187" s="0">
        <v>2</v>
      </c>
      <c r="BG187" s="0" t="s">
        <v>2051</v>
      </c>
      <c r="BI187" s="0">
        <v>4148</v>
      </c>
      <c r="BK187" s="0" t="s">
        <v>2052</v>
      </c>
    </row>
    <row r="188">
      <c r="A188" s="0">
        <v>4718</v>
      </c>
      <c r="B188" s="0" t="s">
        <v>2053</v>
      </c>
      <c r="C188" s="0" t="s">
        <v>315</v>
      </c>
      <c r="D188" s="0" t="s">
        <v>1952</v>
      </c>
      <c r="E188" s="0" t="s">
        <v>2054</v>
      </c>
      <c r="F188" s="0">
        <v>1</v>
      </c>
      <c r="G188" s="0" t="s">
        <v>293</v>
      </c>
      <c r="H188" s="0" t="s">
        <v>294</v>
      </c>
      <c r="I188" s="0" t="s">
        <v>295</v>
      </c>
      <c r="J188" s="0" t="s">
        <v>319</v>
      </c>
      <c r="K188" s="0" t="s">
        <v>483</v>
      </c>
      <c r="L188" s="0" t="s">
        <v>524</v>
      </c>
      <c r="T188" s="0" t="s">
        <v>2055</v>
      </c>
      <c r="U188" s="0" t="s">
        <v>2056</v>
      </c>
      <c r="W188" s="0" t="s">
        <v>1955</v>
      </c>
      <c r="X188" s="0" t="s">
        <v>1688</v>
      </c>
      <c r="Y188" s="0" t="s">
        <v>94</v>
      </c>
      <c r="Z188" s="0" t="s">
        <v>1972</v>
      </c>
      <c r="AA188" s="0" t="s">
        <v>191</v>
      </c>
      <c r="AB188" s="0" t="s">
        <v>300</v>
      </c>
      <c r="AD188" s="0" t="s">
        <v>1973</v>
      </c>
      <c r="AE188" s="0" t="s">
        <v>1974</v>
      </c>
      <c r="AF188" s="0" t="s">
        <v>301</v>
      </c>
      <c r="AP188" s="0" t="s">
        <v>305</v>
      </c>
      <c r="BA188" s="0">
        <v>466</v>
      </c>
      <c r="BB188" s="0" t="s">
        <v>232</v>
      </c>
      <c r="BC188" s="0">
        <v>2</v>
      </c>
      <c r="BD188" s="0">
        <v>374043</v>
      </c>
      <c r="BE188" s="0">
        <v>112779</v>
      </c>
      <c r="BF188" s="0">
        <v>6</v>
      </c>
      <c r="BG188" s="0" t="s">
        <v>2057</v>
      </c>
      <c r="BI188" s="0">
        <v>1664</v>
      </c>
      <c r="BK188" s="0" t="s">
        <v>2058</v>
      </c>
    </row>
    <row r="189">
      <c r="A189" s="0">
        <v>4815</v>
      </c>
      <c r="B189" s="0" t="s">
        <v>2059</v>
      </c>
      <c r="C189" s="0" t="s">
        <v>2060</v>
      </c>
      <c r="D189" s="0" t="s">
        <v>2061</v>
      </c>
      <c r="E189" s="0" t="s">
        <v>2062</v>
      </c>
      <c r="F189" s="0">
        <v>2</v>
      </c>
      <c r="G189" s="0" t="s">
        <v>293</v>
      </c>
      <c r="H189" s="0" t="s">
        <v>294</v>
      </c>
      <c r="I189" s="0" t="s">
        <v>918</v>
      </c>
      <c r="J189" s="0" t="s">
        <v>319</v>
      </c>
      <c r="K189" s="0" t="s">
        <v>483</v>
      </c>
      <c r="L189" s="0" t="s">
        <v>524</v>
      </c>
      <c r="T189" s="0" t="s">
        <v>2063</v>
      </c>
      <c r="U189" s="0" t="s">
        <v>2064</v>
      </c>
      <c r="W189" s="0" t="s">
        <v>1955</v>
      </c>
      <c r="X189" s="0" t="s">
        <v>529</v>
      </c>
      <c r="Y189" s="0" t="s">
        <v>94</v>
      </c>
      <c r="Z189" s="0" t="s">
        <v>1972</v>
      </c>
      <c r="AA189" s="0" t="s">
        <v>191</v>
      </c>
      <c r="AB189" s="0" t="s">
        <v>300</v>
      </c>
      <c r="AD189" s="0" t="s">
        <v>1973</v>
      </c>
      <c r="AE189" s="0" t="s">
        <v>1974</v>
      </c>
      <c r="AF189" s="0" t="s">
        <v>301</v>
      </c>
      <c r="AP189" s="0" t="s">
        <v>305</v>
      </c>
      <c r="BA189" s="0">
        <v>466</v>
      </c>
      <c r="BB189" s="0" t="s">
        <v>232</v>
      </c>
      <c r="BC189" s="0">
        <v>2</v>
      </c>
      <c r="BD189" s="0">
        <v>374064</v>
      </c>
      <c r="BE189" s="0">
        <v>112779</v>
      </c>
      <c r="BF189" s="0">
        <v>2</v>
      </c>
      <c r="BG189" s="0" t="s">
        <v>2065</v>
      </c>
      <c r="BI189" s="0">
        <v>4346</v>
      </c>
      <c r="BK189" s="0" t="s">
        <v>2066</v>
      </c>
    </row>
    <row r="190">
      <c r="A190" s="0">
        <v>4814</v>
      </c>
      <c r="B190" s="0" t="s">
        <v>2067</v>
      </c>
      <c r="C190" s="0" t="s">
        <v>2060</v>
      </c>
      <c r="D190" s="0" t="s">
        <v>2061</v>
      </c>
      <c r="E190" s="0" t="s">
        <v>2068</v>
      </c>
      <c r="F190" s="0">
        <v>2</v>
      </c>
      <c r="G190" s="0" t="s">
        <v>293</v>
      </c>
      <c r="H190" s="0" t="s">
        <v>294</v>
      </c>
      <c r="I190" s="0" t="s">
        <v>918</v>
      </c>
      <c r="J190" s="0" t="s">
        <v>319</v>
      </c>
      <c r="K190" s="0" t="s">
        <v>483</v>
      </c>
      <c r="L190" s="0" t="s">
        <v>469</v>
      </c>
      <c r="T190" s="0" t="s">
        <v>2069</v>
      </c>
      <c r="U190" s="0" t="s">
        <v>2070</v>
      </c>
      <c r="W190" s="0" t="s">
        <v>1955</v>
      </c>
      <c r="X190" s="0" t="s">
        <v>529</v>
      </c>
      <c r="Y190" s="0" t="s">
        <v>94</v>
      </c>
      <c r="Z190" s="0" t="s">
        <v>1972</v>
      </c>
      <c r="AA190" s="0" t="s">
        <v>191</v>
      </c>
      <c r="AB190" s="0" t="s">
        <v>300</v>
      </c>
      <c r="AD190" s="0" t="s">
        <v>1973</v>
      </c>
      <c r="AE190" s="0" t="s">
        <v>1974</v>
      </c>
      <c r="AF190" s="0" t="s">
        <v>301</v>
      </c>
      <c r="AP190" s="0" t="s">
        <v>305</v>
      </c>
      <c r="BA190" s="0">
        <v>466</v>
      </c>
      <c r="BB190" s="0" t="s">
        <v>232</v>
      </c>
      <c r="BC190" s="0">
        <v>2</v>
      </c>
      <c r="BD190" s="0">
        <v>374064</v>
      </c>
      <c r="BE190" s="0">
        <v>112779</v>
      </c>
      <c r="BF190" s="0">
        <v>2</v>
      </c>
      <c r="BG190" s="0" t="s">
        <v>2071</v>
      </c>
      <c r="BI190" s="0">
        <v>4283</v>
      </c>
      <c r="BK190" s="0" t="s">
        <v>2072</v>
      </c>
    </row>
    <row r="191">
      <c r="A191" s="0">
        <v>4719</v>
      </c>
      <c r="B191" s="0" t="s">
        <v>2073</v>
      </c>
      <c r="C191" s="0" t="s">
        <v>315</v>
      </c>
      <c r="D191" s="0" t="s">
        <v>1701</v>
      </c>
      <c r="E191" s="0" t="s">
        <v>2074</v>
      </c>
      <c r="F191" s="0">
        <v>1</v>
      </c>
      <c r="G191" s="0" t="s">
        <v>293</v>
      </c>
      <c r="H191" s="0" t="s">
        <v>294</v>
      </c>
      <c r="I191" s="0" t="s">
        <v>295</v>
      </c>
      <c r="J191" s="0" t="s">
        <v>319</v>
      </c>
      <c r="K191" s="0" t="s">
        <v>483</v>
      </c>
      <c r="L191" s="0" t="s">
        <v>524</v>
      </c>
      <c r="T191" s="0" t="s">
        <v>2075</v>
      </c>
      <c r="U191" s="0" t="s">
        <v>2076</v>
      </c>
      <c r="W191" s="0" t="s">
        <v>1955</v>
      </c>
      <c r="X191" s="0" t="s">
        <v>529</v>
      </c>
      <c r="Y191" s="0" t="s">
        <v>94</v>
      </c>
      <c r="Z191" s="0" t="s">
        <v>1972</v>
      </c>
      <c r="AA191" s="0" t="s">
        <v>191</v>
      </c>
      <c r="AB191" s="0" t="s">
        <v>300</v>
      </c>
      <c r="AD191" s="0" t="s">
        <v>1973</v>
      </c>
      <c r="AE191" s="0" t="s">
        <v>1974</v>
      </c>
      <c r="AF191" s="0" t="s">
        <v>301</v>
      </c>
      <c r="AP191" s="0" t="s">
        <v>305</v>
      </c>
      <c r="BA191" s="0">
        <v>466</v>
      </c>
      <c r="BB191" s="0" t="s">
        <v>232</v>
      </c>
      <c r="BC191" s="0">
        <v>2</v>
      </c>
      <c r="BD191" s="0">
        <v>374043</v>
      </c>
      <c r="BE191" s="0">
        <v>112779</v>
      </c>
      <c r="BF191" s="0">
        <v>2</v>
      </c>
      <c r="BG191" s="0" t="s">
        <v>2077</v>
      </c>
      <c r="BI191" s="0">
        <v>1909</v>
      </c>
      <c r="BK191" s="0" t="s">
        <v>2078</v>
      </c>
    </row>
    <row r="192">
      <c r="A192" s="0">
        <v>4717</v>
      </c>
      <c r="B192" s="0" t="s">
        <v>2079</v>
      </c>
      <c r="C192" s="0" t="s">
        <v>315</v>
      </c>
      <c r="D192" s="0" t="s">
        <v>1952</v>
      </c>
      <c r="E192" s="0" t="s">
        <v>2080</v>
      </c>
      <c r="F192" s="0">
        <v>1</v>
      </c>
      <c r="G192" s="0" t="s">
        <v>293</v>
      </c>
      <c r="H192" s="0" t="s">
        <v>294</v>
      </c>
      <c r="I192" s="0" t="s">
        <v>918</v>
      </c>
      <c r="J192" s="0" t="s">
        <v>319</v>
      </c>
      <c r="K192" s="0" t="s">
        <v>470</v>
      </c>
      <c r="L192" s="0" t="s">
        <v>471</v>
      </c>
      <c r="T192" s="0" t="s">
        <v>2081</v>
      </c>
      <c r="U192" s="0" t="s">
        <v>2082</v>
      </c>
      <c r="W192" s="0" t="s">
        <v>1955</v>
      </c>
      <c r="X192" s="0" t="s">
        <v>529</v>
      </c>
      <c r="Y192" s="0" t="s">
        <v>94</v>
      </c>
      <c r="Z192" s="0" t="s">
        <v>1972</v>
      </c>
      <c r="AA192" s="0" t="s">
        <v>191</v>
      </c>
      <c r="AB192" s="0" t="s">
        <v>300</v>
      </c>
      <c r="AD192" s="0" t="s">
        <v>1973</v>
      </c>
      <c r="AE192" s="0" t="s">
        <v>1974</v>
      </c>
      <c r="AF192" s="0" t="s">
        <v>301</v>
      </c>
      <c r="AP192" s="0" t="s">
        <v>305</v>
      </c>
      <c r="BA192" s="0">
        <v>466</v>
      </c>
      <c r="BB192" s="0" t="s">
        <v>232</v>
      </c>
      <c r="BC192" s="0">
        <v>2</v>
      </c>
      <c r="BD192" s="0">
        <v>374043</v>
      </c>
      <c r="BE192" s="0">
        <v>112779</v>
      </c>
      <c r="BF192" s="0">
        <v>2</v>
      </c>
      <c r="BG192" s="0" t="s">
        <v>2083</v>
      </c>
      <c r="BI192" s="0">
        <v>1396</v>
      </c>
      <c r="BK192" s="0" t="s">
        <v>2084</v>
      </c>
    </row>
    <row r="193">
      <c r="A193" s="0">
        <v>4720</v>
      </c>
      <c r="B193" s="0" t="s">
        <v>2085</v>
      </c>
      <c r="C193" s="0" t="s">
        <v>315</v>
      </c>
      <c r="D193" s="0" t="s">
        <v>1701</v>
      </c>
      <c r="E193" s="0" t="s">
        <v>2086</v>
      </c>
      <c r="F193" s="0">
        <v>1</v>
      </c>
      <c r="G193" s="0" t="s">
        <v>293</v>
      </c>
      <c r="H193" s="0" t="s">
        <v>294</v>
      </c>
      <c r="I193" s="0" t="s">
        <v>918</v>
      </c>
      <c r="J193" s="0" t="s">
        <v>319</v>
      </c>
      <c r="K193" s="0" t="s">
        <v>2087</v>
      </c>
      <c r="L193" s="0" t="s">
        <v>469</v>
      </c>
      <c r="T193" s="0" t="s">
        <v>2088</v>
      </c>
      <c r="U193" s="0" t="s">
        <v>2089</v>
      </c>
      <c r="W193" s="0" t="s">
        <v>1955</v>
      </c>
      <c r="X193" s="0" t="s">
        <v>529</v>
      </c>
      <c r="Y193" s="0" t="s">
        <v>94</v>
      </c>
      <c r="Z193" s="0" t="s">
        <v>1972</v>
      </c>
      <c r="AA193" s="0" t="s">
        <v>191</v>
      </c>
      <c r="AB193" s="0" t="s">
        <v>300</v>
      </c>
      <c r="AD193" s="0" t="s">
        <v>1973</v>
      </c>
      <c r="AE193" s="0" t="s">
        <v>1974</v>
      </c>
      <c r="AF193" s="0" t="s">
        <v>301</v>
      </c>
      <c r="AP193" s="0" t="s">
        <v>305</v>
      </c>
      <c r="BA193" s="0">
        <v>466</v>
      </c>
      <c r="BB193" s="0" t="s">
        <v>232</v>
      </c>
      <c r="BC193" s="0">
        <v>2</v>
      </c>
      <c r="BD193" s="0">
        <v>374043</v>
      </c>
      <c r="BE193" s="0">
        <v>112779</v>
      </c>
      <c r="BF193" s="0">
        <v>2</v>
      </c>
      <c r="BG193" s="0" t="s">
        <v>2090</v>
      </c>
      <c r="BI193" s="0">
        <v>2141</v>
      </c>
      <c r="BK193" s="0" t="s">
        <v>2091</v>
      </c>
    </row>
    <row r="194">
      <c r="A194" s="0">
        <v>4757</v>
      </c>
      <c r="B194" s="0" t="s">
        <v>2092</v>
      </c>
      <c r="C194" s="0" t="s">
        <v>315</v>
      </c>
      <c r="D194" s="0" t="s">
        <v>1984</v>
      </c>
      <c r="E194" s="0" t="s">
        <v>2093</v>
      </c>
      <c r="F194" s="0">
        <v>1</v>
      </c>
      <c r="G194" s="0" t="s">
        <v>508</v>
      </c>
      <c r="H194" s="0" t="s">
        <v>549</v>
      </c>
      <c r="J194" s="0" t="s">
        <v>293</v>
      </c>
      <c r="K194" s="0" t="s">
        <v>294</v>
      </c>
      <c r="L194" s="0" t="s">
        <v>295</v>
      </c>
      <c r="P194" s="0" t="s">
        <v>2094</v>
      </c>
      <c r="Q194" s="0" t="s">
        <v>2094</v>
      </c>
      <c r="R194" s="0" t="s">
        <v>971</v>
      </c>
      <c r="T194" s="0" t="s">
        <v>2095</v>
      </c>
      <c r="U194" s="0" t="s">
        <v>2096</v>
      </c>
      <c r="W194" s="0" t="s">
        <v>1955</v>
      </c>
      <c r="X194" s="0" t="s">
        <v>529</v>
      </c>
      <c r="Y194" s="0" t="s">
        <v>94</v>
      </c>
      <c r="Z194" s="0" t="s">
        <v>1972</v>
      </c>
      <c r="AA194" s="0" t="s">
        <v>191</v>
      </c>
      <c r="AB194" s="0" t="s">
        <v>300</v>
      </c>
      <c r="AD194" s="0" t="s">
        <v>1973</v>
      </c>
      <c r="AE194" s="0" t="s">
        <v>1974</v>
      </c>
      <c r="AF194" s="0" t="s">
        <v>301</v>
      </c>
      <c r="AP194" s="0" t="s">
        <v>305</v>
      </c>
      <c r="BA194" s="0">
        <v>466</v>
      </c>
      <c r="BB194" s="0" t="s">
        <v>232</v>
      </c>
      <c r="BC194" s="0">
        <v>2</v>
      </c>
      <c r="BD194" s="0">
        <v>374043</v>
      </c>
      <c r="BE194" s="0">
        <v>112779</v>
      </c>
      <c r="BF194" s="0">
        <v>2</v>
      </c>
      <c r="BG194" s="0" t="s">
        <v>2097</v>
      </c>
      <c r="BI194" s="0">
        <v>3071</v>
      </c>
      <c r="BK194" s="0" t="s">
        <v>2098</v>
      </c>
    </row>
    <row r="195">
      <c r="A195" s="0">
        <v>4762</v>
      </c>
      <c r="B195" s="0" t="s">
        <v>2099</v>
      </c>
      <c r="C195" s="0" t="s">
        <v>945</v>
      </c>
      <c r="D195" s="0" t="s">
        <v>2004</v>
      </c>
      <c r="E195" s="0" t="s">
        <v>2100</v>
      </c>
      <c r="F195" s="0">
        <v>1</v>
      </c>
      <c r="G195" s="0" t="s">
        <v>318</v>
      </c>
      <c r="H195" s="0" t="s">
        <v>2101</v>
      </c>
      <c r="J195" s="0" t="s">
        <v>319</v>
      </c>
      <c r="K195" s="0" t="s">
        <v>1987</v>
      </c>
      <c r="L195" s="0" t="s">
        <v>1932</v>
      </c>
      <c r="P195" s="0" t="s">
        <v>2102</v>
      </c>
      <c r="Q195" s="0" t="s">
        <v>343</v>
      </c>
      <c r="R195" s="0" t="s">
        <v>2103</v>
      </c>
      <c r="T195" s="0" t="s">
        <v>2104</v>
      </c>
      <c r="U195" s="0" t="s">
        <v>2105</v>
      </c>
      <c r="W195" s="0" t="s">
        <v>1955</v>
      </c>
      <c r="X195" s="0" t="s">
        <v>529</v>
      </c>
      <c r="Y195" s="0" t="s">
        <v>94</v>
      </c>
      <c r="Z195" s="0" t="s">
        <v>1972</v>
      </c>
      <c r="AA195" s="0" t="s">
        <v>191</v>
      </c>
      <c r="AB195" s="0" t="s">
        <v>300</v>
      </c>
      <c r="AD195" s="0" t="s">
        <v>1973</v>
      </c>
      <c r="AE195" s="0" t="s">
        <v>1974</v>
      </c>
      <c r="AF195" s="0" t="s">
        <v>301</v>
      </c>
      <c r="AP195" s="0" t="s">
        <v>305</v>
      </c>
      <c r="BA195" s="0">
        <v>466</v>
      </c>
      <c r="BB195" s="0" t="s">
        <v>232</v>
      </c>
      <c r="BC195" s="0">
        <v>2</v>
      </c>
      <c r="BD195" s="0">
        <v>14</v>
      </c>
      <c r="BE195" s="0">
        <v>112779</v>
      </c>
      <c r="BF195" s="0">
        <v>2</v>
      </c>
      <c r="BG195" s="0" t="s">
        <v>2106</v>
      </c>
      <c r="BI195" s="0">
        <v>3606</v>
      </c>
      <c r="BK195" s="0" t="s">
        <v>2107</v>
      </c>
    </row>
    <row r="196">
      <c r="A196" s="0">
        <v>4756</v>
      </c>
      <c r="B196" s="0" t="s">
        <v>2108</v>
      </c>
      <c r="C196" s="0" t="s">
        <v>339</v>
      </c>
      <c r="D196" s="0" t="s">
        <v>1984</v>
      </c>
      <c r="E196" s="0" t="s">
        <v>2109</v>
      </c>
      <c r="F196" s="0">
        <v>1</v>
      </c>
      <c r="G196" s="0" t="s">
        <v>319</v>
      </c>
      <c r="H196" s="0" t="s">
        <v>483</v>
      </c>
      <c r="I196" s="0" t="s">
        <v>524</v>
      </c>
      <c r="J196" s="0" t="s">
        <v>293</v>
      </c>
      <c r="K196" s="0" t="s">
        <v>294</v>
      </c>
      <c r="L196" s="0" t="s">
        <v>918</v>
      </c>
      <c r="M196" s="0" t="s">
        <v>318</v>
      </c>
      <c r="N196" s="0" t="s">
        <v>2110</v>
      </c>
      <c r="P196" s="0" t="s">
        <v>2111</v>
      </c>
      <c r="Q196" s="0" t="s">
        <v>2112</v>
      </c>
      <c r="R196" s="0" t="s">
        <v>1695</v>
      </c>
      <c r="T196" s="0" t="s">
        <v>2113</v>
      </c>
      <c r="U196" s="0" t="s">
        <v>2114</v>
      </c>
      <c r="W196" s="0" t="s">
        <v>1955</v>
      </c>
      <c r="X196" s="0" t="s">
        <v>347</v>
      </c>
      <c r="Y196" s="0" t="s">
        <v>94</v>
      </c>
      <c r="Z196" s="0" t="s">
        <v>1972</v>
      </c>
      <c r="AA196" s="0" t="s">
        <v>191</v>
      </c>
      <c r="AB196" s="0" t="s">
        <v>300</v>
      </c>
      <c r="AD196" s="0" t="s">
        <v>1973</v>
      </c>
      <c r="AE196" s="0" t="s">
        <v>1974</v>
      </c>
      <c r="AF196" s="0" t="s">
        <v>301</v>
      </c>
      <c r="AM196" s="0" t="s">
        <v>2115</v>
      </c>
      <c r="AN196" s="0" t="s">
        <v>2116</v>
      </c>
      <c r="AO196" s="0" t="s">
        <v>2117</v>
      </c>
      <c r="AP196" s="0" t="s">
        <v>305</v>
      </c>
      <c r="AS196" s="0">
        <v>9</v>
      </c>
      <c r="AT196" s="0">
        <v>18</v>
      </c>
      <c r="AU196" s="0">
        <v>24</v>
      </c>
      <c r="AV196" s="0" t="s">
        <v>332</v>
      </c>
      <c r="AW196" s="0" t="s">
        <v>331</v>
      </c>
      <c r="AX196" s="0" t="s">
        <v>2118</v>
      </c>
      <c r="AY196" s="0" t="s">
        <v>2119</v>
      </c>
      <c r="AZ196" s="0" t="s">
        <v>2120</v>
      </c>
      <c r="BA196" s="0">
        <v>466</v>
      </c>
      <c r="BB196" s="0" t="s">
        <v>232</v>
      </c>
      <c r="BC196" s="0">
        <v>2</v>
      </c>
      <c r="BD196" s="0">
        <v>8</v>
      </c>
      <c r="BE196" s="0">
        <v>112779</v>
      </c>
      <c r="BF196" s="0">
        <v>4</v>
      </c>
      <c r="BG196" s="0" t="s">
        <v>2121</v>
      </c>
      <c r="BI196" s="0">
        <v>2906</v>
      </c>
      <c r="BK196" s="0" t="s">
        <v>2122</v>
      </c>
    </row>
    <row r="197">
      <c r="A197" s="0">
        <v>4760</v>
      </c>
      <c r="B197" s="0" t="s">
        <v>2123</v>
      </c>
      <c r="C197" s="0" t="s">
        <v>290</v>
      </c>
      <c r="D197" s="0" t="s">
        <v>1701</v>
      </c>
      <c r="E197" s="0" t="s">
        <v>2124</v>
      </c>
      <c r="F197" s="0">
        <v>1</v>
      </c>
      <c r="G197" s="0" t="s">
        <v>293</v>
      </c>
      <c r="H197" s="0" t="s">
        <v>294</v>
      </c>
      <c r="I197" s="0" t="s">
        <v>918</v>
      </c>
      <c r="T197" s="0" t="s">
        <v>2125</v>
      </c>
      <c r="U197" s="0" t="s">
        <v>2126</v>
      </c>
      <c r="W197" s="0" t="s">
        <v>1955</v>
      </c>
      <c r="X197" s="0" t="s">
        <v>529</v>
      </c>
      <c r="Y197" s="0" t="s">
        <v>94</v>
      </c>
      <c r="Z197" s="0" t="s">
        <v>1972</v>
      </c>
      <c r="AA197" s="0" t="s">
        <v>191</v>
      </c>
      <c r="AB197" s="0" t="s">
        <v>300</v>
      </c>
      <c r="AD197" s="0" t="s">
        <v>1973</v>
      </c>
      <c r="AE197" s="0" t="s">
        <v>1974</v>
      </c>
      <c r="AF197" s="0" t="s">
        <v>301</v>
      </c>
      <c r="AP197" s="0" t="s">
        <v>305</v>
      </c>
      <c r="BA197" s="0">
        <v>466</v>
      </c>
      <c r="BB197" s="0" t="s">
        <v>232</v>
      </c>
      <c r="BC197" s="0">
        <v>2</v>
      </c>
      <c r="BD197" s="0">
        <v>374053</v>
      </c>
      <c r="BE197" s="0">
        <v>112779</v>
      </c>
      <c r="BF197" s="0">
        <v>2</v>
      </c>
      <c r="BG197" s="0" t="s">
        <v>2127</v>
      </c>
      <c r="BI197" s="0">
        <v>3493</v>
      </c>
      <c r="BK197" s="0" t="s">
        <v>2128</v>
      </c>
    </row>
    <row r="198">
      <c r="A198" s="0">
        <v>4758</v>
      </c>
      <c r="B198" s="0" t="s">
        <v>2129</v>
      </c>
      <c r="C198" s="0" t="s">
        <v>579</v>
      </c>
      <c r="D198" s="0" t="s">
        <v>1967</v>
      </c>
      <c r="E198" s="0" t="s">
        <v>2130</v>
      </c>
      <c r="F198" s="0">
        <v>1</v>
      </c>
      <c r="G198" s="0" t="s">
        <v>581</v>
      </c>
      <c r="H198" s="0" t="s">
        <v>2131</v>
      </c>
      <c r="J198" s="0" t="s">
        <v>293</v>
      </c>
      <c r="K198" s="0" t="s">
        <v>294</v>
      </c>
      <c r="L198" s="0" t="s">
        <v>918</v>
      </c>
      <c r="T198" s="0" t="s">
        <v>2132</v>
      </c>
      <c r="U198" s="0" t="s">
        <v>2133</v>
      </c>
      <c r="W198" s="0" t="s">
        <v>1955</v>
      </c>
      <c r="X198" s="0" t="s">
        <v>529</v>
      </c>
      <c r="Y198" s="0" t="s">
        <v>94</v>
      </c>
      <c r="Z198" s="0" t="s">
        <v>1972</v>
      </c>
      <c r="AA198" s="0" t="s">
        <v>191</v>
      </c>
      <c r="AB198" s="0" t="s">
        <v>300</v>
      </c>
      <c r="AD198" s="0" t="s">
        <v>1973</v>
      </c>
      <c r="AE198" s="0" t="s">
        <v>1974</v>
      </c>
      <c r="AF198" s="0" t="s">
        <v>301</v>
      </c>
      <c r="AM198" s="0" t="s">
        <v>627</v>
      </c>
      <c r="AN198" s="0" t="s">
        <v>627</v>
      </c>
      <c r="AO198" s="0" t="s">
        <v>781</v>
      </c>
      <c r="AP198" s="0" t="s">
        <v>305</v>
      </c>
      <c r="AQ198" s="0" t="s">
        <v>516</v>
      </c>
      <c r="AR198" s="0" t="s">
        <v>373</v>
      </c>
      <c r="AV198" s="0" t="s">
        <v>1048</v>
      </c>
      <c r="AW198" s="0" t="s">
        <v>1048</v>
      </c>
      <c r="BA198" s="0">
        <v>466</v>
      </c>
      <c r="BB198" s="0" t="s">
        <v>232</v>
      </c>
      <c r="BC198" s="0">
        <v>2</v>
      </c>
      <c r="BD198" s="0">
        <v>374046</v>
      </c>
      <c r="BE198" s="0">
        <v>112779</v>
      </c>
      <c r="BF198" s="0">
        <v>2</v>
      </c>
      <c r="BG198" s="0" t="s">
        <v>2134</v>
      </c>
      <c r="BI198" s="0">
        <v>3223</v>
      </c>
      <c r="BK198" s="0" t="s">
        <v>2135</v>
      </c>
    </row>
    <row r="199">
      <c r="A199" s="0">
        <v>4759</v>
      </c>
      <c r="B199" s="0" t="s">
        <v>2136</v>
      </c>
      <c r="C199" s="0" t="s">
        <v>579</v>
      </c>
      <c r="D199" s="0" t="s">
        <v>1967</v>
      </c>
      <c r="E199" s="0" t="s">
        <v>2137</v>
      </c>
      <c r="F199" s="0">
        <v>1</v>
      </c>
      <c r="G199" s="0" t="s">
        <v>581</v>
      </c>
      <c r="H199" s="0" t="s">
        <v>2131</v>
      </c>
      <c r="J199" s="0" t="s">
        <v>293</v>
      </c>
      <c r="K199" s="0" t="s">
        <v>294</v>
      </c>
      <c r="L199" s="0" t="s">
        <v>918</v>
      </c>
      <c r="T199" s="0" t="s">
        <v>2138</v>
      </c>
      <c r="U199" s="0" t="s">
        <v>2139</v>
      </c>
      <c r="W199" s="0" t="s">
        <v>1955</v>
      </c>
      <c r="X199" s="0" t="s">
        <v>529</v>
      </c>
      <c r="Y199" s="0" t="s">
        <v>94</v>
      </c>
      <c r="Z199" s="0" t="s">
        <v>1972</v>
      </c>
      <c r="AA199" s="0" t="s">
        <v>191</v>
      </c>
      <c r="AB199" s="0" t="s">
        <v>300</v>
      </c>
      <c r="AD199" s="0" t="s">
        <v>1973</v>
      </c>
      <c r="AE199" s="0" t="s">
        <v>1974</v>
      </c>
      <c r="AF199" s="0" t="s">
        <v>301</v>
      </c>
      <c r="AM199" s="0" t="s">
        <v>627</v>
      </c>
      <c r="AN199" s="0" t="s">
        <v>627</v>
      </c>
      <c r="AO199" s="0" t="s">
        <v>627</v>
      </c>
      <c r="AP199" s="0" t="s">
        <v>305</v>
      </c>
      <c r="AQ199" s="0" t="s">
        <v>965</v>
      </c>
      <c r="AR199" s="0" t="s">
        <v>390</v>
      </c>
      <c r="AV199" s="0" t="s">
        <v>1048</v>
      </c>
      <c r="AW199" s="0" t="s">
        <v>1048</v>
      </c>
      <c r="BA199" s="0">
        <v>466</v>
      </c>
      <c r="BB199" s="0" t="s">
        <v>232</v>
      </c>
      <c r="BC199" s="0">
        <v>2</v>
      </c>
      <c r="BD199" s="0">
        <v>374046</v>
      </c>
      <c r="BE199" s="0">
        <v>112779</v>
      </c>
      <c r="BF199" s="0">
        <v>2</v>
      </c>
      <c r="BG199" s="0" t="s">
        <v>2140</v>
      </c>
      <c r="BI199" s="0">
        <v>3365</v>
      </c>
      <c r="BK199" s="0" t="s">
        <v>2141</v>
      </c>
    </row>
    <row r="200">
      <c r="A200" s="0">
        <v>4752</v>
      </c>
      <c r="B200" s="0" t="s">
        <v>2142</v>
      </c>
      <c r="C200" s="0" t="s">
        <v>579</v>
      </c>
      <c r="D200" s="0" t="s">
        <v>1984</v>
      </c>
      <c r="E200" s="0" t="s">
        <v>2143</v>
      </c>
      <c r="F200" s="0">
        <v>2</v>
      </c>
      <c r="G200" s="0" t="s">
        <v>581</v>
      </c>
      <c r="H200" s="0" t="s">
        <v>2131</v>
      </c>
      <c r="J200" s="0" t="s">
        <v>293</v>
      </c>
      <c r="K200" s="0" t="s">
        <v>294</v>
      </c>
      <c r="L200" s="0" t="s">
        <v>918</v>
      </c>
      <c r="T200" s="0" t="s">
        <v>2144</v>
      </c>
      <c r="U200" s="0" t="s">
        <v>2145</v>
      </c>
      <c r="W200" s="0" t="s">
        <v>1955</v>
      </c>
      <c r="X200" s="0" t="s">
        <v>529</v>
      </c>
      <c r="Y200" s="0" t="s">
        <v>94</v>
      </c>
      <c r="Z200" s="0" t="s">
        <v>1972</v>
      </c>
      <c r="AA200" s="0" t="s">
        <v>191</v>
      </c>
      <c r="AB200" s="0" t="s">
        <v>300</v>
      </c>
      <c r="AD200" s="0" t="s">
        <v>1973</v>
      </c>
      <c r="AE200" s="0" t="s">
        <v>1974</v>
      </c>
      <c r="AF200" s="0" t="s">
        <v>301</v>
      </c>
      <c r="AP200" s="0" t="s">
        <v>305</v>
      </c>
      <c r="BA200" s="0">
        <v>466</v>
      </c>
      <c r="BB200" s="0" t="s">
        <v>232</v>
      </c>
      <c r="BC200" s="0">
        <v>2</v>
      </c>
      <c r="BD200" s="0">
        <v>374046</v>
      </c>
      <c r="BE200" s="0">
        <v>112779</v>
      </c>
      <c r="BF200" s="0">
        <v>2</v>
      </c>
      <c r="BG200" s="0" t="s">
        <v>2146</v>
      </c>
      <c r="BI200" s="0">
        <v>2732</v>
      </c>
      <c r="BK200" s="0" t="s">
        <v>2147</v>
      </c>
    </row>
    <row r="201">
      <c r="A201" s="0">
        <v>4745</v>
      </c>
      <c r="B201" s="0" t="s">
        <v>2148</v>
      </c>
      <c r="C201" s="0" t="s">
        <v>656</v>
      </c>
      <c r="D201" s="0" t="s">
        <v>2149</v>
      </c>
      <c r="E201" s="0" t="s">
        <v>2150</v>
      </c>
      <c r="F201" s="0">
        <v>1</v>
      </c>
      <c r="G201" s="0" t="s">
        <v>293</v>
      </c>
      <c r="H201" s="0" t="s">
        <v>294</v>
      </c>
      <c r="I201" s="0" t="s">
        <v>2151</v>
      </c>
      <c r="T201" s="0" t="s">
        <v>2152</v>
      </c>
      <c r="U201" s="0" t="s">
        <v>2153</v>
      </c>
      <c r="W201" s="0" t="s">
        <v>2149</v>
      </c>
      <c r="X201" s="0" t="s">
        <v>529</v>
      </c>
      <c r="Y201" s="0" t="s">
        <v>146</v>
      </c>
      <c r="Z201" s="0" t="s">
        <v>853</v>
      </c>
      <c r="AA201" s="0" t="s">
        <v>186</v>
      </c>
      <c r="AB201" s="0" t="s">
        <v>300</v>
      </c>
      <c r="AF201" s="0" t="s">
        <v>301</v>
      </c>
      <c r="AM201" s="0" t="s">
        <v>780</v>
      </c>
      <c r="AN201" s="0" t="s">
        <v>862</v>
      </c>
      <c r="AO201" s="0" t="s">
        <v>503</v>
      </c>
      <c r="AP201" s="0" t="s">
        <v>305</v>
      </c>
      <c r="AQ201" s="0" t="s">
        <v>307</v>
      </c>
      <c r="AR201" s="0" t="s">
        <v>1302</v>
      </c>
      <c r="AS201" s="0">
        <v>265</v>
      </c>
      <c r="AT201" s="0">
        <v>450</v>
      </c>
      <c r="AU201" s="0">
        <v>600</v>
      </c>
      <c r="AV201" s="0" t="s">
        <v>332</v>
      </c>
      <c r="AX201" s="0" t="s">
        <v>2154</v>
      </c>
      <c r="AY201" s="0" t="s">
        <v>718</v>
      </c>
      <c r="AZ201" s="0" t="s">
        <v>1271</v>
      </c>
      <c r="BA201" s="0">
        <v>467</v>
      </c>
      <c r="BB201" s="0" t="s">
        <v>232</v>
      </c>
      <c r="BC201" s="0">
        <v>2</v>
      </c>
      <c r="BD201" s="0">
        <v>10</v>
      </c>
      <c r="BE201" s="0">
        <v>58728</v>
      </c>
      <c r="BF201" s="0">
        <v>2</v>
      </c>
      <c r="BG201" s="0" t="s">
        <v>2155</v>
      </c>
      <c r="BI201" s="0">
        <v>4218</v>
      </c>
      <c r="BK201" s="0" t="s">
        <v>2156</v>
      </c>
    </row>
    <row r="202">
      <c r="A202" s="0">
        <v>4740</v>
      </c>
      <c r="B202" s="0" t="s">
        <v>2157</v>
      </c>
      <c r="C202" s="0" t="s">
        <v>315</v>
      </c>
      <c r="D202" s="0" t="s">
        <v>2149</v>
      </c>
      <c r="E202" s="0" t="s">
        <v>2158</v>
      </c>
      <c r="F202" s="0">
        <v>1</v>
      </c>
      <c r="G202" s="0" t="s">
        <v>400</v>
      </c>
      <c r="I202" s="0" t="s">
        <v>549</v>
      </c>
      <c r="M202" s="0" t="s">
        <v>543</v>
      </c>
      <c r="O202" s="0" t="s">
        <v>729</v>
      </c>
      <c r="P202" s="0" t="s">
        <v>1089</v>
      </c>
      <c r="Q202" s="0" t="s">
        <v>1089</v>
      </c>
      <c r="R202" s="0" t="s">
        <v>2159</v>
      </c>
      <c r="T202" s="0" t="s">
        <v>2160</v>
      </c>
      <c r="U202" s="0" t="s">
        <v>2161</v>
      </c>
      <c r="W202" s="0" t="s">
        <v>2149</v>
      </c>
      <c r="X202" s="0" t="s">
        <v>529</v>
      </c>
      <c r="Y202" s="0" t="s">
        <v>146</v>
      </c>
      <c r="Z202" s="0" t="s">
        <v>853</v>
      </c>
      <c r="AA202" s="0" t="s">
        <v>186</v>
      </c>
      <c r="AB202" s="0" t="s">
        <v>300</v>
      </c>
      <c r="AF202" s="0" t="s">
        <v>301</v>
      </c>
      <c r="AP202" s="0" t="s">
        <v>305</v>
      </c>
      <c r="BA202" s="0">
        <v>467</v>
      </c>
      <c r="BB202" s="0" t="s">
        <v>232</v>
      </c>
      <c r="BC202" s="0">
        <v>2</v>
      </c>
      <c r="BD202" s="0">
        <v>374043</v>
      </c>
      <c r="BE202" s="0">
        <v>58728</v>
      </c>
      <c r="BF202" s="0">
        <v>2</v>
      </c>
      <c r="BG202" s="0" t="s">
        <v>2162</v>
      </c>
      <c r="BI202" s="0">
        <v>3813</v>
      </c>
      <c r="BK202" s="0" t="s">
        <v>2163</v>
      </c>
    </row>
    <row r="203">
      <c r="A203" s="0">
        <v>4724</v>
      </c>
      <c r="B203" s="0" t="s">
        <v>2164</v>
      </c>
      <c r="C203" s="0" t="s">
        <v>339</v>
      </c>
      <c r="D203" s="0" t="s">
        <v>2149</v>
      </c>
      <c r="E203" s="0" t="s">
        <v>878</v>
      </c>
      <c r="F203" s="0">
        <v>1</v>
      </c>
      <c r="G203" s="0" t="s">
        <v>525</v>
      </c>
      <c r="H203" s="0" t="s">
        <v>508</v>
      </c>
      <c r="I203" s="0" t="s">
        <v>2165</v>
      </c>
      <c r="J203" s="0" t="s">
        <v>319</v>
      </c>
      <c r="L203" s="0" t="s">
        <v>2166</v>
      </c>
      <c r="P203" s="0" t="s">
        <v>323</v>
      </c>
      <c r="Q203" s="0" t="s">
        <v>323</v>
      </c>
      <c r="R203" s="0" t="s">
        <v>961</v>
      </c>
      <c r="T203" s="0" t="s">
        <v>2167</v>
      </c>
      <c r="U203" s="0" t="s">
        <v>2168</v>
      </c>
      <c r="W203" s="0" t="s">
        <v>2149</v>
      </c>
      <c r="X203" s="0" t="s">
        <v>347</v>
      </c>
      <c r="Y203" s="0" t="s">
        <v>146</v>
      </c>
      <c r="Z203" s="0" t="s">
        <v>853</v>
      </c>
      <c r="AA203" s="0" t="s">
        <v>186</v>
      </c>
      <c r="AB203" s="0" t="s">
        <v>300</v>
      </c>
      <c r="AF203" s="0" t="s">
        <v>301</v>
      </c>
      <c r="AM203" s="0" t="s">
        <v>1503</v>
      </c>
      <c r="AN203" s="0" t="s">
        <v>1503</v>
      </c>
      <c r="AO203" s="0" t="s">
        <v>611</v>
      </c>
      <c r="AP203" s="0" t="s">
        <v>305</v>
      </c>
      <c r="AQ203" s="0" t="s">
        <v>1450</v>
      </c>
      <c r="AR203" s="0" t="s">
        <v>502</v>
      </c>
      <c r="AS203" s="0">
        <v>185</v>
      </c>
      <c r="AT203" s="0">
        <v>376</v>
      </c>
      <c r="AU203" s="0">
        <v>414</v>
      </c>
      <c r="AV203" s="0" t="s">
        <v>332</v>
      </c>
      <c r="AW203" s="0" t="s">
        <v>308</v>
      </c>
      <c r="AX203" s="0" t="s">
        <v>2169</v>
      </c>
      <c r="AY203" s="0" t="s">
        <v>2169</v>
      </c>
      <c r="AZ203" s="0" t="s">
        <v>2170</v>
      </c>
      <c r="BA203" s="0">
        <v>467</v>
      </c>
      <c r="BB203" s="0" t="s">
        <v>232</v>
      </c>
      <c r="BC203" s="0">
        <v>2</v>
      </c>
      <c r="BD203" s="0">
        <v>8</v>
      </c>
      <c r="BE203" s="0">
        <v>58728</v>
      </c>
      <c r="BF203" s="0">
        <v>4</v>
      </c>
      <c r="BG203" s="0" t="s">
        <v>2171</v>
      </c>
      <c r="BI203" s="0">
        <v>754</v>
      </c>
      <c r="BK203" s="0" t="s">
        <v>2172</v>
      </c>
    </row>
    <row r="204">
      <c r="A204" s="0">
        <v>4723</v>
      </c>
      <c r="B204" s="0" t="s">
        <v>2173</v>
      </c>
      <c r="C204" s="0" t="s">
        <v>339</v>
      </c>
      <c r="D204" s="0" t="s">
        <v>2149</v>
      </c>
      <c r="E204" s="0" t="s">
        <v>887</v>
      </c>
      <c r="F204" s="0">
        <v>1</v>
      </c>
      <c r="G204" s="0" t="s">
        <v>525</v>
      </c>
      <c r="H204" s="0" t="s">
        <v>508</v>
      </c>
      <c r="I204" s="0" t="s">
        <v>2165</v>
      </c>
      <c r="J204" s="0" t="s">
        <v>319</v>
      </c>
      <c r="K204" s="0" t="s">
        <v>1188</v>
      </c>
      <c r="L204" s="0" t="s">
        <v>2166</v>
      </c>
      <c r="P204" s="0" t="s">
        <v>323</v>
      </c>
      <c r="Q204" s="0" t="s">
        <v>323</v>
      </c>
      <c r="R204" s="0" t="s">
        <v>903</v>
      </c>
      <c r="T204" s="0" t="s">
        <v>2174</v>
      </c>
      <c r="U204" s="0" t="s">
        <v>2175</v>
      </c>
      <c r="W204" s="0" t="s">
        <v>2149</v>
      </c>
      <c r="X204" s="0" t="s">
        <v>347</v>
      </c>
      <c r="Y204" s="0" t="s">
        <v>146</v>
      </c>
      <c r="Z204" s="0" t="s">
        <v>853</v>
      </c>
      <c r="AA204" s="0" t="s">
        <v>186</v>
      </c>
      <c r="AB204" s="0" t="s">
        <v>300</v>
      </c>
      <c r="AF204" s="0" t="s">
        <v>301</v>
      </c>
      <c r="AM204" s="0" t="s">
        <v>2176</v>
      </c>
      <c r="AN204" s="0" t="s">
        <v>2177</v>
      </c>
      <c r="AO204" s="0" t="s">
        <v>2178</v>
      </c>
      <c r="AP204" s="0" t="s">
        <v>305</v>
      </c>
      <c r="AQ204" s="0" t="s">
        <v>2179</v>
      </c>
      <c r="AR204" s="0" t="s">
        <v>2180</v>
      </c>
      <c r="AS204" s="0">
        <v>11</v>
      </c>
      <c r="AT204" s="0">
        <v>23</v>
      </c>
      <c r="AU204" s="0">
        <v>28</v>
      </c>
      <c r="AV204" s="0" t="s">
        <v>2181</v>
      </c>
      <c r="AW204" s="0" t="s">
        <v>1850</v>
      </c>
      <c r="AX204" s="0" t="s">
        <v>2182</v>
      </c>
      <c r="AY204" s="0" t="s">
        <v>2183</v>
      </c>
      <c r="AZ204" s="0" t="s">
        <v>2184</v>
      </c>
      <c r="BA204" s="0">
        <v>467</v>
      </c>
      <c r="BB204" s="0" t="s">
        <v>232</v>
      </c>
      <c r="BC204" s="0">
        <v>2</v>
      </c>
      <c r="BD204" s="0">
        <v>8</v>
      </c>
      <c r="BE204" s="0">
        <v>58728</v>
      </c>
      <c r="BF204" s="0">
        <v>4</v>
      </c>
      <c r="BG204" s="0" t="s">
        <v>2185</v>
      </c>
      <c r="BI204" s="0">
        <v>351</v>
      </c>
      <c r="BK204" s="0" t="s">
        <v>2186</v>
      </c>
    </row>
    <row r="205">
      <c r="A205" s="0">
        <v>4753</v>
      </c>
      <c r="B205" s="0" t="s">
        <v>2187</v>
      </c>
      <c r="C205" s="0" t="s">
        <v>1139</v>
      </c>
      <c r="D205" s="0" t="s">
        <v>2149</v>
      </c>
      <c r="E205" s="0" t="s">
        <v>2188</v>
      </c>
      <c r="F205" s="0">
        <v>1</v>
      </c>
      <c r="P205" s="0" t="s">
        <v>323</v>
      </c>
      <c r="Q205" s="0" t="s">
        <v>323</v>
      </c>
      <c r="R205" s="0" t="s">
        <v>849</v>
      </c>
      <c r="T205" s="0" t="s">
        <v>2189</v>
      </c>
      <c r="W205" s="0" t="s">
        <v>2149</v>
      </c>
      <c r="X205" s="0" t="s">
        <v>529</v>
      </c>
      <c r="Y205" s="0" t="s">
        <v>146</v>
      </c>
      <c r="Z205" s="0" t="s">
        <v>853</v>
      </c>
      <c r="AA205" s="0" t="s">
        <v>186</v>
      </c>
      <c r="AB205" s="0" t="s">
        <v>300</v>
      </c>
      <c r="AF205" s="0" t="s">
        <v>301</v>
      </c>
      <c r="AP205" s="0" t="s">
        <v>305</v>
      </c>
      <c r="BA205" s="0">
        <v>467</v>
      </c>
      <c r="BB205" s="0" t="s">
        <v>232</v>
      </c>
      <c r="BC205" s="0">
        <v>2</v>
      </c>
      <c r="BD205" s="0">
        <v>38030</v>
      </c>
      <c r="BE205" s="0">
        <v>58728</v>
      </c>
      <c r="BF205" s="0">
        <v>2</v>
      </c>
      <c r="BG205" s="0" t="s">
        <v>2190</v>
      </c>
      <c r="BI205" s="0">
        <v>4553</v>
      </c>
      <c r="BK205" s="0" t="s">
        <v>2191</v>
      </c>
    </row>
    <row r="206">
      <c r="A206" s="0">
        <v>4731</v>
      </c>
      <c r="B206" s="0" t="s">
        <v>2192</v>
      </c>
      <c r="C206" s="0" t="s">
        <v>315</v>
      </c>
      <c r="D206" s="0" t="s">
        <v>2149</v>
      </c>
      <c r="E206" s="0" t="s">
        <v>2193</v>
      </c>
      <c r="F206" s="0">
        <v>1</v>
      </c>
      <c r="P206" s="0" t="s">
        <v>323</v>
      </c>
      <c r="Q206" s="0" t="s">
        <v>323</v>
      </c>
      <c r="R206" s="0" t="s">
        <v>971</v>
      </c>
      <c r="T206" s="0" t="s">
        <v>2194</v>
      </c>
      <c r="W206" s="0" t="s">
        <v>2149</v>
      </c>
      <c r="X206" s="0" t="s">
        <v>529</v>
      </c>
      <c r="Y206" s="0" t="s">
        <v>146</v>
      </c>
      <c r="Z206" s="0" t="s">
        <v>853</v>
      </c>
      <c r="AA206" s="0" t="s">
        <v>186</v>
      </c>
      <c r="AB206" s="0" t="s">
        <v>300</v>
      </c>
      <c r="AF206" s="0" t="s">
        <v>301</v>
      </c>
      <c r="AP206" s="0" t="s">
        <v>305</v>
      </c>
      <c r="BA206" s="0">
        <v>467</v>
      </c>
      <c r="BB206" s="0" t="s">
        <v>232</v>
      </c>
      <c r="BC206" s="0">
        <v>2</v>
      </c>
      <c r="BD206" s="0">
        <v>374043</v>
      </c>
      <c r="BE206" s="0">
        <v>58728</v>
      </c>
      <c r="BF206" s="0">
        <v>2</v>
      </c>
      <c r="BG206" s="0" t="s">
        <v>2195</v>
      </c>
      <c r="BI206" s="0">
        <v>2557</v>
      </c>
      <c r="BK206" s="0" t="s">
        <v>2196</v>
      </c>
    </row>
    <row r="207">
      <c r="A207" s="0">
        <v>4755</v>
      </c>
      <c r="B207" s="0" t="s">
        <v>2197</v>
      </c>
      <c r="C207" s="0" t="s">
        <v>339</v>
      </c>
      <c r="D207" s="0" t="s">
        <v>2149</v>
      </c>
      <c r="E207" s="0" t="s">
        <v>2198</v>
      </c>
      <c r="F207" s="0">
        <v>1</v>
      </c>
      <c r="G207" s="0" t="s">
        <v>319</v>
      </c>
      <c r="H207" s="0" t="s">
        <v>1540</v>
      </c>
      <c r="I207" s="0" t="s">
        <v>497</v>
      </c>
      <c r="J207" s="0" t="s">
        <v>508</v>
      </c>
      <c r="M207" s="0" t="s">
        <v>293</v>
      </c>
      <c r="N207" s="0" t="s">
        <v>294</v>
      </c>
      <c r="O207" s="0" t="s">
        <v>295</v>
      </c>
      <c r="P207" s="0" t="s">
        <v>323</v>
      </c>
      <c r="Q207" s="0" t="s">
        <v>343</v>
      </c>
      <c r="R207" s="0" t="s">
        <v>2007</v>
      </c>
      <c r="T207" s="0" t="s">
        <v>2199</v>
      </c>
      <c r="U207" s="0" t="s">
        <v>2200</v>
      </c>
      <c r="W207" s="0" t="s">
        <v>2149</v>
      </c>
      <c r="X207" s="0" t="s">
        <v>347</v>
      </c>
      <c r="Y207" s="0" t="s">
        <v>146</v>
      </c>
      <c r="Z207" s="0" t="s">
        <v>853</v>
      </c>
      <c r="AA207" s="0" t="s">
        <v>186</v>
      </c>
      <c r="AB207" s="0" t="s">
        <v>300</v>
      </c>
      <c r="AF207" s="0" t="s">
        <v>301</v>
      </c>
      <c r="AM207" s="0" t="s">
        <v>1472</v>
      </c>
      <c r="AN207" s="0" t="s">
        <v>426</v>
      </c>
      <c r="AO207" s="0" t="s">
        <v>585</v>
      </c>
      <c r="AP207" s="0" t="s">
        <v>305</v>
      </c>
      <c r="AQ207" s="0" t="s">
        <v>1575</v>
      </c>
      <c r="AR207" s="0" t="s">
        <v>423</v>
      </c>
      <c r="AS207" s="0">
        <v>159</v>
      </c>
      <c r="AT207" s="0">
        <v>339</v>
      </c>
      <c r="AU207" s="0">
        <v>396</v>
      </c>
      <c r="AV207" s="0" t="s">
        <v>332</v>
      </c>
      <c r="AW207" s="0" t="s">
        <v>332</v>
      </c>
      <c r="AX207" s="0" t="s">
        <v>1066</v>
      </c>
      <c r="AY207" s="0" t="s">
        <v>780</v>
      </c>
      <c r="AZ207" s="0" t="s">
        <v>763</v>
      </c>
      <c r="BA207" s="0">
        <v>467</v>
      </c>
      <c r="BB207" s="0" t="s">
        <v>232</v>
      </c>
      <c r="BC207" s="0">
        <v>2</v>
      </c>
      <c r="BD207" s="0">
        <v>8</v>
      </c>
      <c r="BE207" s="0">
        <v>58728</v>
      </c>
      <c r="BF207" s="0">
        <v>4</v>
      </c>
      <c r="BG207" s="0" t="s">
        <v>2201</v>
      </c>
      <c r="BI207" s="0">
        <v>4555</v>
      </c>
      <c r="BK207" s="0" t="s">
        <v>2202</v>
      </c>
    </row>
    <row r="208">
      <c r="A208" s="0">
        <v>4730</v>
      </c>
      <c r="B208" s="0" t="s">
        <v>2203</v>
      </c>
      <c r="C208" s="0" t="s">
        <v>315</v>
      </c>
      <c r="D208" s="0" t="s">
        <v>2149</v>
      </c>
      <c r="E208" s="0" t="s">
        <v>902</v>
      </c>
      <c r="F208" s="0">
        <v>1</v>
      </c>
      <c r="G208" s="0" t="s">
        <v>319</v>
      </c>
      <c r="H208" s="0" t="s">
        <v>450</v>
      </c>
      <c r="I208" s="0" t="s">
        <v>469</v>
      </c>
      <c r="J208" s="0" t="s">
        <v>525</v>
      </c>
      <c r="K208" s="0" t="s">
        <v>400</v>
      </c>
      <c r="L208" s="0" t="s">
        <v>469</v>
      </c>
      <c r="P208" s="0" t="s">
        <v>323</v>
      </c>
      <c r="Q208" s="0" t="s">
        <v>323</v>
      </c>
      <c r="R208" s="0" t="s">
        <v>903</v>
      </c>
      <c r="T208" s="0" t="s">
        <v>2204</v>
      </c>
      <c r="U208" s="0" t="s">
        <v>2205</v>
      </c>
      <c r="W208" s="0" t="s">
        <v>2149</v>
      </c>
      <c r="X208" s="0" t="s">
        <v>529</v>
      </c>
      <c r="Y208" s="0" t="s">
        <v>146</v>
      </c>
      <c r="Z208" s="0" t="s">
        <v>853</v>
      </c>
      <c r="AA208" s="0" t="s">
        <v>186</v>
      </c>
      <c r="AB208" s="0" t="s">
        <v>300</v>
      </c>
      <c r="AF208" s="0" t="s">
        <v>301</v>
      </c>
      <c r="AP208" s="0" t="s">
        <v>305</v>
      </c>
      <c r="BA208" s="0">
        <v>467</v>
      </c>
      <c r="BB208" s="0" t="s">
        <v>232</v>
      </c>
      <c r="BC208" s="0">
        <v>2</v>
      </c>
      <c r="BD208" s="0">
        <v>374043</v>
      </c>
      <c r="BE208" s="0">
        <v>58728</v>
      </c>
      <c r="BF208" s="0">
        <v>2</v>
      </c>
      <c r="BG208" s="0" t="s">
        <v>2206</v>
      </c>
      <c r="BI208" s="0">
        <v>2360</v>
      </c>
      <c r="BK208" s="0" t="s">
        <v>2207</v>
      </c>
    </row>
    <row r="209">
      <c r="A209" s="0">
        <v>4746</v>
      </c>
      <c r="B209" s="0" t="s">
        <v>2208</v>
      </c>
      <c r="C209" s="0" t="s">
        <v>579</v>
      </c>
      <c r="D209" s="0" t="s">
        <v>2149</v>
      </c>
      <c r="E209" s="0" t="s">
        <v>2209</v>
      </c>
      <c r="F209" s="0">
        <v>1</v>
      </c>
      <c r="G209" s="0" t="s">
        <v>293</v>
      </c>
      <c r="H209" s="0" t="s">
        <v>294</v>
      </c>
      <c r="I209" s="0" t="s">
        <v>295</v>
      </c>
      <c r="J209" s="0" t="s">
        <v>2210</v>
      </c>
      <c r="L209" s="0" t="s">
        <v>583</v>
      </c>
      <c r="T209" s="0" t="s">
        <v>2211</v>
      </c>
      <c r="U209" s="0" t="s">
        <v>2212</v>
      </c>
      <c r="W209" s="0" t="s">
        <v>2149</v>
      </c>
      <c r="X209" s="0" t="s">
        <v>529</v>
      </c>
      <c r="Y209" s="0" t="s">
        <v>146</v>
      </c>
      <c r="Z209" s="0" t="s">
        <v>853</v>
      </c>
      <c r="AA209" s="0" t="s">
        <v>186</v>
      </c>
      <c r="AB209" s="0" t="s">
        <v>300</v>
      </c>
      <c r="AF209" s="0" t="s">
        <v>301</v>
      </c>
      <c r="AM209" s="0" t="s">
        <v>1069</v>
      </c>
      <c r="AN209" s="0" t="s">
        <v>350</v>
      </c>
      <c r="AO209" s="0" t="s">
        <v>816</v>
      </c>
      <c r="AP209" s="0" t="s">
        <v>305</v>
      </c>
      <c r="AQ209" s="0" t="s">
        <v>763</v>
      </c>
      <c r="AR209" s="0" t="s">
        <v>2213</v>
      </c>
      <c r="AS209" s="0">
        <v>132</v>
      </c>
      <c r="AT209" s="0">
        <v>277</v>
      </c>
      <c r="AU209" s="0">
        <v>300</v>
      </c>
      <c r="AV209" s="0" t="s">
        <v>1048</v>
      </c>
      <c r="AW209" s="0" t="s">
        <v>1048</v>
      </c>
      <c r="AX209" s="0" t="s">
        <v>2214</v>
      </c>
      <c r="AY209" s="0" t="s">
        <v>855</v>
      </c>
      <c r="AZ209" s="0" t="s">
        <v>1581</v>
      </c>
      <c r="BA209" s="0">
        <v>467</v>
      </c>
      <c r="BB209" s="0" t="s">
        <v>232</v>
      </c>
      <c r="BC209" s="0">
        <v>2</v>
      </c>
      <c r="BD209" s="0">
        <v>374046</v>
      </c>
      <c r="BE209" s="0">
        <v>58728</v>
      </c>
      <c r="BF209" s="0">
        <v>2</v>
      </c>
      <c r="BG209" s="0" t="s">
        <v>2215</v>
      </c>
      <c r="BI209" s="0">
        <v>4284</v>
      </c>
      <c r="BK209" s="0" t="s">
        <v>2216</v>
      </c>
    </row>
    <row r="210">
      <c r="A210" s="0">
        <v>4747</v>
      </c>
      <c r="B210" s="0" t="s">
        <v>2217</v>
      </c>
      <c r="E210" s="0" t="s">
        <v>2218</v>
      </c>
      <c r="F210" s="0">
        <v>1</v>
      </c>
      <c r="G210" s="0" t="s">
        <v>508</v>
      </c>
      <c r="I210" s="0" t="s">
        <v>497</v>
      </c>
      <c r="J210" s="0" t="s">
        <v>2210</v>
      </c>
      <c r="L210" s="0" t="s">
        <v>583</v>
      </c>
      <c r="T210" s="0" t="s">
        <v>2219</v>
      </c>
      <c r="W210" s="0" t="s">
        <v>2149</v>
      </c>
      <c r="X210" s="0" t="s">
        <v>1116</v>
      </c>
      <c r="Y210" s="0" t="s">
        <v>146</v>
      </c>
      <c r="Z210" s="0" t="s">
        <v>853</v>
      </c>
      <c r="AA210" s="0" t="s">
        <v>186</v>
      </c>
      <c r="AB210" s="0" t="s">
        <v>300</v>
      </c>
      <c r="AF210" s="0" t="s">
        <v>301</v>
      </c>
      <c r="AP210" s="0" t="s">
        <v>305</v>
      </c>
      <c r="BA210" s="0">
        <v>467</v>
      </c>
      <c r="BB210" s="0" t="s">
        <v>232</v>
      </c>
      <c r="BC210" s="0">
        <v>2</v>
      </c>
      <c r="BE210" s="0">
        <v>58728</v>
      </c>
      <c r="BF210" s="0">
        <v>1</v>
      </c>
      <c r="BG210" s="0" t="s">
        <v>2220</v>
      </c>
      <c r="BI210" s="0">
        <v>4305</v>
      </c>
      <c r="BK210" s="0" t="s">
        <v>2221</v>
      </c>
    </row>
    <row r="211">
      <c r="A211" s="0">
        <v>4727</v>
      </c>
      <c r="B211" s="0" t="s">
        <v>2222</v>
      </c>
      <c r="C211" s="0" t="s">
        <v>945</v>
      </c>
      <c r="D211" s="0" t="s">
        <v>2149</v>
      </c>
      <c r="E211" s="0" t="s">
        <v>2223</v>
      </c>
      <c r="F211" s="0">
        <v>1</v>
      </c>
      <c r="G211" s="0" t="s">
        <v>508</v>
      </c>
      <c r="J211" s="0" t="s">
        <v>319</v>
      </c>
      <c r="K211" s="0" t="s">
        <v>2224</v>
      </c>
      <c r="L211" s="0" t="s">
        <v>2225</v>
      </c>
      <c r="P211" s="0" t="s">
        <v>323</v>
      </c>
      <c r="Q211" s="0" t="s">
        <v>1041</v>
      </c>
      <c r="R211" s="0" t="s">
        <v>2225</v>
      </c>
      <c r="T211" s="0" t="s">
        <v>2226</v>
      </c>
      <c r="U211" s="0" t="s">
        <v>2227</v>
      </c>
      <c r="W211" s="0" t="s">
        <v>2149</v>
      </c>
      <c r="X211" s="0" t="s">
        <v>529</v>
      </c>
      <c r="Y211" s="0" t="s">
        <v>146</v>
      </c>
      <c r="Z211" s="0" t="s">
        <v>853</v>
      </c>
      <c r="AA211" s="0" t="s">
        <v>186</v>
      </c>
      <c r="AB211" s="0" t="s">
        <v>300</v>
      </c>
      <c r="AF211" s="0" t="s">
        <v>301</v>
      </c>
      <c r="AM211" s="0" t="s">
        <v>585</v>
      </c>
      <c r="AN211" s="0" t="s">
        <v>1795</v>
      </c>
      <c r="AO211" s="0" t="s">
        <v>747</v>
      </c>
      <c r="AP211" s="0" t="s">
        <v>305</v>
      </c>
      <c r="AQ211" s="0" t="s">
        <v>2228</v>
      </c>
      <c r="AR211" s="0" t="s">
        <v>2229</v>
      </c>
      <c r="AS211" s="0">
        <v>12</v>
      </c>
      <c r="AT211" s="0">
        <v>28</v>
      </c>
      <c r="AU211" s="0">
        <v>36</v>
      </c>
      <c r="AV211" s="0" t="s">
        <v>332</v>
      </c>
      <c r="AW211" s="0" t="s">
        <v>332</v>
      </c>
      <c r="AX211" s="0" t="s">
        <v>491</v>
      </c>
      <c r="AY211" s="0" t="s">
        <v>2230</v>
      </c>
      <c r="AZ211" s="0" t="s">
        <v>392</v>
      </c>
      <c r="BA211" s="0">
        <v>467</v>
      </c>
      <c r="BB211" s="0" t="s">
        <v>232</v>
      </c>
      <c r="BC211" s="0">
        <v>2</v>
      </c>
      <c r="BD211" s="0">
        <v>14</v>
      </c>
      <c r="BE211" s="0">
        <v>58728</v>
      </c>
      <c r="BF211" s="0">
        <v>2</v>
      </c>
      <c r="BG211" s="0" t="s">
        <v>2231</v>
      </c>
      <c r="BI211" s="0">
        <v>1666</v>
      </c>
      <c r="BK211" s="0" t="s">
        <v>2232</v>
      </c>
    </row>
    <row r="212">
      <c r="A212" s="0">
        <v>4726</v>
      </c>
      <c r="B212" s="0" t="s">
        <v>2233</v>
      </c>
      <c r="C212" s="0" t="s">
        <v>945</v>
      </c>
      <c r="D212" s="0" t="s">
        <v>2149</v>
      </c>
      <c r="E212" s="0" t="s">
        <v>958</v>
      </c>
      <c r="F212" s="0">
        <v>1</v>
      </c>
      <c r="G212" s="0" t="s">
        <v>508</v>
      </c>
      <c r="H212" s="0" t="s">
        <v>970</v>
      </c>
      <c r="I212" s="0" t="s">
        <v>2225</v>
      </c>
      <c r="J212" s="0" t="s">
        <v>319</v>
      </c>
      <c r="P212" s="0" t="s">
        <v>323</v>
      </c>
      <c r="Q212" s="0" t="s">
        <v>1041</v>
      </c>
      <c r="R212" s="0" t="s">
        <v>2225</v>
      </c>
      <c r="T212" s="0" t="s">
        <v>2234</v>
      </c>
      <c r="U212" s="0" t="s">
        <v>2235</v>
      </c>
      <c r="W212" s="0" t="s">
        <v>2149</v>
      </c>
      <c r="X212" s="0" t="s">
        <v>529</v>
      </c>
      <c r="Y212" s="0" t="s">
        <v>146</v>
      </c>
      <c r="Z212" s="0" t="s">
        <v>853</v>
      </c>
      <c r="AA212" s="0" t="s">
        <v>186</v>
      </c>
      <c r="AB212" s="0" t="s">
        <v>300</v>
      </c>
      <c r="AF212" s="0" t="s">
        <v>301</v>
      </c>
      <c r="AM212" s="0" t="s">
        <v>585</v>
      </c>
      <c r="AN212" s="0" t="s">
        <v>964</v>
      </c>
      <c r="AO212" s="0" t="s">
        <v>747</v>
      </c>
      <c r="AP212" s="0" t="s">
        <v>305</v>
      </c>
      <c r="AQ212" s="0" t="s">
        <v>389</v>
      </c>
      <c r="AR212" s="0" t="s">
        <v>587</v>
      </c>
      <c r="AS212" s="0">
        <v>52</v>
      </c>
      <c r="AT212" s="0">
        <v>110</v>
      </c>
      <c r="AU212" s="0">
        <v>131</v>
      </c>
      <c r="AV212" s="0" t="s">
        <v>332</v>
      </c>
      <c r="AW212" s="0" t="s">
        <v>332</v>
      </c>
      <c r="AX212" s="0" t="s">
        <v>491</v>
      </c>
      <c r="AY212" s="0" t="s">
        <v>513</v>
      </c>
      <c r="AZ212" s="0" t="s">
        <v>392</v>
      </c>
      <c r="BA212" s="0">
        <v>467</v>
      </c>
      <c r="BB212" s="0" t="s">
        <v>232</v>
      </c>
      <c r="BC212" s="0">
        <v>2</v>
      </c>
      <c r="BD212" s="0">
        <v>14</v>
      </c>
      <c r="BE212" s="0">
        <v>58728</v>
      </c>
      <c r="BF212" s="0">
        <v>2</v>
      </c>
      <c r="BG212" s="0" t="s">
        <v>2236</v>
      </c>
      <c r="BI212" s="0">
        <v>1398</v>
      </c>
      <c r="BK212" s="0" t="s">
        <v>2237</v>
      </c>
    </row>
    <row r="213">
      <c r="A213" s="0">
        <v>4737</v>
      </c>
      <c r="B213" s="0" t="s">
        <v>2238</v>
      </c>
      <c r="E213" s="0" t="s">
        <v>2239</v>
      </c>
      <c r="F213" s="0">
        <v>1</v>
      </c>
      <c r="G213" s="0" t="s">
        <v>525</v>
      </c>
      <c r="H213" s="0" t="s">
        <v>400</v>
      </c>
      <c r="J213" s="0" t="s">
        <v>319</v>
      </c>
      <c r="K213" s="0" t="s">
        <v>1540</v>
      </c>
      <c r="L213" s="0" t="s">
        <v>1268</v>
      </c>
      <c r="P213" s="0" t="s">
        <v>323</v>
      </c>
      <c r="Q213" s="0" t="s">
        <v>343</v>
      </c>
      <c r="R213" s="0" t="s">
        <v>2240</v>
      </c>
      <c r="W213" s="0" t="s">
        <v>2149</v>
      </c>
      <c r="X213" s="0" t="s">
        <v>1116</v>
      </c>
      <c r="Y213" s="0" t="s">
        <v>146</v>
      </c>
      <c r="Z213" s="0" t="s">
        <v>853</v>
      </c>
      <c r="AA213" s="0" t="s">
        <v>186</v>
      </c>
      <c r="AB213" s="0" t="s">
        <v>300</v>
      </c>
      <c r="AF213" s="0" t="s">
        <v>301</v>
      </c>
      <c r="AP213" s="0" t="s">
        <v>305</v>
      </c>
      <c r="BA213" s="0">
        <v>467</v>
      </c>
      <c r="BB213" s="0" t="s">
        <v>232</v>
      </c>
      <c r="BC213" s="0">
        <v>2</v>
      </c>
      <c r="BE213" s="0">
        <v>58728</v>
      </c>
      <c r="BF213" s="0">
        <v>1</v>
      </c>
      <c r="BG213" s="0" t="s">
        <v>2241</v>
      </c>
      <c r="BI213" s="0">
        <v>3412</v>
      </c>
      <c r="BK213" s="0" t="s">
        <v>2242</v>
      </c>
    </row>
    <row r="214">
      <c r="A214" s="0">
        <v>4738</v>
      </c>
      <c r="B214" s="0" t="s">
        <v>2243</v>
      </c>
      <c r="C214" s="0" t="s">
        <v>339</v>
      </c>
      <c r="D214" s="0" t="s">
        <v>2149</v>
      </c>
      <c r="E214" s="0" t="s">
        <v>2244</v>
      </c>
      <c r="F214" s="0">
        <v>1</v>
      </c>
      <c r="G214" s="0" t="s">
        <v>525</v>
      </c>
      <c r="H214" s="0" t="s">
        <v>508</v>
      </c>
      <c r="J214" s="0" t="s">
        <v>319</v>
      </c>
      <c r="K214" s="0" t="s">
        <v>1540</v>
      </c>
      <c r="L214" s="0" t="s">
        <v>1268</v>
      </c>
      <c r="P214" s="0" t="s">
        <v>323</v>
      </c>
      <c r="Q214" s="0" t="s">
        <v>343</v>
      </c>
      <c r="R214" s="0" t="s">
        <v>2245</v>
      </c>
      <c r="T214" s="0" t="s">
        <v>2246</v>
      </c>
      <c r="U214" s="0" t="s">
        <v>2247</v>
      </c>
      <c r="W214" s="0" t="s">
        <v>2149</v>
      </c>
      <c r="X214" s="0" t="s">
        <v>347</v>
      </c>
      <c r="Y214" s="0" t="s">
        <v>146</v>
      </c>
      <c r="Z214" s="0" t="s">
        <v>853</v>
      </c>
      <c r="AA214" s="0" t="s">
        <v>186</v>
      </c>
      <c r="AB214" s="0" t="s">
        <v>300</v>
      </c>
      <c r="AF214" s="0" t="s">
        <v>301</v>
      </c>
      <c r="AM214" s="0" t="s">
        <v>2248</v>
      </c>
      <c r="AN214" s="0" t="s">
        <v>2249</v>
      </c>
      <c r="AO214" s="0" t="s">
        <v>2250</v>
      </c>
      <c r="AP214" s="0" t="s">
        <v>305</v>
      </c>
      <c r="AQ214" s="0" t="s">
        <v>2251</v>
      </c>
      <c r="AR214" s="0" t="s">
        <v>2252</v>
      </c>
      <c r="AS214" s="0">
        <v>14</v>
      </c>
      <c r="AT214" s="0">
        <v>28</v>
      </c>
      <c r="AU214" s="0">
        <v>28</v>
      </c>
      <c r="AV214" s="0" t="s">
        <v>995</v>
      </c>
      <c r="AW214" s="0" t="s">
        <v>308</v>
      </c>
      <c r="AX214" s="0" t="s">
        <v>2253</v>
      </c>
      <c r="AY214" s="0" t="s">
        <v>2254</v>
      </c>
      <c r="AZ214" s="0" t="s">
        <v>2255</v>
      </c>
      <c r="BA214" s="0">
        <v>467</v>
      </c>
      <c r="BB214" s="0" t="s">
        <v>232</v>
      </c>
      <c r="BC214" s="0">
        <v>2</v>
      </c>
      <c r="BD214" s="0">
        <v>8</v>
      </c>
      <c r="BE214" s="0">
        <v>58728</v>
      </c>
      <c r="BF214" s="0">
        <v>4</v>
      </c>
      <c r="BG214" s="0" t="s">
        <v>2256</v>
      </c>
      <c r="BI214" s="0">
        <v>3607</v>
      </c>
      <c r="BK214" s="0" t="s">
        <v>2257</v>
      </c>
    </row>
    <row r="215">
      <c r="A215" s="0">
        <v>4736</v>
      </c>
      <c r="B215" s="0" t="s">
        <v>2258</v>
      </c>
      <c r="C215" s="0" t="s">
        <v>315</v>
      </c>
      <c r="D215" s="0" t="s">
        <v>2149</v>
      </c>
      <c r="E215" s="0" t="s">
        <v>2259</v>
      </c>
      <c r="F215" s="0">
        <v>1</v>
      </c>
      <c r="G215" s="0" t="s">
        <v>400</v>
      </c>
      <c r="H215" s="0" t="s">
        <v>1190</v>
      </c>
      <c r="I215" s="0" t="s">
        <v>469</v>
      </c>
      <c r="J215" s="0" t="s">
        <v>319</v>
      </c>
      <c r="K215" s="0" t="s">
        <v>879</v>
      </c>
      <c r="L215" s="0" t="s">
        <v>471</v>
      </c>
      <c r="P215" s="0" t="s">
        <v>323</v>
      </c>
      <c r="Q215" s="0" t="s">
        <v>323</v>
      </c>
      <c r="R215" s="0" t="s">
        <v>1695</v>
      </c>
      <c r="T215" s="0" t="s">
        <v>2260</v>
      </c>
      <c r="U215" s="0" t="s">
        <v>2261</v>
      </c>
      <c r="W215" s="0" t="s">
        <v>2149</v>
      </c>
      <c r="X215" s="0" t="s">
        <v>529</v>
      </c>
      <c r="Y215" s="0" t="s">
        <v>146</v>
      </c>
      <c r="Z215" s="0" t="s">
        <v>853</v>
      </c>
      <c r="AA215" s="0" t="s">
        <v>186</v>
      </c>
      <c r="AB215" s="0" t="s">
        <v>300</v>
      </c>
      <c r="AF215" s="0" t="s">
        <v>301</v>
      </c>
      <c r="AP215" s="0" t="s">
        <v>305</v>
      </c>
      <c r="BA215" s="0">
        <v>467</v>
      </c>
      <c r="BB215" s="0" t="s">
        <v>232</v>
      </c>
      <c r="BC215" s="0">
        <v>2</v>
      </c>
      <c r="BD215" s="0">
        <v>374043</v>
      </c>
      <c r="BE215" s="0">
        <v>58728</v>
      </c>
      <c r="BF215" s="0">
        <v>2</v>
      </c>
      <c r="BG215" s="0" t="s">
        <v>2262</v>
      </c>
      <c r="BI215" s="0">
        <v>3366</v>
      </c>
      <c r="BK215" s="0" t="s">
        <v>2263</v>
      </c>
    </row>
    <row r="216">
      <c r="A216" s="0">
        <v>4735</v>
      </c>
      <c r="B216" s="0" t="s">
        <v>2264</v>
      </c>
      <c r="C216" s="0" t="s">
        <v>315</v>
      </c>
      <c r="D216" s="0" t="s">
        <v>2149</v>
      </c>
      <c r="E216" s="0" t="s">
        <v>2265</v>
      </c>
      <c r="F216" s="0">
        <v>1</v>
      </c>
      <c r="G216" s="0" t="s">
        <v>400</v>
      </c>
      <c r="H216" s="0" t="s">
        <v>1190</v>
      </c>
      <c r="I216" s="0" t="s">
        <v>469</v>
      </c>
      <c r="J216" s="0" t="s">
        <v>319</v>
      </c>
      <c r="K216" s="0" t="s">
        <v>879</v>
      </c>
      <c r="L216" s="0" t="s">
        <v>471</v>
      </c>
      <c r="P216" s="0" t="s">
        <v>323</v>
      </c>
      <c r="Q216" s="0" t="s">
        <v>323</v>
      </c>
      <c r="R216" s="0" t="s">
        <v>1695</v>
      </c>
      <c r="T216" s="0" t="s">
        <v>2266</v>
      </c>
      <c r="U216" s="0" t="s">
        <v>2267</v>
      </c>
      <c r="W216" s="0" t="s">
        <v>2149</v>
      </c>
      <c r="X216" s="0" t="s">
        <v>529</v>
      </c>
      <c r="Y216" s="0" t="s">
        <v>146</v>
      </c>
      <c r="Z216" s="0" t="s">
        <v>853</v>
      </c>
      <c r="AA216" s="0" t="s">
        <v>186</v>
      </c>
      <c r="AB216" s="0" t="s">
        <v>300</v>
      </c>
      <c r="AF216" s="0" t="s">
        <v>301</v>
      </c>
      <c r="AP216" s="0" t="s">
        <v>305</v>
      </c>
      <c r="BA216" s="0">
        <v>467</v>
      </c>
      <c r="BB216" s="0" t="s">
        <v>232</v>
      </c>
      <c r="BC216" s="0">
        <v>2</v>
      </c>
      <c r="BD216" s="0">
        <v>374043</v>
      </c>
      <c r="BE216" s="0">
        <v>58728</v>
      </c>
      <c r="BF216" s="0">
        <v>2</v>
      </c>
      <c r="BG216" s="0" t="s">
        <v>2268</v>
      </c>
      <c r="BI216" s="0">
        <v>3224</v>
      </c>
      <c r="BK216" s="0" t="s">
        <v>2269</v>
      </c>
    </row>
    <row r="217">
      <c r="A217" s="0">
        <v>4754</v>
      </c>
      <c r="B217" s="0" t="s">
        <v>2270</v>
      </c>
      <c r="E217" s="0" t="s">
        <v>2271</v>
      </c>
      <c r="F217" s="0">
        <v>1</v>
      </c>
      <c r="G217" s="0" t="s">
        <v>293</v>
      </c>
      <c r="H217" s="0" t="s">
        <v>294</v>
      </c>
      <c r="I217" s="0" t="s">
        <v>295</v>
      </c>
      <c r="T217" s="0" t="s">
        <v>2272</v>
      </c>
      <c r="W217" s="0" t="s">
        <v>2149</v>
      </c>
      <c r="X217" s="0" t="s">
        <v>1116</v>
      </c>
      <c r="Y217" s="0" t="s">
        <v>146</v>
      </c>
      <c r="Z217" s="0" t="s">
        <v>853</v>
      </c>
      <c r="AA217" s="0" t="s">
        <v>186</v>
      </c>
      <c r="AB217" s="0" t="s">
        <v>300</v>
      </c>
      <c r="AF217" s="0" t="s">
        <v>301</v>
      </c>
      <c r="AP217" s="0" t="s">
        <v>305</v>
      </c>
      <c r="BA217" s="0">
        <v>467</v>
      </c>
      <c r="BB217" s="0" t="s">
        <v>232</v>
      </c>
      <c r="BC217" s="0">
        <v>2</v>
      </c>
      <c r="BE217" s="0">
        <v>58728</v>
      </c>
      <c r="BF217" s="0">
        <v>1</v>
      </c>
      <c r="BG217" s="0" t="s">
        <v>2273</v>
      </c>
      <c r="BI217" s="0">
        <v>4573</v>
      </c>
      <c r="BK217" s="0" t="s">
        <v>2274</v>
      </c>
    </row>
    <row r="218">
      <c r="A218" s="0">
        <v>4744</v>
      </c>
      <c r="B218" s="0" t="s">
        <v>2275</v>
      </c>
      <c r="E218" s="0" t="s">
        <v>2276</v>
      </c>
      <c r="F218" s="0">
        <v>1</v>
      </c>
      <c r="G218" s="0" t="s">
        <v>293</v>
      </c>
      <c r="H218" s="0" t="s">
        <v>294</v>
      </c>
      <c r="I218" s="0" t="s">
        <v>295</v>
      </c>
      <c r="T218" s="0" t="s">
        <v>2277</v>
      </c>
      <c r="W218" s="0" t="s">
        <v>2149</v>
      </c>
      <c r="X218" s="0" t="s">
        <v>1116</v>
      </c>
      <c r="Y218" s="0" t="s">
        <v>146</v>
      </c>
      <c r="Z218" s="0" t="s">
        <v>853</v>
      </c>
      <c r="AA218" s="0" t="s">
        <v>186</v>
      </c>
      <c r="AB218" s="0" t="s">
        <v>300</v>
      </c>
      <c r="AF218" s="0" t="s">
        <v>301</v>
      </c>
      <c r="AP218" s="0" t="s">
        <v>305</v>
      </c>
      <c r="BA218" s="0">
        <v>467</v>
      </c>
      <c r="BB218" s="0" t="s">
        <v>232</v>
      </c>
      <c r="BC218" s="0">
        <v>2</v>
      </c>
      <c r="BE218" s="0">
        <v>58728</v>
      </c>
      <c r="BF218" s="0">
        <v>1</v>
      </c>
      <c r="BG218" s="0" t="s">
        <v>2278</v>
      </c>
      <c r="BI218" s="0">
        <v>4102</v>
      </c>
      <c r="BK218" s="0" t="s">
        <v>2279</v>
      </c>
    </row>
    <row r="219">
      <c r="A219" s="0">
        <v>4729</v>
      </c>
      <c r="B219" s="0" t="s">
        <v>2280</v>
      </c>
      <c r="C219" s="0" t="s">
        <v>339</v>
      </c>
      <c r="D219" s="0" t="s">
        <v>2149</v>
      </c>
      <c r="E219" s="0" t="s">
        <v>1002</v>
      </c>
      <c r="F219" s="0">
        <v>1</v>
      </c>
      <c r="G219" s="0" t="s">
        <v>508</v>
      </c>
      <c r="J219" s="0" t="s">
        <v>319</v>
      </c>
      <c r="K219" s="0" t="s">
        <v>1003</v>
      </c>
      <c r="L219" s="0" t="s">
        <v>417</v>
      </c>
      <c r="P219" s="0" t="s">
        <v>1004</v>
      </c>
      <c r="Q219" s="0" t="s">
        <v>1004</v>
      </c>
      <c r="R219" s="0" t="s">
        <v>869</v>
      </c>
      <c r="T219" s="0" t="s">
        <v>2281</v>
      </c>
      <c r="U219" s="0" t="s">
        <v>2282</v>
      </c>
      <c r="W219" s="0" t="s">
        <v>2149</v>
      </c>
      <c r="X219" s="0" t="s">
        <v>347</v>
      </c>
      <c r="Y219" s="0" t="s">
        <v>146</v>
      </c>
      <c r="Z219" s="0" t="s">
        <v>853</v>
      </c>
      <c r="AA219" s="0" t="s">
        <v>186</v>
      </c>
      <c r="AB219" s="0" t="s">
        <v>300</v>
      </c>
      <c r="AF219" s="0" t="s">
        <v>301</v>
      </c>
      <c r="AM219" s="0" t="s">
        <v>2283</v>
      </c>
      <c r="AN219" s="0" t="s">
        <v>2284</v>
      </c>
      <c r="AO219" s="0" t="s">
        <v>2285</v>
      </c>
      <c r="AP219" s="0" t="s">
        <v>305</v>
      </c>
      <c r="AQ219" s="0" t="s">
        <v>2286</v>
      </c>
      <c r="AR219" s="0" t="s">
        <v>2287</v>
      </c>
      <c r="AS219" s="0">
        <v>24</v>
      </c>
      <c r="AT219" s="0">
        <v>28</v>
      </c>
      <c r="AU219" s="0">
        <v>30</v>
      </c>
      <c r="AV219" s="0" t="s">
        <v>332</v>
      </c>
      <c r="AW219" s="0" t="s">
        <v>1012</v>
      </c>
      <c r="AX219" s="0" t="s">
        <v>2288</v>
      </c>
      <c r="AY219" s="0" t="s">
        <v>2289</v>
      </c>
      <c r="AZ219" s="0" t="s">
        <v>2290</v>
      </c>
      <c r="BA219" s="0">
        <v>467</v>
      </c>
      <c r="BB219" s="0" t="s">
        <v>232</v>
      </c>
      <c r="BC219" s="0">
        <v>2</v>
      </c>
      <c r="BD219" s="0">
        <v>8</v>
      </c>
      <c r="BE219" s="0">
        <v>58728</v>
      </c>
      <c r="BF219" s="0">
        <v>4</v>
      </c>
      <c r="BG219" s="0" t="s">
        <v>2291</v>
      </c>
      <c r="BI219" s="0">
        <v>2143</v>
      </c>
      <c r="BK219" s="0" t="s">
        <v>2292</v>
      </c>
    </row>
    <row r="220">
      <c r="A220" s="0">
        <v>4739</v>
      </c>
      <c r="B220" s="0" t="s">
        <v>2293</v>
      </c>
      <c r="C220" s="0" t="s">
        <v>315</v>
      </c>
      <c r="D220" s="0" t="s">
        <v>2149</v>
      </c>
      <c r="E220" s="0" t="s">
        <v>1019</v>
      </c>
      <c r="F220" s="0">
        <v>1</v>
      </c>
      <c r="G220" s="0" t="s">
        <v>525</v>
      </c>
      <c r="H220" s="0" t="s">
        <v>508</v>
      </c>
      <c r="I220" s="0" t="s">
        <v>469</v>
      </c>
      <c r="J220" s="0" t="s">
        <v>984</v>
      </c>
      <c r="K220" s="0" t="s">
        <v>1020</v>
      </c>
      <c r="L220" s="0" t="s">
        <v>469</v>
      </c>
      <c r="P220" s="0" t="s">
        <v>323</v>
      </c>
      <c r="Q220" s="0" t="s">
        <v>323</v>
      </c>
      <c r="R220" s="0" t="s">
        <v>2294</v>
      </c>
      <c r="T220" s="0" t="s">
        <v>2295</v>
      </c>
      <c r="U220" s="0" t="s">
        <v>2296</v>
      </c>
      <c r="W220" s="0" t="s">
        <v>2149</v>
      </c>
      <c r="X220" s="0" t="s">
        <v>529</v>
      </c>
      <c r="Y220" s="0" t="s">
        <v>146</v>
      </c>
      <c r="Z220" s="0" t="s">
        <v>853</v>
      </c>
      <c r="AA220" s="0" t="s">
        <v>186</v>
      </c>
      <c r="AB220" s="0" t="s">
        <v>300</v>
      </c>
      <c r="AF220" s="0" t="s">
        <v>301</v>
      </c>
      <c r="AP220" s="0" t="s">
        <v>305</v>
      </c>
      <c r="BA220" s="0">
        <v>467</v>
      </c>
      <c r="BB220" s="0" t="s">
        <v>232</v>
      </c>
      <c r="BC220" s="0">
        <v>2</v>
      </c>
      <c r="BD220" s="0">
        <v>374043</v>
      </c>
      <c r="BE220" s="0">
        <v>58728</v>
      </c>
      <c r="BF220" s="0">
        <v>2</v>
      </c>
      <c r="BG220" s="0" t="s">
        <v>2297</v>
      </c>
      <c r="BI220" s="0">
        <v>3715</v>
      </c>
      <c r="BK220" s="0" t="s">
        <v>2298</v>
      </c>
    </row>
    <row r="221">
      <c r="A221" s="0">
        <v>4743</v>
      </c>
      <c r="B221" s="0" t="s">
        <v>2299</v>
      </c>
      <c r="C221" s="0" t="s">
        <v>315</v>
      </c>
      <c r="D221" s="0" t="s">
        <v>2149</v>
      </c>
      <c r="E221" s="0" t="s">
        <v>2300</v>
      </c>
      <c r="F221" s="0">
        <v>1</v>
      </c>
      <c r="G221" s="0" t="s">
        <v>508</v>
      </c>
      <c r="I221" s="0" t="s">
        <v>497</v>
      </c>
      <c r="T221" s="0" t="s">
        <v>2301</v>
      </c>
      <c r="W221" s="0" t="s">
        <v>2149</v>
      </c>
      <c r="X221" s="0" t="s">
        <v>529</v>
      </c>
      <c r="Y221" s="0" t="s">
        <v>146</v>
      </c>
      <c r="Z221" s="0" t="s">
        <v>853</v>
      </c>
      <c r="AA221" s="0" t="s">
        <v>186</v>
      </c>
      <c r="AB221" s="0" t="s">
        <v>300</v>
      </c>
      <c r="AF221" s="0" t="s">
        <v>301</v>
      </c>
      <c r="AP221" s="0" t="s">
        <v>305</v>
      </c>
      <c r="BA221" s="0">
        <v>467</v>
      </c>
      <c r="BB221" s="0" t="s">
        <v>232</v>
      </c>
      <c r="BC221" s="0">
        <v>2</v>
      </c>
      <c r="BD221" s="0">
        <v>374043</v>
      </c>
      <c r="BE221" s="0">
        <v>58728</v>
      </c>
      <c r="BF221" s="0">
        <v>2</v>
      </c>
      <c r="BG221" s="0" t="s">
        <v>2302</v>
      </c>
      <c r="BI221" s="0">
        <v>4073</v>
      </c>
      <c r="BK221" s="0" t="s">
        <v>2303</v>
      </c>
    </row>
    <row r="222">
      <c r="A222" s="0">
        <v>4728</v>
      </c>
      <c r="B222" s="0" t="s">
        <v>2304</v>
      </c>
      <c r="C222" s="0" t="s">
        <v>945</v>
      </c>
      <c r="D222" s="0" t="s">
        <v>2149</v>
      </c>
      <c r="E222" s="0" t="s">
        <v>1028</v>
      </c>
      <c r="F222" s="0">
        <v>1</v>
      </c>
      <c r="G222" s="0" t="s">
        <v>293</v>
      </c>
      <c r="H222" s="0" t="s">
        <v>294</v>
      </c>
      <c r="I222" s="0" t="s">
        <v>2305</v>
      </c>
      <c r="T222" s="0" t="s">
        <v>2306</v>
      </c>
      <c r="W222" s="0" t="s">
        <v>2149</v>
      </c>
      <c r="X222" s="0" t="s">
        <v>529</v>
      </c>
      <c r="Y222" s="0" t="s">
        <v>146</v>
      </c>
      <c r="Z222" s="0" t="s">
        <v>853</v>
      </c>
      <c r="AA222" s="0" t="s">
        <v>186</v>
      </c>
      <c r="AB222" s="0" t="s">
        <v>300</v>
      </c>
      <c r="AF222" s="0" t="s">
        <v>301</v>
      </c>
      <c r="AM222" s="0" t="s">
        <v>350</v>
      </c>
      <c r="AN222" s="0" t="s">
        <v>830</v>
      </c>
      <c r="AO222" s="0" t="s">
        <v>490</v>
      </c>
      <c r="AP222" s="0" t="s">
        <v>305</v>
      </c>
      <c r="AQ222" s="0" t="s">
        <v>2307</v>
      </c>
      <c r="AR222" s="0" t="s">
        <v>2308</v>
      </c>
      <c r="AS222" s="0">
        <v>160</v>
      </c>
      <c r="AT222" s="0">
        <v>340</v>
      </c>
      <c r="AU222" s="0">
        <v>406</v>
      </c>
      <c r="AV222" s="0" t="s">
        <v>332</v>
      </c>
      <c r="AW222" s="0" t="s">
        <v>332</v>
      </c>
      <c r="AX222" s="0" t="s">
        <v>371</v>
      </c>
      <c r="AY222" s="0" t="s">
        <v>2309</v>
      </c>
      <c r="AZ222" s="0" t="s">
        <v>489</v>
      </c>
      <c r="BA222" s="0">
        <v>467</v>
      </c>
      <c r="BB222" s="0" t="s">
        <v>232</v>
      </c>
      <c r="BC222" s="0">
        <v>2</v>
      </c>
      <c r="BD222" s="0">
        <v>14</v>
      </c>
      <c r="BE222" s="0">
        <v>58728</v>
      </c>
      <c r="BF222" s="0">
        <v>2</v>
      </c>
      <c r="BG222" s="0" t="s">
        <v>2310</v>
      </c>
      <c r="BI222" s="0">
        <v>1911</v>
      </c>
      <c r="BK222" s="0" t="s">
        <v>2311</v>
      </c>
    </row>
    <row r="223">
      <c r="A223" s="0">
        <v>4725</v>
      </c>
      <c r="B223" s="0" t="s">
        <v>2312</v>
      </c>
      <c r="C223" s="0" t="s">
        <v>945</v>
      </c>
      <c r="D223" s="0" t="s">
        <v>2149</v>
      </c>
      <c r="E223" s="0" t="s">
        <v>1038</v>
      </c>
      <c r="F223" s="0">
        <v>1</v>
      </c>
      <c r="G223" s="0" t="s">
        <v>525</v>
      </c>
      <c r="H223" s="0" t="s">
        <v>508</v>
      </c>
      <c r="J223" s="0" t="s">
        <v>319</v>
      </c>
      <c r="K223" s="0" t="s">
        <v>970</v>
      </c>
      <c r="L223" s="0" t="s">
        <v>2225</v>
      </c>
      <c r="P223" s="0" t="s">
        <v>323</v>
      </c>
      <c r="Q223" s="0" t="s">
        <v>1041</v>
      </c>
      <c r="R223" s="0" t="s">
        <v>2225</v>
      </c>
      <c r="T223" s="0" t="s">
        <v>2313</v>
      </c>
      <c r="U223" s="0" t="s">
        <v>2314</v>
      </c>
      <c r="W223" s="0" t="s">
        <v>2149</v>
      </c>
      <c r="X223" s="0" t="s">
        <v>529</v>
      </c>
      <c r="Y223" s="0" t="s">
        <v>146</v>
      </c>
      <c r="Z223" s="0" t="s">
        <v>853</v>
      </c>
      <c r="AA223" s="0" t="s">
        <v>186</v>
      </c>
      <c r="AB223" s="0" t="s">
        <v>300</v>
      </c>
      <c r="AF223" s="0" t="s">
        <v>301</v>
      </c>
      <c r="AM223" s="0" t="s">
        <v>2315</v>
      </c>
      <c r="AN223" s="0" t="s">
        <v>2316</v>
      </c>
      <c r="AO223" s="0" t="s">
        <v>2317</v>
      </c>
      <c r="AP223" s="0" t="s">
        <v>305</v>
      </c>
      <c r="AQ223" s="0" t="s">
        <v>2318</v>
      </c>
      <c r="AR223" s="0" t="s">
        <v>2319</v>
      </c>
      <c r="AS223" s="0">
        <v>6</v>
      </c>
      <c r="AT223" s="0">
        <v>14</v>
      </c>
      <c r="AU223" s="0">
        <v>19</v>
      </c>
      <c r="AV223" s="0" t="s">
        <v>895</v>
      </c>
      <c r="AW223" s="0" t="s">
        <v>977</v>
      </c>
      <c r="AX223" s="0" t="s">
        <v>2320</v>
      </c>
      <c r="AY223" s="0" t="s">
        <v>2321</v>
      </c>
      <c r="AZ223" s="0" t="s">
        <v>2322</v>
      </c>
      <c r="BA223" s="0">
        <v>467</v>
      </c>
      <c r="BB223" s="0" t="s">
        <v>232</v>
      </c>
      <c r="BC223" s="0">
        <v>2</v>
      </c>
      <c r="BD223" s="0">
        <v>14</v>
      </c>
      <c r="BE223" s="0">
        <v>58728</v>
      </c>
      <c r="BF223" s="0">
        <v>2</v>
      </c>
      <c r="BG223" s="0" t="s">
        <v>2323</v>
      </c>
      <c r="BI223" s="0">
        <v>1087</v>
      </c>
      <c r="BK223" s="0" t="s">
        <v>2324</v>
      </c>
    </row>
    <row r="224">
      <c r="A224" s="0">
        <v>4783</v>
      </c>
      <c r="B224" s="0" t="s">
        <v>2325</v>
      </c>
      <c r="C224" s="0" t="s">
        <v>315</v>
      </c>
      <c r="D224" s="0" t="s">
        <v>2149</v>
      </c>
      <c r="E224" s="0" t="s">
        <v>2326</v>
      </c>
      <c r="F224" s="0">
        <v>1</v>
      </c>
      <c r="G224" s="0" t="s">
        <v>525</v>
      </c>
      <c r="H224" s="0" t="s">
        <v>508</v>
      </c>
      <c r="I224" s="0" t="s">
        <v>469</v>
      </c>
      <c r="J224" s="0" t="s">
        <v>984</v>
      </c>
      <c r="K224" s="0" t="s">
        <v>1020</v>
      </c>
      <c r="L224" s="0" t="s">
        <v>469</v>
      </c>
      <c r="P224" s="0" t="s">
        <v>323</v>
      </c>
      <c r="Q224" s="0" t="s">
        <v>323</v>
      </c>
      <c r="R224" s="0" t="s">
        <v>2327</v>
      </c>
      <c r="T224" s="0" t="s">
        <v>2328</v>
      </c>
      <c r="U224" s="0" t="s">
        <v>2329</v>
      </c>
      <c r="W224" s="0" t="s">
        <v>2149</v>
      </c>
      <c r="X224" s="0" t="s">
        <v>529</v>
      </c>
      <c r="Y224" s="0" t="s">
        <v>146</v>
      </c>
      <c r="Z224" s="0" t="s">
        <v>853</v>
      </c>
      <c r="AA224" s="0" t="s">
        <v>186</v>
      </c>
      <c r="AB224" s="0" t="s">
        <v>300</v>
      </c>
      <c r="AF224" s="0" t="s">
        <v>301</v>
      </c>
      <c r="AP224" s="0" t="s">
        <v>305</v>
      </c>
      <c r="BA224" s="0">
        <v>467</v>
      </c>
      <c r="BB224" s="0" t="s">
        <v>232</v>
      </c>
      <c r="BC224" s="0">
        <v>2</v>
      </c>
      <c r="BD224" s="0">
        <v>374043</v>
      </c>
      <c r="BE224" s="0">
        <v>58728</v>
      </c>
      <c r="BF224" s="0">
        <v>2</v>
      </c>
      <c r="BG224" s="0" t="s">
        <v>2330</v>
      </c>
      <c r="BI224" s="0">
        <v>4600</v>
      </c>
      <c r="BK224" s="0" t="s">
        <v>2331</v>
      </c>
    </row>
    <row r="225">
      <c r="A225" s="0">
        <v>4742</v>
      </c>
      <c r="B225" s="0" t="s">
        <v>2332</v>
      </c>
      <c r="C225" s="0" t="s">
        <v>945</v>
      </c>
      <c r="D225" s="0" t="s">
        <v>2149</v>
      </c>
      <c r="E225" s="0" t="s">
        <v>2333</v>
      </c>
      <c r="F225" s="0">
        <v>1</v>
      </c>
      <c r="G225" s="0" t="s">
        <v>508</v>
      </c>
      <c r="I225" s="0" t="s">
        <v>497</v>
      </c>
      <c r="J225" s="0" t="s">
        <v>555</v>
      </c>
      <c r="K225" s="0" t="s">
        <v>1188</v>
      </c>
      <c r="L225" s="0" t="s">
        <v>549</v>
      </c>
      <c r="P225" s="0" t="s">
        <v>2334</v>
      </c>
      <c r="R225" s="0" t="s">
        <v>961</v>
      </c>
      <c r="T225" s="0" t="s">
        <v>2335</v>
      </c>
      <c r="U225" s="0" t="s">
        <v>2336</v>
      </c>
      <c r="W225" s="0" t="s">
        <v>2149</v>
      </c>
      <c r="X225" s="0" t="s">
        <v>529</v>
      </c>
      <c r="Y225" s="0" t="s">
        <v>146</v>
      </c>
      <c r="Z225" s="0" t="s">
        <v>853</v>
      </c>
      <c r="AA225" s="0" t="s">
        <v>186</v>
      </c>
      <c r="AB225" s="0" t="s">
        <v>300</v>
      </c>
      <c r="AF225" s="0" t="s">
        <v>301</v>
      </c>
      <c r="AM225" s="0" t="s">
        <v>352</v>
      </c>
      <c r="AN225" s="0" t="s">
        <v>512</v>
      </c>
      <c r="AO225" s="0" t="s">
        <v>517</v>
      </c>
      <c r="AP225" s="0" t="s">
        <v>305</v>
      </c>
      <c r="AQ225" s="0" t="s">
        <v>2337</v>
      </c>
      <c r="AR225" s="0" t="s">
        <v>883</v>
      </c>
      <c r="AS225" s="0">
        <v>120</v>
      </c>
      <c r="AT225" s="0">
        <v>264</v>
      </c>
      <c r="AU225" s="0">
        <v>312</v>
      </c>
      <c r="AV225" s="0" t="s">
        <v>308</v>
      </c>
      <c r="AW225" s="0" t="s">
        <v>332</v>
      </c>
      <c r="AX225" s="0" t="s">
        <v>816</v>
      </c>
      <c r="AY225" s="0" t="s">
        <v>1574</v>
      </c>
      <c r="AZ225" s="0" t="s">
        <v>747</v>
      </c>
      <c r="BA225" s="0">
        <v>467</v>
      </c>
      <c r="BB225" s="0" t="s">
        <v>232</v>
      </c>
      <c r="BC225" s="0">
        <v>2</v>
      </c>
      <c r="BD225" s="0">
        <v>14</v>
      </c>
      <c r="BE225" s="0">
        <v>58728</v>
      </c>
      <c r="BF225" s="0">
        <v>2</v>
      </c>
      <c r="BG225" s="0" t="s">
        <v>2338</v>
      </c>
      <c r="BI225" s="0">
        <v>3991</v>
      </c>
      <c r="BK225" s="0" t="s">
        <v>2339</v>
      </c>
    </row>
    <row r="226">
      <c r="A226" s="0">
        <v>4741</v>
      </c>
      <c r="B226" s="0" t="s">
        <v>2340</v>
      </c>
      <c r="C226" s="0" t="s">
        <v>2341</v>
      </c>
      <c r="D226" s="0" t="s">
        <v>2149</v>
      </c>
      <c r="E226" s="0" t="s">
        <v>2342</v>
      </c>
      <c r="F226" s="0">
        <v>1</v>
      </c>
      <c r="G226" s="0" t="s">
        <v>400</v>
      </c>
      <c r="J226" s="0" t="s">
        <v>319</v>
      </c>
      <c r="K226" s="0" t="s">
        <v>1188</v>
      </c>
      <c r="L226" s="0" t="s">
        <v>2343</v>
      </c>
      <c r="P226" s="0" t="s">
        <v>343</v>
      </c>
      <c r="Q226" s="0" t="s">
        <v>343</v>
      </c>
      <c r="T226" s="0" t="s">
        <v>2335</v>
      </c>
      <c r="U226" s="0" t="s">
        <v>2344</v>
      </c>
      <c r="W226" s="0" t="s">
        <v>2149</v>
      </c>
      <c r="X226" s="0" t="s">
        <v>529</v>
      </c>
      <c r="Y226" s="0" t="s">
        <v>146</v>
      </c>
      <c r="Z226" s="0" t="s">
        <v>853</v>
      </c>
      <c r="AA226" s="0" t="s">
        <v>186</v>
      </c>
      <c r="AB226" s="0" t="s">
        <v>300</v>
      </c>
      <c r="AF226" s="0" t="s">
        <v>301</v>
      </c>
      <c r="AP226" s="0" t="s">
        <v>305</v>
      </c>
      <c r="BA226" s="0">
        <v>467</v>
      </c>
      <c r="BB226" s="0" t="s">
        <v>232</v>
      </c>
      <c r="BC226" s="0">
        <v>2</v>
      </c>
      <c r="BD226" s="0">
        <v>374067</v>
      </c>
      <c r="BE226" s="0">
        <v>58728</v>
      </c>
      <c r="BF226" s="0">
        <v>2</v>
      </c>
      <c r="BG226" s="0" t="s">
        <v>2345</v>
      </c>
      <c r="BI226" s="0">
        <v>3904</v>
      </c>
      <c r="BK226" s="0" t="s">
        <v>2346</v>
      </c>
    </row>
    <row r="227">
      <c r="A227" s="0">
        <v>4749</v>
      </c>
      <c r="B227" s="0" t="s">
        <v>2347</v>
      </c>
      <c r="C227" s="0" t="s">
        <v>1139</v>
      </c>
      <c r="D227" s="0" t="s">
        <v>2149</v>
      </c>
      <c r="E227" s="0" t="s">
        <v>2348</v>
      </c>
      <c r="F227" s="0">
        <v>1</v>
      </c>
      <c r="G227" s="0" t="s">
        <v>293</v>
      </c>
      <c r="H227" s="0" t="s">
        <v>294</v>
      </c>
      <c r="I227" s="0" t="s">
        <v>295</v>
      </c>
      <c r="T227" s="0" t="s">
        <v>2349</v>
      </c>
      <c r="U227" s="0" t="s">
        <v>2350</v>
      </c>
      <c r="W227" s="0" t="s">
        <v>2149</v>
      </c>
      <c r="X227" s="0" t="s">
        <v>347</v>
      </c>
      <c r="Y227" s="0" t="s">
        <v>146</v>
      </c>
      <c r="Z227" s="0" t="s">
        <v>853</v>
      </c>
      <c r="AA227" s="0" t="s">
        <v>186</v>
      </c>
      <c r="AB227" s="0" t="s">
        <v>300</v>
      </c>
      <c r="AF227" s="0" t="s">
        <v>301</v>
      </c>
      <c r="AP227" s="0" t="s">
        <v>305</v>
      </c>
      <c r="BA227" s="0">
        <v>467</v>
      </c>
      <c r="BB227" s="0" t="s">
        <v>232</v>
      </c>
      <c r="BC227" s="0">
        <v>2</v>
      </c>
      <c r="BD227" s="0">
        <v>38030</v>
      </c>
      <c r="BE227" s="0">
        <v>58728</v>
      </c>
      <c r="BF227" s="0">
        <v>4</v>
      </c>
      <c r="BG227" s="0" t="s">
        <v>2351</v>
      </c>
      <c r="BI227" s="0">
        <v>4456</v>
      </c>
      <c r="BK227" s="0" t="s">
        <v>2352</v>
      </c>
    </row>
    <row r="228">
      <c r="A228" s="0">
        <v>4750</v>
      </c>
      <c r="B228" s="0" t="s">
        <v>2353</v>
      </c>
      <c r="C228" s="0" t="s">
        <v>1139</v>
      </c>
      <c r="D228" s="0" t="s">
        <v>2149</v>
      </c>
      <c r="E228" s="0" t="s">
        <v>2354</v>
      </c>
      <c r="F228" s="0">
        <v>1</v>
      </c>
      <c r="G228" s="0" t="s">
        <v>293</v>
      </c>
      <c r="H228" s="0" t="s">
        <v>294</v>
      </c>
      <c r="I228" s="0" t="s">
        <v>295</v>
      </c>
      <c r="T228" s="0" t="s">
        <v>2355</v>
      </c>
      <c r="U228" s="0" t="s">
        <v>2356</v>
      </c>
      <c r="W228" s="0" t="s">
        <v>2149</v>
      </c>
      <c r="X228" s="0" t="s">
        <v>347</v>
      </c>
      <c r="Y228" s="0" t="s">
        <v>146</v>
      </c>
      <c r="Z228" s="0" t="s">
        <v>853</v>
      </c>
      <c r="AA228" s="0" t="s">
        <v>186</v>
      </c>
      <c r="AB228" s="0" t="s">
        <v>300</v>
      </c>
      <c r="AF228" s="0" t="s">
        <v>301</v>
      </c>
      <c r="AP228" s="0" t="s">
        <v>305</v>
      </c>
      <c r="BA228" s="0">
        <v>467</v>
      </c>
      <c r="BB228" s="0" t="s">
        <v>232</v>
      </c>
      <c r="BC228" s="0">
        <v>2</v>
      </c>
      <c r="BD228" s="0">
        <v>38030</v>
      </c>
      <c r="BE228" s="0">
        <v>58728</v>
      </c>
      <c r="BF228" s="0">
        <v>4</v>
      </c>
      <c r="BG228" s="0" t="s">
        <v>2357</v>
      </c>
      <c r="BI228" s="0">
        <v>4503</v>
      </c>
      <c r="BK228" s="0" t="s">
        <v>2358</v>
      </c>
    </row>
    <row r="229">
      <c r="A229" s="0">
        <v>4751</v>
      </c>
      <c r="B229" s="0" t="s">
        <v>2359</v>
      </c>
      <c r="C229" s="0" t="s">
        <v>1139</v>
      </c>
      <c r="D229" s="0" t="s">
        <v>2149</v>
      </c>
      <c r="E229" s="0" t="s">
        <v>2360</v>
      </c>
      <c r="F229" s="0">
        <v>1</v>
      </c>
      <c r="G229" s="0" t="s">
        <v>293</v>
      </c>
      <c r="H229" s="0" t="s">
        <v>294</v>
      </c>
      <c r="I229" s="0" t="s">
        <v>295</v>
      </c>
      <c r="T229" s="0" t="s">
        <v>2361</v>
      </c>
      <c r="U229" s="0" t="s">
        <v>2362</v>
      </c>
      <c r="W229" s="0" t="s">
        <v>2149</v>
      </c>
      <c r="X229" s="0" t="s">
        <v>347</v>
      </c>
      <c r="Y229" s="0" t="s">
        <v>146</v>
      </c>
      <c r="Z229" s="0" t="s">
        <v>853</v>
      </c>
      <c r="AA229" s="0" t="s">
        <v>186</v>
      </c>
      <c r="AB229" s="0" t="s">
        <v>300</v>
      </c>
      <c r="AF229" s="0" t="s">
        <v>301</v>
      </c>
      <c r="AP229" s="0" t="s">
        <v>305</v>
      </c>
      <c r="BA229" s="0">
        <v>467</v>
      </c>
      <c r="BB229" s="0" t="s">
        <v>232</v>
      </c>
      <c r="BC229" s="0">
        <v>2</v>
      </c>
      <c r="BD229" s="0">
        <v>38030</v>
      </c>
      <c r="BE229" s="0">
        <v>58728</v>
      </c>
      <c r="BF229" s="0">
        <v>4</v>
      </c>
      <c r="BG229" s="0" t="s">
        <v>2363</v>
      </c>
      <c r="BI229" s="0">
        <v>4554</v>
      </c>
      <c r="BK229" s="0" t="s">
        <v>2364</v>
      </c>
    </row>
    <row r="230">
      <c r="A230" s="0">
        <v>4734</v>
      </c>
      <c r="B230" s="0" t="s">
        <v>2365</v>
      </c>
      <c r="C230" s="0" t="s">
        <v>2341</v>
      </c>
      <c r="D230" s="0" t="s">
        <v>2149</v>
      </c>
      <c r="E230" s="0" t="s">
        <v>2366</v>
      </c>
      <c r="F230" s="0">
        <v>1</v>
      </c>
      <c r="G230" s="0" t="s">
        <v>400</v>
      </c>
      <c r="J230" s="0" t="s">
        <v>319</v>
      </c>
      <c r="K230" s="0" t="s">
        <v>2367</v>
      </c>
      <c r="L230" s="0" t="s">
        <v>417</v>
      </c>
      <c r="P230" s="0" t="s">
        <v>867</v>
      </c>
      <c r="Q230" s="0" t="s">
        <v>868</v>
      </c>
      <c r="R230" s="0" t="s">
        <v>869</v>
      </c>
      <c r="T230" s="0" t="s">
        <v>2368</v>
      </c>
      <c r="W230" s="0" t="s">
        <v>2149</v>
      </c>
      <c r="X230" s="0" t="s">
        <v>529</v>
      </c>
      <c r="Y230" s="0" t="s">
        <v>146</v>
      </c>
      <c r="Z230" s="0" t="s">
        <v>853</v>
      </c>
      <c r="AA230" s="0" t="s">
        <v>186</v>
      </c>
      <c r="AB230" s="0" t="s">
        <v>300</v>
      </c>
      <c r="AF230" s="0" t="s">
        <v>301</v>
      </c>
      <c r="AM230" s="0" t="s">
        <v>2369</v>
      </c>
      <c r="AN230" s="0" t="s">
        <v>2370</v>
      </c>
      <c r="AO230" s="0" t="s">
        <v>2371</v>
      </c>
      <c r="AP230" s="0" t="s">
        <v>305</v>
      </c>
      <c r="AQ230" s="0" t="s">
        <v>2372</v>
      </c>
      <c r="AR230" s="0" t="s">
        <v>1920</v>
      </c>
      <c r="AS230" s="0">
        <v>16</v>
      </c>
      <c r="AT230" s="0">
        <v>32</v>
      </c>
      <c r="AU230" s="0">
        <v>32</v>
      </c>
      <c r="AV230" s="0" t="s">
        <v>1450</v>
      </c>
      <c r="AW230" s="0" t="s">
        <v>332</v>
      </c>
      <c r="AX230" s="0" t="s">
        <v>2373</v>
      </c>
      <c r="AY230" s="0" t="s">
        <v>781</v>
      </c>
      <c r="AZ230" s="0" t="s">
        <v>1209</v>
      </c>
      <c r="BA230" s="0">
        <v>467</v>
      </c>
      <c r="BB230" s="0" t="s">
        <v>232</v>
      </c>
      <c r="BC230" s="0">
        <v>2</v>
      </c>
      <c r="BD230" s="0">
        <v>374067</v>
      </c>
      <c r="BE230" s="0">
        <v>58728</v>
      </c>
      <c r="BF230" s="0">
        <v>2</v>
      </c>
      <c r="BG230" s="0" t="s">
        <v>2374</v>
      </c>
      <c r="BI230" s="0">
        <v>3073</v>
      </c>
      <c r="BK230" s="0" t="s">
        <v>2375</v>
      </c>
    </row>
    <row r="231">
      <c r="A231" s="0">
        <v>4780</v>
      </c>
      <c r="B231" s="0" t="s">
        <v>2376</v>
      </c>
      <c r="C231" s="0" t="s">
        <v>1951</v>
      </c>
      <c r="E231" s="0" t="s">
        <v>2377</v>
      </c>
      <c r="F231" s="0">
        <v>1</v>
      </c>
      <c r="G231" s="0" t="s">
        <v>594</v>
      </c>
      <c r="H231" s="0" t="s">
        <v>594</v>
      </c>
      <c r="I231" s="0" t="s">
        <v>2378</v>
      </c>
      <c r="J231" s="0" t="s">
        <v>319</v>
      </c>
      <c r="K231" s="0" t="s">
        <v>2379</v>
      </c>
      <c r="L231" s="0" t="s">
        <v>2380</v>
      </c>
      <c r="M231" s="0" t="s">
        <v>759</v>
      </c>
      <c r="N231" s="0" t="s">
        <v>2381</v>
      </c>
      <c r="P231" s="0" t="s">
        <v>343</v>
      </c>
      <c r="Q231" s="0" t="s">
        <v>343</v>
      </c>
      <c r="T231" s="0" t="s">
        <v>2382</v>
      </c>
      <c r="W231" s="0" t="s">
        <v>2383</v>
      </c>
      <c r="X231" s="0" t="s">
        <v>1116</v>
      </c>
      <c r="Y231" s="0" t="s">
        <v>42</v>
      </c>
      <c r="Z231" s="0" t="s">
        <v>2384</v>
      </c>
      <c r="AA231" s="0" t="s">
        <v>139</v>
      </c>
      <c r="AD231" s="0" t="s">
        <v>2385</v>
      </c>
      <c r="AE231" s="0" t="s">
        <v>2386</v>
      </c>
      <c r="AF231" s="0" t="s">
        <v>1688</v>
      </c>
      <c r="AP231" s="0" t="s">
        <v>305</v>
      </c>
      <c r="BA231" s="0">
        <v>468</v>
      </c>
      <c r="BB231" s="0" t="s">
        <v>232</v>
      </c>
      <c r="BC231" s="0">
        <v>3</v>
      </c>
      <c r="BD231" s="0">
        <v>374079</v>
      </c>
      <c r="BE231" s="0">
        <v>70560</v>
      </c>
      <c r="BF231" s="0">
        <v>1</v>
      </c>
      <c r="BG231" s="0" t="s">
        <v>2387</v>
      </c>
      <c r="BI231" s="0">
        <v>2805</v>
      </c>
      <c r="BK231" s="0" t="s">
        <v>2388</v>
      </c>
    </row>
    <row r="232">
      <c r="A232" s="0">
        <v>4779</v>
      </c>
      <c r="B232" s="0" t="s">
        <v>2389</v>
      </c>
      <c r="C232" s="0" t="s">
        <v>1951</v>
      </c>
      <c r="E232" s="0" t="s">
        <v>2390</v>
      </c>
      <c r="F232" s="0">
        <v>1</v>
      </c>
      <c r="G232" s="0" t="s">
        <v>594</v>
      </c>
      <c r="H232" s="0" t="s">
        <v>594</v>
      </c>
      <c r="I232" s="0" t="s">
        <v>2378</v>
      </c>
      <c r="J232" s="0" t="s">
        <v>319</v>
      </c>
      <c r="K232" s="0" t="s">
        <v>2379</v>
      </c>
      <c r="L232" s="0" t="s">
        <v>2380</v>
      </c>
      <c r="P232" s="0" t="s">
        <v>2391</v>
      </c>
      <c r="Q232" s="0" t="s">
        <v>2392</v>
      </c>
      <c r="R232" s="0" t="s">
        <v>2393</v>
      </c>
      <c r="T232" s="0" t="s">
        <v>2394</v>
      </c>
      <c r="W232" s="0" t="s">
        <v>2383</v>
      </c>
      <c r="X232" s="0" t="s">
        <v>1116</v>
      </c>
      <c r="Y232" s="0" t="s">
        <v>42</v>
      </c>
      <c r="Z232" s="0" t="s">
        <v>2384</v>
      </c>
      <c r="AA232" s="0" t="s">
        <v>139</v>
      </c>
      <c r="AD232" s="0" t="s">
        <v>2385</v>
      </c>
      <c r="AE232" s="0" t="s">
        <v>2386</v>
      </c>
      <c r="AF232" s="0" t="s">
        <v>1688</v>
      </c>
      <c r="AP232" s="0" t="s">
        <v>305</v>
      </c>
      <c r="BA232" s="0">
        <v>468</v>
      </c>
      <c r="BB232" s="0" t="s">
        <v>232</v>
      </c>
      <c r="BC232" s="0">
        <v>3</v>
      </c>
      <c r="BD232" s="0">
        <v>374079</v>
      </c>
      <c r="BE232" s="0">
        <v>70560</v>
      </c>
      <c r="BF232" s="0">
        <v>1</v>
      </c>
      <c r="BG232" s="0" t="s">
        <v>2395</v>
      </c>
      <c r="BI232" s="0">
        <v>2632</v>
      </c>
      <c r="BK232" s="0" t="s">
        <v>2396</v>
      </c>
    </row>
    <row r="233">
      <c r="A233" s="0">
        <v>4778</v>
      </c>
      <c r="B233" s="0" t="s">
        <v>2397</v>
      </c>
      <c r="C233" s="0" t="s">
        <v>1951</v>
      </c>
      <c r="E233" s="0" t="s">
        <v>2398</v>
      </c>
      <c r="F233" s="0">
        <v>1</v>
      </c>
      <c r="G233" s="0" t="s">
        <v>594</v>
      </c>
      <c r="H233" s="0" t="s">
        <v>594</v>
      </c>
      <c r="I233" s="0" t="s">
        <v>2378</v>
      </c>
      <c r="J233" s="0" t="s">
        <v>319</v>
      </c>
      <c r="K233" s="0" t="s">
        <v>2379</v>
      </c>
      <c r="L233" s="0" t="s">
        <v>2380</v>
      </c>
      <c r="P233" s="0" t="s">
        <v>2399</v>
      </c>
      <c r="Q233" s="0" t="s">
        <v>2392</v>
      </c>
      <c r="R233" s="0" t="s">
        <v>2393</v>
      </c>
      <c r="T233" s="0" t="s">
        <v>2400</v>
      </c>
      <c r="W233" s="0" t="s">
        <v>2383</v>
      </c>
      <c r="X233" s="0" t="s">
        <v>1116</v>
      </c>
      <c r="Y233" s="0" t="s">
        <v>42</v>
      </c>
      <c r="Z233" s="0" t="s">
        <v>2384</v>
      </c>
      <c r="AA233" s="0" t="s">
        <v>139</v>
      </c>
      <c r="AD233" s="0" t="s">
        <v>2385</v>
      </c>
      <c r="AE233" s="0" t="s">
        <v>2386</v>
      </c>
      <c r="AF233" s="0" t="s">
        <v>1688</v>
      </c>
      <c r="AP233" s="0" t="s">
        <v>305</v>
      </c>
      <c r="BA233" s="0">
        <v>468</v>
      </c>
      <c r="BB233" s="0" t="s">
        <v>232</v>
      </c>
      <c r="BC233" s="0">
        <v>3</v>
      </c>
      <c r="BD233" s="0">
        <v>374079</v>
      </c>
      <c r="BE233" s="0">
        <v>70560</v>
      </c>
      <c r="BF233" s="0">
        <v>1</v>
      </c>
      <c r="BG233" s="0" t="s">
        <v>2401</v>
      </c>
      <c r="BI233" s="0">
        <v>2424</v>
      </c>
      <c r="BK233" s="0" t="s">
        <v>2402</v>
      </c>
    </row>
    <row r="234">
      <c r="A234" s="0">
        <v>4774</v>
      </c>
      <c r="B234" s="0" t="s">
        <v>2403</v>
      </c>
      <c r="C234" s="0" t="s">
        <v>1951</v>
      </c>
      <c r="E234" s="0" t="s">
        <v>2404</v>
      </c>
      <c r="F234" s="0">
        <v>2</v>
      </c>
      <c r="G234" s="0" t="s">
        <v>293</v>
      </c>
      <c r="H234" s="0" t="s">
        <v>294</v>
      </c>
      <c r="I234" s="0" t="s">
        <v>918</v>
      </c>
      <c r="J234" s="0" t="s">
        <v>555</v>
      </c>
      <c r="K234" s="0" t="s">
        <v>470</v>
      </c>
      <c r="L234" s="0" t="s">
        <v>2405</v>
      </c>
      <c r="P234" s="0" t="s">
        <v>343</v>
      </c>
      <c r="Q234" s="0" t="s">
        <v>343</v>
      </c>
      <c r="W234" s="0" t="s">
        <v>2383</v>
      </c>
      <c r="X234" s="0" t="s">
        <v>1116</v>
      </c>
      <c r="Y234" s="0" t="s">
        <v>42</v>
      </c>
      <c r="Z234" s="0" t="s">
        <v>2384</v>
      </c>
      <c r="AA234" s="0" t="s">
        <v>139</v>
      </c>
      <c r="AD234" s="0" t="s">
        <v>2385</v>
      </c>
      <c r="AE234" s="0" t="s">
        <v>2386</v>
      </c>
      <c r="AF234" s="0" t="s">
        <v>1688</v>
      </c>
      <c r="AP234" s="0" t="s">
        <v>305</v>
      </c>
      <c r="BA234" s="0">
        <v>468</v>
      </c>
      <c r="BB234" s="0" t="s">
        <v>232</v>
      </c>
      <c r="BC234" s="0">
        <v>3</v>
      </c>
      <c r="BD234" s="0">
        <v>374079</v>
      </c>
      <c r="BE234" s="0">
        <v>70560</v>
      </c>
      <c r="BF234" s="0">
        <v>1</v>
      </c>
      <c r="BG234" s="0" t="s">
        <v>2406</v>
      </c>
      <c r="BI234" s="0">
        <v>1213</v>
      </c>
      <c r="BK234" s="0" t="s">
        <v>2407</v>
      </c>
    </row>
    <row r="235">
      <c r="A235" s="0">
        <v>4773</v>
      </c>
      <c r="B235" s="0" t="s">
        <v>2408</v>
      </c>
      <c r="C235" s="0" t="s">
        <v>1951</v>
      </c>
      <c r="E235" s="0" t="s">
        <v>2409</v>
      </c>
      <c r="F235" s="0">
        <v>1</v>
      </c>
      <c r="G235" s="0" t="s">
        <v>293</v>
      </c>
      <c r="H235" s="0" t="s">
        <v>294</v>
      </c>
      <c r="I235" s="0" t="s">
        <v>918</v>
      </c>
      <c r="P235" s="0" t="s">
        <v>343</v>
      </c>
      <c r="Q235" s="0" t="s">
        <v>343</v>
      </c>
      <c r="T235" s="0" t="s">
        <v>2394</v>
      </c>
      <c r="W235" s="0" t="s">
        <v>2383</v>
      </c>
      <c r="X235" s="0" t="s">
        <v>1116</v>
      </c>
      <c r="Y235" s="0" t="s">
        <v>42</v>
      </c>
      <c r="Z235" s="0" t="s">
        <v>2384</v>
      </c>
      <c r="AA235" s="0" t="s">
        <v>139</v>
      </c>
      <c r="AD235" s="0" t="s">
        <v>2385</v>
      </c>
      <c r="AE235" s="0" t="s">
        <v>2386</v>
      </c>
      <c r="AF235" s="0" t="s">
        <v>1688</v>
      </c>
      <c r="AP235" s="0" t="s">
        <v>305</v>
      </c>
      <c r="BA235" s="0">
        <v>468</v>
      </c>
      <c r="BB235" s="0" t="s">
        <v>232</v>
      </c>
      <c r="BC235" s="0">
        <v>3</v>
      </c>
      <c r="BD235" s="0">
        <v>374079</v>
      </c>
      <c r="BE235" s="0">
        <v>70560</v>
      </c>
      <c r="BF235" s="0">
        <v>1</v>
      </c>
      <c r="BG235" s="0" t="s">
        <v>2410</v>
      </c>
      <c r="BI235" s="0">
        <v>1493</v>
      </c>
      <c r="BK235" s="0" t="s">
        <v>2411</v>
      </c>
    </row>
    <row r="236">
      <c r="A236" s="0">
        <v>4776</v>
      </c>
      <c r="B236" s="0" t="s">
        <v>2412</v>
      </c>
      <c r="C236" s="0" t="s">
        <v>1951</v>
      </c>
      <c r="E236" s="0" t="s">
        <v>2413</v>
      </c>
      <c r="F236" s="0">
        <v>2</v>
      </c>
      <c r="G236" s="0" t="s">
        <v>293</v>
      </c>
      <c r="H236" s="0" t="s">
        <v>294</v>
      </c>
      <c r="I236" s="0" t="s">
        <v>918</v>
      </c>
      <c r="J236" s="0" t="s">
        <v>555</v>
      </c>
      <c r="K236" s="0" t="s">
        <v>2414</v>
      </c>
      <c r="L236" s="0" t="s">
        <v>2405</v>
      </c>
      <c r="P236" s="0" t="s">
        <v>2415</v>
      </c>
      <c r="Q236" s="0" t="s">
        <v>2416</v>
      </c>
      <c r="R236" s="0" t="s">
        <v>556</v>
      </c>
      <c r="W236" s="0" t="s">
        <v>2383</v>
      </c>
      <c r="X236" s="0" t="s">
        <v>1116</v>
      </c>
      <c r="Y236" s="0" t="s">
        <v>42</v>
      </c>
      <c r="Z236" s="0" t="s">
        <v>2384</v>
      </c>
      <c r="AA236" s="0" t="s">
        <v>139</v>
      </c>
      <c r="AD236" s="0" t="s">
        <v>2385</v>
      </c>
      <c r="AE236" s="0" t="s">
        <v>2386</v>
      </c>
      <c r="AF236" s="0" t="s">
        <v>1688</v>
      </c>
      <c r="AP236" s="0" t="s">
        <v>305</v>
      </c>
      <c r="BA236" s="0">
        <v>468</v>
      </c>
      <c r="BB236" s="0" t="s">
        <v>232</v>
      </c>
      <c r="BC236" s="0">
        <v>3</v>
      </c>
      <c r="BD236" s="0">
        <v>374079</v>
      </c>
      <c r="BE236" s="0">
        <v>70560</v>
      </c>
      <c r="BF236" s="0">
        <v>1</v>
      </c>
      <c r="BG236" s="0" t="s">
        <v>2417</v>
      </c>
      <c r="BI236" s="0">
        <v>1993</v>
      </c>
      <c r="BK236" s="0" t="s">
        <v>2418</v>
      </c>
    </row>
    <row r="237">
      <c r="A237" s="0">
        <v>4772</v>
      </c>
      <c r="B237" s="0" t="s">
        <v>2419</v>
      </c>
      <c r="C237" s="0" t="s">
        <v>1951</v>
      </c>
      <c r="E237" s="0" t="s">
        <v>2420</v>
      </c>
      <c r="F237" s="0">
        <v>1</v>
      </c>
      <c r="G237" s="0" t="s">
        <v>594</v>
      </c>
      <c r="H237" s="0" t="s">
        <v>594</v>
      </c>
      <c r="I237" s="0" t="s">
        <v>1133</v>
      </c>
      <c r="J237" s="0" t="s">
        <v>319</v>
      </c>
      <c r="K237" s="0" t="s">
        <v>2379</v>
      </c>
      <c r="L237" s="0" t="s">
        <v>2421</v>
      </c>
      <c r="M237" s="0" t="s">
        <v>759</v>
      </c>
      <c r="N237" s="0" t="s">
        <v>2381</v>
      </c>
      <c r="P237" s="0" t="s">
        <v>343</v>
      </c>
      <c r="Q237" s="0" t="s">
        <v>343</v>
      </c>
      <c r="T237" s="0" t="s">
        <v>2400</v>
      </c>
      <c r="W237" s="0" t="s">
        <v>2383</v>
      </c>
      <c r="X237" s="0" t="s">
        <v>1116</v>
      </c>
      <c r="Y237" s="0" t="s">
        <v>42</v>
      </c>
      <c r="Z237" s="0" t="s">
        <v>2384</v>
      </c>
      <c r="AA237" s="0" t="s">
        <v>139</v>
      </c>
      <c r="AD237" s="0" t="s">
        <v>2385</v>
      </c>
      <c r="AE237" s="0" t="s">
        <v>2386</v>
      </c>
      <c r="AF237" s="0" t="s">
        <v>1688</v>
      </c>
      <c r="AP237" s="0" t="s">
        <v>305</v>
      </c>
      <c r="BA237" s="0">
        <v>468</v>
      </c>
      <c r="BB237" s="0" t="s">
        <v>232</v>
      </c>
      <c r="BC237" s="0">
        <v>3</v>
      </c>
      <c r="BD237" s="0">
        <v>374079</v>
      </c>
      <c r="BE237" s="0">
        <v>70560</v>
      </c>
      <c r="BF237" s="0">
        <v>1</v>
      </c>
      <c r="BG237" s="0" t="s">
        <v>2422</v>
      </c>
      <c r="BI237" s="0">
        <v>868</v>
      </c>
      <c r="BK237" s="0" t="s">
        <v>2423</v>
      </c>
    </row>
    <row r="238">
      <c r="A238" s="0">
        <v>4782</v>
      </c>
      <c r="B238" s="0" t="s">
        <v>2424</v>
      </c>
      <c r="C238" s="0" t="s">
        <v>1951</v>
      </c>
      <c r="E238" s="0" t="s">
        <v>2425</v>
      </c>
      <c r="F238" s="0">
        <v>2</v>
      </c>
      <c r="G238" s="0" t="s">
        <v>293</v>
      </c>
      <c r="H238" s="0" t="s">
        <v>294</v>
      </c>
      <c r="I238" s="0" t="s">
        <v>295</v>
      </c>
      <c r="J238" s="0" t="s">
        <v>319</v>
      </c>
      <c r="K238" s="0" t="s">
        <v>2379</v>
      </c>
      <c r="L238" s="0" t="s">
        <v>2380</v>
      </c>
      <c r="P238" s="0" t="s">
        <v>2426</v>
      </c>
      <c r="Q238" s="0" t="s">
        <v>343</v>
      </c>
      <c r="R238" s="0" t="s">
        <v>1620</v>
      </c>
      <c r="W238" s="0" t="s">
        <v>2383</v>
      </c>
      <c r="X238" s="0" t="s">
        <v>1116</v>
      </c>
      <c r="Y238" s="0" t="s">
        <v>42</v>
      </c>
      <c r="Z238" s="0" t="s">
        <v>2384</v>
      </c>
      <c r="AA238" s="0" t="s">
        <v>139</v>
      </c>
      <c r="AD238" s="0" t="s">
        <v>2385</v>
      </c>
      <c r="AE238" s="0" t="s">
        <v>2386</v>
      </c>
      <c r="AF238" s="0" t="s">
        <v>1688</v>
      </c>
      <c r="AP238" s="0" t="s">
        <v>305</v>
      </c>
      <c r="BA238" s="0">
        <v>468</v>
      </c>
      <c r="BB238" s="0" t="s">
        <v>232</v>
      </c>
      <c r="BC238" s="0">
        <v>3</v>
      </c>
      <c r="BD238" s="0">
        <v>374079</v>
      </c>
      <c r="BE238" s="0">
        <v>70560</v>
      </c>
      <c r="BF238" s="0">
        <v>1</v>
      </c>
      <c r="BG238" s="0" t="s">
        <v>2427</v>
      </c>
      <c r="BI238" s="0">
        <v>2975</v>
      </c>
      <c r="BK238" s="0" t="s">
        <v>2428</v>
      </c>
    </row>
    <row r="239">
      <c r="A239" s="0">
        <v>4770</v>
      </c>
      <c r="B239" s="0" t="s">
        <v>2429</v>
      </c>
      <c r="C239" s="0" t="s">
        <v>1951</v>
      </c>
      <c r="E239" s="0" t="s">
        <v>2430</v>
      </c>
      <c r="F239" s="0">
        <v>1</v>
      </c>
      <c r="G239" s="0" t="s">
        <v>594</v>
      </c>
      <c r="H239" s="0" t="s">
        <v>594</v>
      </c>
      <c r="I239" s="0" t="s">
        <v>1133</v>
      </c>
      <c r="J239" s="0" t="s">
        <v>319</v>
      </c>
      <c r="K239" s="0" t="s">
        <v>2379</v>
      </c>
      <c r="L239" s="0" t="s">
        <v>2421</v>
      </c>
      <c r="P239" s="0" t="s">
        <v>2431</v>
      </c>
      <c r="Q239" s="0" t="s">
        <v>2415</v>
      </c>
      <c r="R239" s="0" t="s">
        <v>2432</v>
      </c>
      <c r="T239" s="0" t="s">
        <v>2433</v>
      </c>
      <c r="W239" s="0" t="s">
        <v>2383</v>
      </c>
      <c r="X239" s="0" t="s">
        <v>1116</v>
      </c>
      <c r="Y239" s="0" t="s">
        <v>42</v>
      </c>
      <c r="Z239" s="0" t="s">
        <v>2384</v>
      </c>
      <c r="AA239" s="0" t="s">
        <v>139</v>
      </c>
      <c r="AD239" s="0" t="s">
        <v>2385</v>
      </c>
      <c r="AE239" s="0" t="s">
        <v>2386</v>
      </c>
      <c r="AF239" s="0" t="s">
        <v>1688</v>
      </c>
      <c r="AP239" s="0" t="s">
        <v>305</v>
      </c>
      <c r="BA239" s="0">
        <v>468</v>
      </c>
      <c r="BB239" s="0" t="s">
        <v>232</v>
      </c>
      <c r="BC239" s="0">
        <v>3</v>
      </c>
      <c r="BD239" s="0">
        <v>374079</v>
      </c>
      <c r="BE239" s="0">
        <v>70560</v>
      </c>
      <c r="BF239" s="0">
        <v>1</v>
      </c>
      <c r="BG239" s="0" t="s">
        <v>2434</v>
      </c>
      <c r="BI239" s="0">
        <v>43</v>
      </c>
      <c r="BK239" s="0" t="s">
        <v>2435</v>
      </c>
    </row>
    <row r="240">
      <c r="A240" s="0">
        <v>4771</v>
      </c>
      <c r="B240" s="0" t="s">
        <v>2436</v>
      </c>
      <c r="C240" s="0" t="s">
        <v>1951</v>
      </c>
      <c r="E240" s="0" t="s">
        <v>2437</v>
      </c>
      <c r="F240" s="0">
        <v>1</v>
      </c>
      <c r="G240" s="0" t="s">
        <v>594</v>
      </c>
      <c r="H240" s="0" t="s">
        <v>594</v>
      </c>
      <c r="I240" s="0" t="s">
        <v>1133</v>
      </c>
      <c r="J240" s="0" t="s">
        <v>319</v>
      </c>
      <c r="K240" s="0" t="s">
        <v>2379</v>
      </c>
      <c r="L240" s="0" t="s">
        <v>2421</v>
      </c>
      <c r="P240" s="0" t="s">
        <v>2431</v>
      </c>
      <c r="Q240" s="0" t="s">
        <v>2415</v>
      </c>
      <c r="R240" s="0" t="s">
        <v>2432</v>
      </c>
      <c r="T240" s="0" t="s">
        <v>2400</v>
      </c>
      <c r="W240" s="0" t="s">
        <v>2383</v>
      </c>
      <c r="X240" s="0" t="s">
        <v>1116</v>
      </c>
      <c r="Y240" s="0" t="s">
        <v>42</v>
      </c>
      <c r="Z240" s="0" t="s">
        <v>2384</v>
      </c>
      <c r="AA240" s="0" t="s">
        <v>139</v>
      </c>
      <c r="AD240" s="0" t="s">
        <v>2385</v>
      </c>
      <c r="AE240" s="0" t="s">
        <v>2386</v>
      </c>
      <c r="AF240" s="0" t="s">
        <v>1688</v>
      </c>
      <c r="AP240" s="0" t="s">
        <v>305</v>
      </c>
      <c r="BA240" s="0">
        <v>468</v>
      </c>
      <c r="BB240" s="0" t="s">
        <v>232</v>
      </c>
      <c r="BC240" s="0">
        <v>3</v>
      </c>
      <c r="BD240" s="0">
        <v>374079</v>
      </c>
      <c r="BE240" s="0">
        <v>70560</v>
      </c>
      <c r="BF240" s="0">
        <v>1</v>
      </c>
      <c r="BG240" s="0" t="s">
        <v>2438</v>
      </c>
      <c r="BI240" s="0">
        <v>509</v>
      </c>
      <c r="BK240" s="0" t="s">
        <v>2439</v>
      </c>
    </row>
    <row r="241">
      <c r="A241" s="0">
        <v>4777</v>
      </c>
      <c r="B241" s="0" t="s">
        <v>2440</v>
      </c>
      <c r="C241" s="0" t="s">
        <v>1951</v>
      </c>
      <c r="E241" s="0" t="s">
        <v>2441</v>
      </c>
      <c r="F241" s="0">
        <v>2</v>
      </c>
      <c r="G241" s="0" t="s">
        <v>594</v>
      </c>
      <c r="H241" s="0" t="s">
        <v>594</v>
      </c>
      <c r="I241" s="0" t="s">
        <v>2442</v>
      </c>
      <c r="J241" s="0" t="s">
        <v>2443</v>
      </c>
      <c r="K241" s="0" t="s">
        <v>2414</v>
      </c>
      <c r="L241" s="0" t="s">
        <v>2444</v>
      </c>
      <c r="P241" s="0" t="s">
        <v>2445</v>
      </c>
      <c r="Q241" s="0" t="s">
        <v>2446</v>
      </c>
      <c r="R241" s="0" t="s">
        <v>568</v>
      </c>
      <c r="T241" s="0" t="s">
        <v>2394</v>
      </c>
      <c r="W241" s="0" t="s">
        <v>2383</v>
      </c>
      <c r="X241" s="0" t="s">
        <v>1116</v>
      </c>
      <c r="Y241" s="0" t="s">
        <v>42</v>
      </c>
      <c r="Z241" s="0" t="s">
        <v>2384</v>
      </c>
      <c r="AA241" s="0" t="s">
        <v>139</v>
      </c>
      <c r="AD241" s="0" t="s">
        <v>2385</v>
      </c>
      <c r="AE241" s="0" t="s">
        <v>2386</v>
      </c>
      <c r="AF241" s="0" t="s">
        <v>1688</v>
      </c>
      <c r="AP241" s="0" t="s">
        <v>305</v>
      </c>
      <c r="BA241" s="0">
        <v>468</v>
      </c>
      <c r="BB241" s="0" t="s">
        <v>232</v>
      </c>
      <c r="BC241" s="0">
        <v>3</v>
      </c>
      <c r="BD241" s="0">
        <v>374079</v>
      </c>
      <c r="BE241" s="0">
        <v>70560</v>
      </c>
      <c r="BF241" s="0">
        <v>1</v>
      </c>
      <c r="BG241" s="0" t="s">
        <v>2447</v>
      </c>
      <c r="BI241" s="0">
        <v>2219</v>
      </c>
      <c r="BK241" s="0" t="s">
        <v>2448</v>
      </c>
    </row>
    <row r="242">
      <c r="A242" s="0">
        <v>4775</v>
      </c>
      <c r="B242" s="0" t="s">
        <v>2449</v>
      </c>
      <c r="C242" s="0" t="s">
        <v>1951</v>
      </c>
      <c r="E242" s="0" t="s">
        <v>2450</v>
      </c>
      <c r="F242" s="0">
        <v>1</v>
      </c>
      <c r="G242" s="0" t="s">
        <v>594</v>
      </c>
      <c r="H242" s="0" t="s">
        <v>594</v>
      </c>
      <c r="I242" s="0" t="s">
        <v>2442</v>
      </c>
      <c r="J242" s="0" t="s">
        <v>2443</v>
      </c>
      <c r="K242" s="0" t="s">
        <v>2414</v>
      </c>
      <c r="L242" s="0" t="s">
        <v>2444</v>
      </c>
      <c r="P242" s="0" t="s">
        <v>2451</v>
      </c>
      <c r="Q242" s="0" t="s">
        <v>343</v>
      </c>
      <c r="R242" s="0" t="s">
        <v>568</v>
      </c>
      <c r="W242" s="0" t="s">
        <v>2383</v>
      </c>
      <c r="X242" s="0" t="s">
        <v>1116</v>
      </c>
      <c r="Y242" s="0" t="s">
        <v>42</v>
      </c>
      <c r="Z242" s="0" t="s">
        <v>2384</v>
      </c>
      <c r="AA242" s="0" t="s">
        <v>139</v>
      </c>
      <c r="AD242" s="0" t="s">
        <v>2385</v>
      </c>
      <c r="AE242" s="0" t="s">
        <v>2386</v>
      </c>
      <c r="AF242" s="0" t="s">
        <v>1688</v>
      </c>
      <c r="AP242" s="0" t="s">
        <v>305</v>
      </c>
      <c r="BA242" s="0">
        <v>468</v>
      </c>
      <c r="BB242" s="0" t="s">
        <v>232</v>
      </c>
      <c r="BC242" s="0">
        <v>3</v>
      </c>
      <c r="BD242" s="0">
        <v>374079</v>
      </c>
      <c r="BE242" s="0">
        <v>70560</v>
      </c>
      <c r="BF242" s="0">
        <v>1</v>
      </c>
      <c r="BG242" s="0" t="s">
        <v>2452</v>
      </c>
      <c r="BI242" s="0">
        <v>1750</v>
      </c>
      <c r="BK242" s="0" t="s">
        <v>2453</v>
      </c>
    </row>
    <row r="243">
      <c r="A243" s="0">
        <v>4781</v>
      </c>
      <c r="B243" s="0" t="s">
        <v>2454</v>
      </c>
      <c r="C243" s="0" t="s">
        <v>1855</v>
      </c>
      <c r="D243" s="0" t="s">
        <v>2455</v>
      </c>
      <c r="E243" s="0" t="s">
        <v>2456</v>
      </c>
      <c r="F243" s="0">
        <v>2</v>
      </c>
      <c r="G243" s="0" t="s">
        <v>525</v>
      </c>
      <c r="H243" s="0" t="s">
        <v>400</v>
      </c>
      <c r="I243" s="0" t="s">
        <v>1133</v>
      </c>
      <c r="J243" s="0" t="s">
        <v>555</v>
      </c>
      <c r="K243" s="0" t="s">
        <v>1112</v>
      </c>
      <c r="L243" s="0" t="s">
        <v>469</v>
      </c>
      <c r="M243" s="0" t="s">
        <v>293</v>
      </c>
      <c r="N243" s="0" t="s">
        <v>294</v>
      </c>
      <c r="O243" s="0" t="s">
        <v>918</v>
      </c>
      <c r="P243" s="0" t="s">
        <v>343</v>
      </c>
      <c r="Q243" s="0" t="s">
        <v>343</v>
      </c>
      <c r="W243" s="0" t="s">
        <v>2383</v>
      </c>
      <c r="X243" s="0" t="s">
        <v>529</v>
      </c>
      <c r="Y243" s="0" t="s">
        <v>42</v>
      </c>
      <c r="Z243" s="0" t="s">
        <v>2384</v>
      </c>
      <c r="AA243" s="0" t="s">
        <v>139</v>
      </c>
      <c r="AD243" s="0" t="s">
        <v>2385</v>
      </c>
      <c r="AE243" s="0" t="s">
        <v>2386</v>
      </c>
      <c r="AF243" s="0" t="s">
        <v>1688</v>
      </c>
      <c r="AP243" s="0" t="s">
        <v>305</v>
      </c>
      <c r="BA243" s="0">
        <v>468</v>
      </c>
      <c r="BB243" s="0" t="s">
        <v>232</v>
      </c>
      <c r="BC243" s="0">
        <v>3</v>
      </c>
      <c r="BD243" s="0">
        <v>28</v>
      </c>
      <c r="BE243" s="0">
        <v>70560</v>
      </c>
      <c r="BF243" s="0">
        <v>2</v>
      </c>
      <c r="BG243" s="0" t="s">
        <v>2457</v>
      </c>
      <c r="BI243" s="0">
        <v>3231</v>
      </c>
      <c r="BK243" s="0" t="s">
        <v>2458</v>
      </c>
    </row>
    <row r="244">
      <c r="A244" s="0">
        <v>4788</v>
      </c>
      <c r="B244" s="0" t="s">
        <v>2459</v>
      </c>
      <c r="C244" s="0" t="s">
        <v>315</v>
      </c>
      <c r="D244" s="0" t="s">
        <v>2460</v>
      </c>
      <c r="E244" s="0" t="s">
        <v>2461</v>
      </c>
      <c r="F244" s="0">
        <v>1</v>
      </c>
      <c r="G244" s="0" t="s">
        <v>293</v>
      </c>
      <c r="H244" s="0" t="s">
        <v>294</v>
      </c>
      <c r="I244" s="0" t="s">
        <v>295</v>
      </c>
      <c r="J244" s="0" t="s">
        <v>594</v>
      </c>
      <c r="L244" s="0" t="s">
        <v>549</v>
      </c>
      <c r="P244" s="0" t="s">
        <v>323</v>
      </c>
      <c r="Q244" s="0" t="s">
        <v>323</v>
      </c>
      <c r="R244" s="0" t="s">
        <v>673</v>
      </c>
      <c r="T244" s="0" t="s">
        <v>2462</v>
      </c>
      <c r="W244" s="0" t="s">
        <v>2463</v>
      </c>
      <c r="X244" s="0" t="s">
        <v>529</v>
      </c>
      <c r="Y244" s="0" t="s">
        <v>104</v>
      </c>
      <c r="Z244" s="0" t="s">
        <v>2464</v>
      </c>
      <c r="AA244" s="0" t="s">
        <v>184</v>
      </c>
      <c r="AB244" s="0" t="s">
        <v>531</v>
      </c>
      <c r="AC244" s="0" t="s">
        <v>532</v>
      </c>
      <c r="AD244" s="0" t="s">
        <v>2465</v>
      </c>
      <c r="AE244" s="0" t="s">
        <v>2466</v>
      </c>
      <c r="AF244" s="0" t="s">
        <v>301</v>
      </c>
      <c r="AP244" s="0" t="s">
        <v>305</v>
      </c>
      <c r="BA244" s="0">
        <v>469</v>
      </c>
      <c r="BB244" s="0" t="s">
        <v>232</v>
      </c>
      <c r="BC244" s="0">
        <v>2</v>
      </c>
      <c r="BD244" s="0">
        <v>374043</v>
      </c>
      <c r="BE244" s="0">
        <v>58611</v>
      </c>
      <c r="BF244" s="0">
        <v>2</v>
      </c>
      <c r="BG244" s="0" t="s">
        <v>2467</v>
      </c>
      <c r="BI244" s="0">
        <v>757</v>
      </c>
      <c r="BK244" s="0" t="s">
        <v>2468</v>
      </c>
    </row>
    <row r="245">
      <c r="A245" s="0">
        <v>4789</v>
      </c>
      <c r="B245" s="0" t="s">
        <v>2469</v>
      </c>
      <c r="C245" s="0" t="s">
        <v>315</v>
      </c>
      <c r="D245" s="0" t="s">
        <v>2460</v>
      </c>
      <c r="E245" s="0" t="s">
        <v>2470</v>
      </c>
      <c r="F245" s="0">
        <v>1</v>
      </c>
      <c r="G245" s="0" t="s">
        <v>555</v>
      </c>
      <c r="H245" s="0" t="s">
        <v>1112</v>
      </c>
      <c r="I245" s="0" t="s">
        <v>549</v>
      </c>
      <c r="J245" s="0" t="s">
        <v>293</v>
      </c>
      <c r="K245" s="0" t="s">
        <v>294</v>
      </c>
      <c r="L245" s="0" t="s">
        <v>295</v>
      </c>
      <c r="M245" s="0" t="s">
        <v>594</v>
      </c>
      <c r="P245" s="0" t="s">
        <v>323</v>
      </c>
      <c r="Q245" s="0" t="s">
        <v>323</v>
      </c>
      <c r="R245" s="0" t="s">
        <v>661</v>
      </c>
      <c r="T245" s="0" t="s">
        <v>2471</v>
      </c>
      <c r="U245" s="0" t="s">
        <v>2472</v>
      </c>
      <c r="W245" s="0" t="s">
        <v>2463</v>
      </c>
      <c r="X245" s="0" t="s">
        <v>529</v>
      </c>
      <c r="Y245" s="0" t="s">
        <v>104</v>
      </c>
      <c r="Z245" s="0" t="s">
        <v>2464</v>
      </c>
      <c r="AA245" s="0" t="s">
        <v>184</v>
      </c>
      <c r="AB245" s="0" t="s">
        <v>531</v>
      </c>
      <c r="AC245" s="0" t="s">
        <v>532</v>
      </c>
      <c r="AD245" s="0" t="s">
        <v>2465</v>
      </c>
      <c r="AE245" s="0" t="s">
        <v>2466</v>
      </c>
      <c r="AF245" s="0" t="s">
        <v>301</v>
      </c>
      <c r="AP245" s="0" t="s">
        <v>305</v>
      </c>
      <c r="BA245" s="0">
        <v>469</v>
      </c>
      <c r="BB245" s="0" t="s">
        <v>232</v>
      </c>
      <c r="BC245" s="0">
        <v>2</v>
      </c>
      <c r="BD245" s="0">
        <v>374043</v>
      </c>
      <c r="BE245" s="0">
        <v>58611</v>
      </c>
      <c r="BF245" s="0">
        <v>2</v>
      </c>
      <c r="BG245" s="0" t="s">
        <v>2473</v>
      </c>
      <c r="BI245" s="0">
        <v>1090</v>
      </c>
      <c r="BK245" s="0" t="s">
        <v>2474</v>
      </c>
    </row>
    <row r="246">
      <c r="A246" s="0">
        <v>4791</v>
      </c>
      <c r="B246" s="0" t="s">
        <v>2475</v>
      </c>
      <c r="C246" s="0" t="s">
        <v>290</v>
      </c>
      <c r="D246" s="0" t="s">
        <v>2460</v>
      </c>
      <c r="E246" s="0" t="s">
        <v>2476</v>
      </c>
      <c r="F246" s="0">
        <v>1</v>
      </c>
      <c r="G246" s="0" t="s">
        <v>293</v>
      </c>
      <c r="H246" s="0" t="s">
        <v>294</v>
      </c>
      <c r="I246" s="0" t="s">
        <v>295</v>
      </c>
      <c r="P246" s="0" t="s">
        <v>343</v>
      </c>
      <c r="Q246" s="0" t="s">
        <v>343</v>
      </c>
      <c r="T246" s="0" t="s">
        <v>2477</v>
      </c>
      <c r="U246" s="0" t="s">
        <v>2478</v>
      </c>
      <c r="W246" s="0" t="s">
        <v>2463</v>
      </c>
      <c r="X246" s="0" t="s">
        <v>529</v>
      </c>
      <c r="Y246" s="0" t="s">
        <v>104</v>
      </c>
      <c r="Z246" s="0" t="s">
        <v>2464</v>
      </c>
      <c r="AA246" s="0" t="s">
        <v>184</v>
      </c>
      <c r="AB246" s="0" t="s">
        <v>531</v>
      </c>
      <c r="AC246" s="0" t="s">
        <v>532</v>
      </c>
      <c r="AD246" s="0" t="s">
        <v>2465</v>
      </c>
      <c r="AE246" s="0" t="s">
        <v>2466</v>
      </c>
      <c r="AF246" s="0" t="s">
        <v>301</v>
      </c>
      <c r="AP246" s="0" t="s">
        <v>305</v>
      </c>
      <c r="BA246" s="0">
        <v>469</v>
      </c>
      <c r="BB246" s="0" t="s">
        <v>232</v>
      </c>
      <c r="BC246" s="0">
        <v>2</v>
      </c>
      <c r="BD246" s="0">
        <v>374053</v>
      </c>
      <c r="BE246" s="0">
        <v>58611</v>
      </c>
      <c r="BF246" s="0">
        <v>2</v>
      </c>
      <c r="BG246" s="0" t="s">
        <v>2479</v>
      </c>
      <c r="BI246" s="0">
        <v>1669</v>
      </c>
      <c r="BK246" s="0" t="s">
        <v>2480</v>
      </c>
    </row>
    <row r="247">
      <c r="A247" s="0">
        <v>4790</v>
      </c>
      <c r="B247" s="0" t="s">
        <v>2481</v>
      </c>
      <c r="C247" s="0" t="s">
        <v>290</v>
      </c>
      <c r="D247" s="0" t="s">
        <v>2460</v>
      </c>
      <c r="E247" s="0" t="s">
        <v>2482</v>
      </c>
      <c r="F247" s="0">
        <v>1</v>
      </c>
      <c r="G247" s="0" t="s">
        <v>293</v>
      </c>
      <c r="H247" s="0" t="s">
        <v>294</v>
      </c>
      <c r="I247" s="0" t="s">
        <v>295</v>
      </c>
      <c r="P247" s="0" t="s">
        <v>343</v>
      </c>
      <c r="Q247" s="0" t="s">
        <v>343</v>
      </c>
      <c r="T247" s="0" t="s">
        <v>2477</v>
      </c>
      <c r="U247" s="0" t="s">
        <v>2483</v>
      </c>
      <c r="W247" s="0" t="s">
        <v>2463</v>
      </c>
      <c r="X247" s="0" t="s">
        <v>529</v>
      </c>
      <c r="Y247" s="0" t="s">
        <v>104</v>
      </c>
      <c r="Z247" s="0" t="s">
        <v>2464</v>
      </c>
      <c r="AA247" s="0" t="s">
        <v>184</v>
      </c>
      <c r="AB247" s="0" t="s">
        <v>531</v>
      </c>
      <c r="AC247" s="0" t="s">
        <v>532</v>
      </c>
      <c r="AD247" s="0" t="s">
        <v>2465</v>
      </c>
      <c r="AE247" s="0" t="s">
        <v>2466</v>
      </c>
      <c r="AF247" s="0" t="s">
        <v>301</v>
      </c>
      <c r="AP247" s="0" t="s">
        <v>305</v>
      </c>
      <c r="BA247" s="0">
        <v>469</v>
      </c>
      <c r="BB247" s="0" t="s">
        <v>232</v>
      </c>
      <c r="BC247" s="0">
        <v>2</v>
      </c>
      <c r="BD247" s="0">
        <v>374053</v>
      </c>
      <c r="BE247" s="0">
        <v>58611</v>
      </c>
      <c r="BF247" s="0">
        <v>2</v>
      </c>
      <c r="BG247" s="0" t="s">
        <v>2484</v>
      </c>
      <c r="BI247" s="0">
        <v>1400</v>
      </c>
      <c r="BK247" s="0" t="s">
        <v>2485</v>
      </c>
    </row>
    <row r="248">
      <c r="A248" s="0">
        <v>4796</v>
      </c>
      <c r="B248" s="0" t="s">
        <v>2486</v>
      </c>
      <c r="C248" s="0" t="s">
        <v>339</v>
      </c>
      <c r="D248" s="0" t="s">
        <v>2460</v>
      </c>
      <c r="E248" s="0" t="s">
        <v>2239</v>
      </c>
      <c r="F248" s="0">
        <v>1</v>
      </c>
      <c r="G248" s="0" t="s">
        <v>319</v>
      </c>
      <c r="H248" s="0" t="s">
        <v>523</v>
      </c>
      <c r="I248" s="0" t="s">
        <v>1268</v>
      </c>
      <c r="J248" s="0" t="s">
        <v>594</v>
      </c>
      <c r="L248" s="0" t="s">
        <v>1268</v>
      </c>
      <c r="M248" s="0" t="s">
        <v>2487</v>
      </c>
      <c r="O248" s="0" t="s">
        <v>1685</v>
      </c>
      <c r="P248" s="0" t="s">
        <v>323</v>
      </c>
      <c r="Q248" s="0" t="s">
        <v>343</v>
      </c>
      <c r="R248" s="0" t="s">
        <v>2488</v>
      </c>
      <c r="T248" s="0" t="s">
        <v>2489</v>
      </c>
      <c r="U248" s="0" t="s">
        <v>2490</v>
      </c>
      <c r="W248" s="0" t="s">
        <v>2463</v>
      </c>
      <c r="X248" s="0" t="s">
        <v>347</v>
      </c>
      <c r="Y248" s="0" t="s">
        <v>104</v>
      </c>
      <c r="Z248" s="0" t="s">
        <v>2464</v>
      </c>
      <c r="AA248" s="0" t="s">
        <v>184</v>
      </c>
      <c r="AB248" s="0" t="s">
        <v>531</v>
      </c>
      <c r="AC248" s="0" t="s">
        <v>532</v>
      </c>
      <c r="AD248" s="0" t="s">
        <v>2465</v>
      </c>
      <c r="AE248" s="0" t="s">
        <v>2466</v>
      </c>
      <c r="AF248" s="0" t="s">
        <v>301</v>
      </c>
      <c r="AM248" s="0" t="s">
        <v>2491</v>
      </c>
      <c r="AN248" s="0" t="s">
        <v>2492</v>
      </c>
      <c r="AO248" s="0" t="s">
        <v>2250</v>
      </c>
      <c r="AP248" s="0" t="s">
        <v>305</v>
      </c>
      <c r="AQ248" s="0" t="s">
        <v>2493</v>
      </c>
      <c r="AR248" s="0" t="s">
        <v>2494</v>
      </c>
      <c r="AS248" s="0">
        <v>18</v>
      </c>
      <c r="AT248" s="0">
        <v>38</v>
      </c>
      <c r="AU248" s="0">
        <v>38</v>
      </c>
      <c r="AV248" s="0" t="s">
        <v>995</v>
      </c>
      <c r="AW248" s="0" t="s">
        <v>331</v>
      </c>
      <c r="AX248" s="0" t="s">
        <v>2495</v>
      </c>
      <c r="AY248" s="0" t="s">
        <v>2496</v>
      </c>
      <c r="AZ248" s="0" t="s">
        <v>2497</v>
      </c>
      <c r="BA248" s="0">
        <v>469</v>
      </c>
      <c r="BB248" s="0" t="s">
        <v>232</v>
      </c>
      <c r="BC248" s="0">
        <v>2</v>
      </c>
      <c r="BD248" s="0">
        <v>8</v>
      </c>
      <c r="BE248" s="0">
        <v>58611</v>
      </c>
      <c r="BF248" s="0">
        <v>4</v>
      </c>
      <c r="BG248" s="0" t="s">
        <v>2498</v>
      </c>
      <c r="BI248" s="0">
        <v>2559</v>
      </c>
      <c r="BK248" s="0" t="s">
        <v>2499</v>
      </c>
    </row>
    <row r="249">
      <c r="A249" s="0">
        <v>4792</v>
      </c>
      <c r="B249" s="0" t="s">
        <v>2500</v>
      </c>
      <c r="C249" s="0" t="s">
        <v>339</v>
      </c>
      <c r="D249" s="0" t="s">
        <v>2460</v>
      </c>
      <c r="E249" s="0" t="s">
        <v>2501</v>
      </c>
      <c r="F249" s="0">
        <v>1</v>
      </c>
      <c r="G249" s="0" t="s">
        <v>319</v>
      </c>
      <c r="H249" s="0" t="s">
        <v>523</v>
      </c>
      <c r="I249" s="0" t="s">
        <v>1268</v>
      </c>
      <c r="J249" s="0" t="s">
        <v>594</v>
      </c>
      <c r="L249" s="0" t="s">
        <v>1268</v>
      </c>
      <c r="P249" s="0" t="s">
        <v>323</v>
      </c>
      <c r="Q249" s="0" t="s">
        <v>343</v>
      </c>
      <c r="R249" s="0" t="s">
        <v>2488</v>
      </c>
      <c r="U249" s="0" t="s">
        <v>2502</v>
      </c>
      <c r="W249" s="0" t="s">
        <v>2463</v>
      </c>
      <c r="X249" s="0" t="s">
        <v>347</v>
      </c>
      <c r="Y249" s="0" t="s">
        <v>104</v>
      </c>
      <c r="Z249" s="0" t="s">
        <v>2464</v>
      </c>
      <c r="AA249" s="0" t="s">
        <v>184</v>
      </c>
      <c r="AB249" s="0" t="s">
        <v>531</v>
      </c>
      <c r="AC249" s="0" t="s">
        <v>532</v>
      </c>
      <c r="AD249" s="0" t="s">
        <v>2465</v>
      </c>
      <c r="AE249" s="0" t="s">
        <v>2466</v>
      </c>
      <c r="AF249" s="0" t="s">
        <v>301</v>
      </c>
      <c r="AM249" s="0" t="s">
        <v>2503</v>
      </c>
      <c r="AN249" s="0" t="s">
        <v>1397</v>
      </c>
      <c r="AO249" s="0" t="s">
        <v>1398</v>
      </c>
      <c r="AP249" s="0" t="s">
        <v>305</v>
      </c>
      <c r="AQ249" s="0" t="s">
        <v>2504</v>
      </c>
      <c r="AR249" s="0" t="s">
        <v>1771</v>
      </c>
      <c r="AS249" s="0">
        <v>13</v>
      </c>
      <c r="AT249" s="0">
        <v>30</v>
      </c>
      <c r="AU249" s="0">
        <v>40</v>
      </c>
      <c r="AV249" s="0" t="s">
        <v>977</v>
      </c>
      <c r="AW249" s="0" t="s">
        <v>332</v>
      </c>
      <c r="AX249" s="0" t="s">
        <v>747</v>
      </c>
      <c r="AY249" s="0" t="s">
        <v>1900</v>
      </c>
      <c r="AZ249" s="0" t="s">
        <v>353</v>
      </c>
      <c r="BA249" s="0">
        <v>469</v>
      </c>
      <c r="BB249" s="0" t="s">
        <v>232</v>
      </c>
      <c r="BC249" s="0">
        <v>2</v>
      </c>
      <c r="BD249" s="0">
        <v>8</v>
      </c>
      <c r="BE249" s="0">
        <v>58611</v>
      </c>
      <c r="BF249" s="0">
        <v>4</v>
      </c>
      <c r="BG249" s="0" t="s">
        <v>2505</v>
      </c>
      <c r="BI249" s="0">
        <v>2735</v>
      </c>
      <c r="BK249" s="0" t="s">
        <v>2506</v>
      </c>
    </row>
    <row r="250">
      <c r="A250" s="0">
        <v>4793</v>
      </c>
      <c r="B250" s="0" t="s">
        <v>2507</v>
      </c>
      <c r="C250" s="0" t="s">
        <v>1139</v>
      </c>
      <c r="D250" s="0" t="s">
        <v>2460</v>
      </c>
      <c r="E250" s="0" t="s">
        <v>2508</v>
      </c>
      <c r="F250" s="0">
        <v>1</v>
      </c>
      <c r="G250" s="0" t="s">
        <v>293</v>
      </c>
      <c r="H250" s="0" t="s">
        <v>294</v>
      </c>
      <c r="I250" s="0" t="s">
        <v>295</v>
      </c>
      <c r="P250" s="0" t="s">
        <v>343</v>
      </c>
      <c r="Q250" s="0" t="s">
        <v>343</v>
      </c>
      <c r="T250" s="0" t="s">
        <v>2477</v>
      </c>
      <c r="U250" s="0" t="s">
        <v>2509</v>
      </c>
      <c r="W250" s="0" t="s">
        <v>2463</v>
      </c>
      <c r="X250" s="0" t="s">
        <v>347</v>
      </c>
      <c r="Y250" s="0" t="s">
        <v>104</v>
      </c>
      <c r="Z250" s="0" t="s">
        <v>2464</v>
      </c>
      <c r="AA250" s="0" t="s">
        <v>184</v>
      </c>
      <c r="AB250" s="0" t="s">
        <v>531</v>
      </c>
      <c r="AC250" s="0" t="s">
        <v>532</v>
      </c>
      <c r="AD250" s="0" t="s">
        <v>2465</v>
      </c>
      <c r="AE250" s="0" t="s">
        <v>2466</v>
      </c>
      <c r="AF250" s="0" t="s">
        <v>301</v>
      </c>
      <c r="AP250" s="0" t="s">
        <v>305</v>
      </c>
      <c r="BA250" s="0">
        <v>469</v>
      </c>
      <c r="BB250" s="0" t="s">
        <v>232</v>
      </c>
      <c r="BC250" s="0">
        <v>2</v>
      </c>
      <c r="BD250" s="0">
        <v>38030</v>
      </c>
      <c r="BE250" s="0">
        <v>58611</v>
      </c>
      <c r="BF250" s="0">
        <v>4</v>
      </c>
      <c r="BG250" s="0" t="s">
        <v>2510</v>
      </c>
      <c r="BI250" s="0">
        <v>1914</v>
      </c>
      <c r="BK250" s="0" t="s">
        <v>2511</v>
      </c>
    </row>
    <row r="251">
      <c r="A251" s="0">
        <v>4794</v>
      </c>
      <c r="B251" s="0" t="s">
        <v>2512</v>
      </c>
      <c r="C251" s="0" t="s">
        <v>1139</v>
      </c>
      <c r="D251" s="0" t="s">
        <v>2460</v>
      </c>
      <c r="E251" s="0" t="s">
        <v>2513</v>
      </c>
      <c r="F251" s="0">
        <v>1</v>
      </c>
      <c r="G251" s="0" t="s">
        <v>293</v>
      </c>
      <c r="H251" s="0" t="s">
        <v>294</v>
      </c>
      <c r="I251" s="0" t="s">
        <v>295</v>
      </c>
      <c r="P251" s="0" t="s">
        <v>343</v>
      </c>
      <c r="Q251" s="0" t="s">
        <v>343</v>
      </c>
      <c r="T251" s="0" t="s">
        <v>2477</v>
      </c>
      <c r="U251" s="0" t="s">
        <v>2514</v>
      </c>
      <c r="W251" s="0" t="s">
        <v>2463</v>
      </c>
      <c r="X251" s="0" t="s">
        <v>347</v>
      </c>
      <c r="Y251" s="0" t="s">
        <v>104</v>
      </c>
      <c r="Z251" s="0" t="s">
        <v>2464</v>
      </c>
      <c r="AA251" s="0" t="s">
        <v>184</v>
      </c>
      <c r="AB251" s="0" t="s">
        <v>531</v>
      </c>
      <c r="AC251" s="0" t="s">
        <v>532</v>
      </c>
      <c r="AD251" s="0" t="s">
        <v>2465</v>
      </c>
      <c r="AE251" s="0" t="s">
        <v>2466</v>
      </c>
      <c r="AF251" s="0" t="s">
        <v>301</v>
      </c>
      <c r="AP251" s="0" t="s">
        <v>305</v>
      </c>
      <c r="BA251" s="0">
        <v>469</v>
      </c>
      <c r="BB251" s="0" t="s">
        <v>232</v>
      </c>
      <c r="BC251" s="0">
        <v>2</v>
      </c>
      <c r="BD251" s="0">
        <v>38030</v>
      </c>
      <c r="BE251" s="0">
        <v>58611</v>
      </c>
      <c r="BF251" s="0">
        <v>4</v>
      </c>
      <c r="BG251" s="0" t="s">
        <v>2515</v>
      </c>
      <c r="BI251" s="0">
        <v>2146</v>
      </c>
      <c r="BK251" s="0" t="s">
        <v>2516</v>
      </c>
    </row>
    <row r="252">
      <c r="A252" s="0">
        <v>5173</v>
      </c>
      <c r="B252" s="0" t="s">
        <v>2517</v>
      </c>
      <c r="C252" s="0" t="s">
        <v>656</v>
      </c>
      <c r="D252" s="0" t="s">
        <v>2518</v>
      </c>
      <c r="E252" s="0" t="s">
        <v>2519</v>
      </c>
      <c r="F252" s="0">
        <v>2</v>
      </c>
      <c r="G252" s="0" t="s">
        <v>319</v>
      </c>
      <c r="H252" s="0" t="s">
        <v>2520</v>
      </c>
      <c r="I252" s="0" t="s">
        <v>524</v>
      </c>
      <c r="P252" s="0" t="s">
        <v>2521</v>
      </c>
      <c r="Q252" s="0" t="s">
        <v>2522</v>
      </c>
      <c r="R252" s="0" t="s">
        <v>526</v>
      </c>
      <c r="T252" s="0" t="s">
        <v>2523</v>
      </c>
      <c r="U252" s="0" t="s">
        <v>2524</v>
      </c>
      <c r="W252" s="0" t="s">
        <v>2463</v>
      </c>
      <c r="X252" s="0" t="s">
        <v>529</v>
      </c>
      <c r="Y252" s="0" t="s">
        <v>104</v>
      </c>
      <c r="Z252" s="0" t="s">
        <v>2464</v>
      </c>
      <c r="AA252" s="0" t="s">
        <v>184</v>
      </c>
      <c r="AB252" s="0" t="s">
        <v>531</v>
      </c>
      <c r="AC252" s="0" t="s">
        <v>532</v>
      </c>
      <c r="AD252" s="0" t="s">
        <v>2465</v>
      </c>
      <c r="AE252" s="0" t="s">
        <v>2466</v>
      </c>
      <c r="AF252" s="0" t="s">
        <v>301</v>
      </c>
      <c r="AM252" s="0" t="s">
        <v>391</v>
      </c>
      <c r="AN252" s="0" t="s">
        <v>1066</v>
      </c>
      <c r="AO252" s="0" t="s">
        <v>309</v>
      </c>
      <c r="AP252" s="0" t="s">
        <v>305</v>
      </c>
      <c r="AQ252" s="0" t="s">
        <v>1287</v>
      </c>
      <c r="BA252" s="0">
        <v>469</v>
      </c>
      <c r="BB252" s="0" t="s">
        <v>232</v>
      </c>
      <c r="BC252" s="0">
        <v>2</v>
      </c>
      <c r="BD252" s="0">
        <v>10</v>
      </c>
      <c r="BE252" s="0">
        <v>58611</v>
      </c>
      <c r="BF252" s="0">
        <v>2</v>
      </c>
      <c r="BG252" s="0" t="s">
        <v>2525</v>
      </c>
      <c r="BI252" s="0">
        <v>3085</v>
      </c>
      <c r="BK252" s="0" t="s">
        <v>2526</v>
      </c>
    </row>
    <row r="253">
      <c r="A253" s="0">
        <v>4787</v>
      </c>
      <c r="B253" s="0" t="s">
        <v>2527</v>
      </c>
      <c r="C253" s="0" t="s">
        <v>656</v>
      </c>
      <c r="D253" s="0" t="s">
        <v>2460</v>
      </c>
      <c r="E253" s="0" t="s">
        <v>2528</v>
      </c>
      <c r="F253" s="0">
        <v>1</v>
      </c>
      <c r="G253" s="0" t="s">
        <v>319</v>
      </c>
      <c r="H253" s="0" t="s">
        <v>2529</v>
      </c>
      <c r="I253" s="0" t="s">
        <v>524</v>
      </c>
      <c r="J253" s="0" t="s">
        <v>293</v>
      </c>
      <c r="K253" s="0" t="s">
        <v>294</v>
      </c>
      <c r="L253" s="0" t="s">
        <v>295</v>
      </c>
      <c r="P253" s="0" t="s">
        <v>323</v>
      </c>
      <c r="Q253" s="0" t="s">
        <v>323</v>
      </c>
      <c r="R253" s="0" t="s">
        <v>526</v>
      </c>
      <c r="T253" s="0" t="s">
        <v>2530</v>
      </c>
      <c r="U253" s="0" t="s">
        <v>2531</v>
      </c>
      <c r="W253" s="0" t="s">
        <v>2463</v>
      </c>
      <c r="X253" s="0" t="s">
        <v>347</v>
      </c>
      <c r="Y253" s="0" t="s">
        <v>104</v>
      </c>
      <c r="Z253" s="0" t="s">
        <v>2464</v>
      </c>
      <c r="AA253" s="0" t="s">
        <v>184</v>
      </c>
      <c r="AB253" s="0" t="s">
        <v>531</v>
      </c>
      <c r="AC253" s="0" t="s">
        <v>532</v>
      </c>
      <c r="AD253" s="0" t="s">
        <v>2465</v>
      </c>
      <c r="AE253" s="0" t="s">
        <v>2466</v>
      </c>
      <c r="AF253" s="0" t="s">
        <v>301</v>
      </c>
      <c r="AM253" s="0" t="s">
        <v>2532</v>
      </c>
      <c r="AN253" s="0" t="s">
        <v>2533</v>
      </c>
      <c r="AO253" s="0" t="s">
        <v>2534</v>
      </c>
      <c r="AP253" s="0" t="s">
        <v>305</v>
      </c>
      <c r="AQ253" s="0" t="s">
        <v>2535</v>
      </c>
      <c r="AR253" s="0" t="s">
        <v>2536</v>
      </c>
      <c r="AU253" s="0">
        <v>52</v>
      </c>
      <c r="AV253" s="0" t="s">
        <v>2537</v>
      </c>
      <c r="AW253" s="0" t="s">
        <v>2537</v>
      </c>
      <c r="AX253" s="0" t="s">
        <v>2538</v>
      </c>
      <c r="AY253" s="0" t="s">
        <v>2539</v>
      </c>
      <c r="AZ253" s="0" t="s">
        <v>2540</v>
      </c>
      <c r="BA253" s="0">
        <v>469</v>
      </c>
      <c r="BB253" s="0" t="s">
        <v>232</v>
      </c>
      <c r="BC253" s="0">
        <v>2</v>
      </c>
      <c r="BD253" s="0">
        <v>10</v>
      </c>
      <c r="BE253" s="0">
        <v>58611</v>
      </c>
      <c r="BF253" s="0">
        <v>4</v>
      </c>
      <c r="BG253" s="0" t="s">
        <v>2541</v>
      </c>
      <c r="BI253" s="0">
        <v>354</v>
      </c>
      <c r="BK253" s="0" t="s">
        <v>2542</v>
      </c>
    </row>
    <row r="254">
      <c r="A254" s="0">
        <v>4797</v>
      </c>
      <c r="B254" s="0" t="s">
        <v>2543</v>
      </c>
      <c r="C254" s="0" t="s">
        <v>945</v>
      </c>
      <c r="D254" s="0" t="s">
        <v>2460</v>
      </c>
      <c r="E254" s="0" t="s">
        <v>2544</v>
      </c>
      <c r="F254" s="0">
        <v>1</v>
      </c>
      <c r="G254" s="0" t="s">
        <v>319</v>
      </c>
      <c r="H254" s="0" t="s">
        <v>658</v>
      </c>
      <c r="I254" s="0" t="s">
        <v>948</v>
      </c>
      <c r="J254" s="0" t="s">
        <v>594</v>
      </c>
      <c r="P254" s="0" t="s">
        <v>323</v>
      </c>
      <c r="Q254" s="0" t="s">
        <v>323</v>
      </c>
      <c r="R254" s="0" t="s">
        <v>661</v>
      </c>
      <c r="T254" s="0" t="s">
        <v>2545</v>
      </c>
      <c r="U254" s="0" t="s">
        <v>2546</v>
      </c>
      <c r="W254" s="0" t="s">
        <v>2463</v>
      </c>
      <c r="X254" s="0" t="s">
        <v>529</v>
      </c>
      <c r="Y254" s="0" t="s">
        <v>104</v>
      </c>
      <c r="Z254" s="0" t="s">
        <v>2464</v>
      </c>
      <c r="AA254" s="0" t="s">
        <v>184</v>
      </c>
      <c r="AB254" s="0" t="s">
        <v>531</v>
      </c>
      <c r="AC254" s="0" t="s">
        <v>532</v>
      </c>
      <c r="AD254" s="0" t="s">
        <v>2465</v>
      </c>
      <c r="AE254" s="0" t="s">
        <v>2466</v>
      </c>
      <c r="AF254" s="0" t="s">
        <v>301</v>
      </c>
      <c r="AP254" s="0" t="s">
        <v>305</v>
      </c>
      <c r="BA254" s="0">
        <v>469</v>
      </c>
      <c r="BB254" s="0" t="s">
        <v>232</v>
      </c>
      <c r="BC254" s="0">
        <v>2</v>
      </c>
      <c r="BD254" s="0">
        <v>14</v>
      </c>
      <c r="BE254" s="0">
        <v>58611</v>
      </c>
      <c r="BF254" s="0">
        <v>2</v>
      </c>
      <c r="BG254" s="0" t="s">
        <v>2547</v>
      </c>
      <c r="BI254" s="0">
        <v>2908</v>
      </c>
      <c r="BK254" s="0" t="s">
        <v>2548</v>
      </c>
    </row>
    <row r="255">
      <c r="A255" s="0">
        <v>4795</v>
      </c>
      <c r="B255" s="0" t="s">
        <v>2549</v>
      </c>
      <c r="C255" s="0" t="s">
        <v>339</v>
      </c>
      <c r="D255" s="0" t="s">
        <v>2460</v>
      </c>
      <c r="E255" s="0" t="s">
        <v>2550</v>
      </c>
      <c r="F255" s="0">
        <v>1</v>
      </c>
      <c r="G255" s="0" t="s">
        <v>319</v>
      </c>
      <c r="H255" s="0" t="s">
        <v>398</v>
      </c>
      <c r="I255" s="0" t="s">
        <v>471</v>
      </c>
      <c r="J255" s="0" t="s">
        <v>594</v>
      </c>
      <c r="P255" s="0" t="s">
        <v>323</v>
      </c>
      <c r="Q255" s="0" t="s">
        <v>323</v>
      </c>
      <c r="R255" s="0" t="s">
        <v>2488</v>
      </c>
      <c r="T255" s="0" t="s">
        <v>2551</v>
      </c>
      <c r="U255" s="0" t="s">
        <v>2552</v>
      </c>
      <c r="W255" s="0" t="s">
        <v>2463</v>
      </c>
      <c r="X255" s="0" t="s">
        <v>347</v>
      </c>
      <c r="Y255" s="0" t="s">
        <v>104</v>
      </c>
      <c r="Z255" s="0" t="s">
        <v>2464</v>
      </c>
      <c r="AA255" s="0" t="s">
        <v>184</v>
      </c>
      <c r="AB255" s="0" t="s">
        <v>531</v>
      </c>
      <c r="AC255" s="0" t="s">
        <v>532</v>
      </c>
      <c r="AD255" s="0" t="s">
        <v>2465</v>
      </c>
      <c r="AE255" s="0" t="s">
        <v>2466</v>
      </c>
      <c r="AF255" s="0" t="s">
        <v>301</v>
      </c>
      <c r="AM255" s="0" t="s">
        <v>2553</v>
      </c>
      <c r="AN255" s="0" t="s">
        <v>2554</v>
      </c>
      <c r="AO255" s="0" t="s">
        <v>2555</v>
      </c>
      <c r="AP255" s="0" t="s">
        <v>305</v>
      </c>
      <c r="AQ255" s="0" t="s">
        <v>2556</v>
      </c>
      <c r="AR255" s="0" t="s">
        <v>2557</v>
      </c>
      <c r="AS255" s="0">
        <v>6</v>
      </c>
      <c r="AT255" s="0">
        <v>16</v>
      </c>
      <c r="AU255" s="0">
        <v>19</v>
      </c>
      <c r="AV255" s="0" t="s">
        <v>332</v>
      </c>
      <c r="AW255" s="0" t="s">
        <v>331</v>
      </c>
      <c r="AX255" s="0" t="s">
        <v>2558</v>
      </c>
      <c r="AY255" s="0" t="s">
        <v>2559</v>
      </c>
      <c r="AZ255" s="0" t="s">
        <v>2560</v>
      </c>
      <c r="BA255" s="0">
        <v>469</v>
      </c>
      <c r="BB255" s="0" t="s">
        <v>232</v>
      </c>
      <c r="BC255" s="0">
        <v>2</v>
      </c>
      <c r="BD255" s="0">
        <v>8</v>
      </c>
      <c r="BE255" s="0">
        <v>58611</v>
      </c>
      <c r="BF255" s="0">
        <v>4</v>
      </c>
      <c r="BG255" s="0" t="s">
        <v>2561</v>
      </c>
      <c r="BI255" s="0">
        <v>2363</v>
      </c>
      <c r="BK255" s="0" t="s">
        <v>2562</v>
      </c>
    </row>
    <row r="256">
      <c r="A256" s="0">
        <v>4802</v>
      </c>
      <c r="B256" s="0" t="s">
        <v>2563</v>
      </c>
      <c r="C256" s="0" t="s">
        <v>945</v>
      </c>
      <c r="D256" s="0" t="s">
        <v>2564</v>
      </c>
      <c r="E256" s="0" t="s">
        <v>2565</v>
      </c>
      <c r="F256" s="0">
        <v>1</v>
      </c>
      <c r="G256" s="0" t="s">
        <v>319</v>
      </c>
      <c r="H256" s="0" t="s">
        <v>398</v>
      </c>
      <c r="I256" s="0" t="s">
        <v>471</v>
      </c>
      <c r="J256" s="0" t="s">
        <v>2566</v>
      </c>
      <c r="K256" s="0" t="s">
        <v>594</v>
      </c>
      <c r="P256" s="0" t="s">
        <v>323</v>
      </c>
      <c r="Q256" s="0" t="s">
        <v>323</v>
      </c>
      <c r="R256" s="0" t="s">
        <v>2393</v>
      </c>
      <c r="T256" s="0" t="s">
        <v>2567</v>
      </c>
      <c r="U256" s="0" t="s">
        <v>2568</v>
      </c>
      <c r="X256" s="0" t="s">
        <v>529</v>
      </c>
      <c r="Y256" s="0" t="s">
        <v>206</v>
      </c>
      <c r="Z256" s="0" t="s">
        <v>2569</v>
      </c>
      <c r="AA256" s="0" t="s">
        <v>205</v>
      </c>
      <c r="AF256" s="0" t="s">
        <v>301</v>
      </c>
      <c r="AP256" s="0" t="s">
        <v>305</v>
      </c>
      <c r="BA256" s="0">
        <v>470</v>
      </c>
      <c r="BB256" s="0" t="s">
        <v>232</v>
      </c>
      <c r="BC256" s="0">
        <v>2</v>
      </c>
      <c r="BD256" s="0">
        <v>14</v>
      </c>
      <c r="BE256" s="0">
        <v>84613</v>
      </c>
      <c r="BF256" s="0">
        <v>2</v>
      </c>
      <c r="BG256" s="0" t="s">
        <v>2570</v>
      </c>
      <c r="BI256" s="0">
        <v>1089</v>
      </c>
      <c r="BK256" s="0" t="s">
        <v>2571</v>
      </c>
    </row>
    <row r="257">
      <c r="A257" s="0">
        <v>4803</v>
      </c>
      <c r="C257" s="0" t="s">
        <v>1100</v>
      </c>
      <c r="D257" s="0" t="s">
        <v>2564</v>
      </c>
      <c r="E257" s="0" t="s">
        <v>2572</v>
      </c>
      <c r="F257" s="0">
        <v>1</v>
      </c>
      <c r="G257" s="0" t="s">
        <v>319</v>
      </c>
      <c r="H257" s="0" t="s">
        <v>398</v>
      </c>
      <c r="I257" s="0" t="s">
        <v>471</v>
      </c>
      <c r="J257" s="0" t="s">
        <v>2566</v>
      </c>
      <c r="K257" s="0" t="s">
        <v>594</v>
      </c>
      <c r="P257" s="0" t="s">
        <v>323</v>
      </c>
      <c r="Q257" s="0" t="s">
        <v>323</v>
      </c>
      <c r="R257" s="0" t="s">
        <v>2488</v>
      </c>
      <c r="T257" s="0" t="s">
        <v>2573</v>
      </c>
      <c r="X257" s="0" t="s">
        <v>529</v>
      </c>
      <c r="Y257" s="0" t="s">
        <v>206</v>
      </c>
      <c r="Z257" s="0" t="s">
        <v>2569</v>
      </c>
      <c r="AA257" s="0" t="s">
        <v>205</v>
      </c>
      <c r="AF257" s="0" t="s">
        <v>301</v>
      </c>
      <c r="AP257" s="0" t="s">
        <v>305</v>
      </c>
      <c r="BA257" s="0">
        <v>470</v>
      </c>
      <c r="BB257" s="0" t="s">
        <v>232</v>
      </c>
      <c r="BC257" s="0">
        <v>2</v>
      </c>
      <c r="BD257" s="0">
        <v>374072</v>
      </c>
      <c r="BE257" s="0">
        <v>84613</v>
      </c>
      <c r="BF257" s="0">
        <v>2</v>
      </c>
      <c r="BG257" s="0" t="s">
        <v>2574</v>
      </c>
      <c r="BI257" s="0">
        <v>1399</v>
      </c>
      <c r="BK257" s="0" t="s">
        <v>2575</v>
      </c>
    </row>
    <row r="258">
      <c r="A258" s="0">
        <v>4804</v>
      </c>
      <c r="B258" s="0" t="s">
        <v>1821</v>
      </c>
      <c r="C258" s="0" t="s">
        <v>1139</v>
      </c>
      <c r="D258" s="0" t="s">
        <v>2564</v>
      </c>
      <c r="E258" s="0" t="s">
        <v>1822</v>
      </c>
      <c r="F258" s="0">
        <v>1</v>
      </c>
      <c r="G258" s="0" t="s">
        <v>293</v>
      </c>
      <c r="H258" s="0" t="s">
        <v>294</v>
      </c>
      <c r="I258" s="0" t="s">
        <v>918</v>
      </c>
      <c r="P258" s="0" t="s">
        <v>343</v>
      </c>
      <c r="Q258" s="0" t="s">
        <v>343</v>
      </c>
      <c r="T258" s="0" t="s">
        <v>2576</v>
      </c>
      <c r="U258" s="0" t="s">
        <v>2577</v>
      </c>
      <c r="X258" s="0" t="s">
        <v>347</v>
      </c>
      <c r="Y258" s="0" t="s">
        <v>206</v>
      </c>
      <c r="Z258" s="0" t="s">
        <v>2569</v>
      </c>
      <c r="AA258" s="0" t="s">
        <v>205</v>
      </c>
      <c r="AF258" s="0" t="s">
        <v>301</v>
      </c>
      <c r="AP258" s="0" t="s">
        <v>305</v>
      </c>
      <c r="BA258" s="0">
        <v>470</v>
      </c>
      <c r="BB258" s="0" t="s">
        <v>232</v>
      </c>
      <c r="BC258" s="0">
        <v>2</v>
      </c>
      <c r="BD258" s="0">
        <v>38030</v>
      </c>
      <c r="BE258" s="0">
        <v>84613</v>
      </c>
      <c r="BF258" s="0">
        <v>4</v>
      </c>
      <c r="BG258" s="0" t="s">
        <v>2578</v>
      </c>
      <c r="BI258" s="0">
        <v>2145</v>
      </c>
      <c r="BK258" s="0" t="s">
        <v>2579</v>
      </c>
    </row>
    <row r="259">
      <c r="A259" s="0">
        <v>4805</v>
      </c>
      <c r="B259" s="0" t="s">
        <v>2580</v>
      </c>
      <c r="C259" s="0" t="s">
        <v>656</v>
      </c>
      <c r="D259" s="0" t="s">
        <v>2564</v>
      </c>
      <c r="E259" s="0" t="s">
        <v>2581</v>
      </c>
      <c r="F259" s="0">
        <v>1</v>
      </c>
      <c r="G259" s="0" t="s">
        <v>293</v>
      </c>
      <c r="H259" s="0" t="s">
        <v>294</v>
      </c>
      <c r="I259" s="0" t="s">
        <v>918</v>
      </c>
      <c r="P259" s="0" t="s">
        <v>343</v>
      </c>
      <c r="Q259" s="0" t="s">
        <v>343</v>
      </c>
      <c r="U259" s="0" t="s">
        <v>2582</v>
      </c>
      <c r="X259" s="0" t="s">
        <v>347</v>
      </c>
      <c r="Y259" s="0" t="s">
        <v>206</v>
      </c>
      <c r="Z259" s="0" t="s">
        <v>2569</v>
      </c>
      <c r="AA259" s="0" t="s">
        <v>205</v>
      </c>
      <c r="AF259" s="0" t="s">
        <v>301</v>
      </c>
      <c r="AM259" s="0" t="s">
        <v>387</v>
      </c>
      <c r="AN259" s="0" t="s">
        <v>387</v>
      </c>
      <c r="AO259" s="0" t="s">
        <v>2583</v>
      </c>
      <c r="AP259" s="0" t="s">
        <v>305</v>
      </c>
      <c r="AS259" s="0">
        <v>390</v>
      </c>
      <c r="AT259" s="0">
        <v>800</v>
      </c>
      <c r="AU259" s="0">
        <v>970</v>
      </c>
      <c r="AV259" s="0" t="s">
        <v>332</v>
      </c>
      <c r="AX259" s="0" t="s">
        <v>651</v>
      </c>
      <c r="AY259" s="0" t="s">
        <v>598</v>
      </c>
      <c r="AZ259" s="0" t="s">
        <v>1807</v>
      </c>
      <c r="BA259" s="0">
        <v>470</v>
      </c>
      <c r="BB259" s="0" t="s">
        <v>232</v>
      </c>
      <c r="BC259" s="0">
        <v>2</v>
      </c>
      <c r="BD259" s="0">
        <v>10</v>
      </c>
      <c r="BE259" s="0">
        <v>84613</v>
      </c>
      <c r="BF259" s="0">
        <v>4</v>
      </c>
      <c r="BG259" s="0" t="s">
        <v>2584</v>
      </c>
      <c r="BI259" s="0">
        <v>1668</v>
      </c>
      <c r="BK259" s="0" t="s">
        <v>2585</v>
      </c>
    </row>
    <row r="260">
      <c r="A260" s="0">
        <v>4806</v>
      </c>
      <c r="B260" s="0" t="s">
        <v>2586</v>
      </c>
      <c r="C260" s="0" t="s">
        <v>656</v>
      </c>
      <c r="D260" s="0" t="s">
        <v>2564</v>
      </c>
      <c r="E260" s="0" t="s">
        <v>2587</v>
      </c>
      <c r="F260" s="0">
        <v>1</v>
      </c>
      <c r="G260" s="0" t="s">
        <v>293</v>
      </c>
      <c r="H260" s="0" t="s">
        <v>294</v>
      </c>
      <c r="I260" s="0" t="s">
        <v>918</v>
      </c>
      <c r="P260" s="0" t="s">
        <v>343</v>
      </c>
      <c r="Q260" s="0" t="s">
        <v>343</v>
      </c>
      <c r="U260" s="0" t="s">
        <v>2588</v>
      </c>
      <c r="X260" s="0" t="s">
        <v>347</v>
      </c>
      <c r="Y260" s="0" t="s">
        <v>206</v>
      </c>
      <c r="Z260" s="0" t="s">
        <v>2569</v>
      </c>
      <c r="AA260" s="0" t="s">
        <v>205</v>
      </c>
      <c r="AF260" s="0" t="s">
        <v>301</v>
      </c>
      <c r="AM260" s="0" t="s">
        <v>762</v>
      </c>
      <c r="AN260" s="0" t="s">
        <v>310</v>
      </c>
      <c r="AO260" s="0" t="s">
        <v>2583</v>
      </c>
      <c r="AP260" s="0" t="s">
        <v>305</v>
      </c>
      <c r="AQ260" s="0" t="s">
        <v>489</v>
      </c>
      <c r="AR260" s="0" t="s">
        <v>1287</v>
      </c>
      <c r="AS260" s="0">
        <v>440</v>
      </c>
      <c r="AT260" s="0">
        <v>900</v>
      </c>
      <c r="AU260" s="0">
        <v>1030</v>
      </c>
      <c r="AV260" s="0" t="s">
        <v>332</v>
      </c>
      <c r="AX260" s="0" t="s">
        <v>2589</v>
      </c>
      <c r="AY260" s="0" t="s">
        <v>2590</v>
      </c>
      <c r="AZ260" s="0" t="s">
        <v>502</v>
      </c>
      <c r="BA260" s="0">
        <v>470</v>
      </c>
      <c r="BB260" s="0" t="s">
        <v>232</v>
      </c>
      <c r="BC260" s="0">
        <v>2</v>
      </c>
      <c r="BD260" s="0">
        <v>10</v>
      </c>
      <c r="BE260" s="0">
        <v>84613</v>
      </c>
      <c r="BF260" s="0">
        <v>4</v>
      </c>
      <c r="BG260" s="0" t="s">
        <v>2591</v>
      </c>
      <c r="BI260" s="0">
        <v>1913</v>
      </c>
      <c r="BK260" s="0" t="s">
        <v>2592</v>
      </c>
    </row>
    <row r="261">
      <c r="A261" s="0">
        <v>4800</v>
      </c>
      <c r="B261" s="0" t="s">
        <v>2593</v>
      </c>
      <c r="C261" s="0" t="s">
        <v>1100</v>
      </c>
      <c r="D261" s="0" t="s">
        <v>2564</v>
      </c>
      <c r="E261" s="0" t="s">
        <v>2594</v>
      </c>
      <c r="F261" s="0">
        <v>1</v>
      </c>
      <c r="G261" s="0" t="s">
        <v>319</v>
      </c>
      <c r="H261" s="0" t="s">
        <v>398</v>
      </c>
      <c r="I261" s="0" t="s">
        <v>471</v>
      </c>
      <c r="J261" s="0" t="s">
        <v>2566</v>
      </c>
      <c r="K261" s="0" t="s">
        <v>594</v>
      </c>
      <c r="P261" s="0" t="s">
        <v>323</v>
      </c>
      <c r="Q261" s="0" t="s">
        <v>323</v>
      </c>
      <c r="R261" s="0" t="s">
        <v>1142</v>
      </c>
      <c r="T261" s="0" t="s">
        <v>2595</v>
      </c>
      <c r="X261" s="0" t="s">
        <v>529</v>
      </c>
      <c r="Y261" s="0" t="s">
        <v>206</v>
      </c>
      <c r="Z261" s="0" t="s">
        <v>2569</v>
      </c>
      <c r="AA261" s="0" t="s">
        <v>205</v>
      </c>
      <c r="AF261" s="0" t="s">
        <v>301</v>
      </c>
      <c r="AP261" s="0" t="s">
        <v>305</v>
      </c>
      <c r="BA261" s="0">
        <v>470</v>
      </c>
      <c r="BB261" s="0" t="s">
        <v>232</v>
      </c>
      <c r="BC261" s="0">
        <v>2</v>
      </c>
      <c r="BD261" s="0">
        <v>374072</v>
      </c>
      <c r="BE261" s="0">
        <v>84613</v>
      </c>
      <c r="BF261" s="0">
        <v>2</v>
      </c>
      <c r="BG261" s="0" t="s">
        <v>2596</v>
      </c>
      <c r="BI261" s="0">
        <v>353</v>
      </c>
      <c r="BK261" s="0" t="s">
        <v>2597</v>
      </c>
    </row>
    <row r="262">
      <c r="A262" s="0">
        <v>4801</v>
      </c>
      <c r="B262" s="0" t="s">
        <v>2598</v>
      </c>
      <c r="C262" s="0" t="s">
        <v>1100</v>
      </c>
      <c r="D262" s="0" t="s">
        <v>2564</v>
      </c>
      <c r="E262" s="0" t="s">
        <v>2599</v>
      </c>
      <c r="F262" s="0">
        <v>1</v>
      </c>
      <c r="G262" s="0" t="s">
        <v>319</v>
      </c>
      <c r="H262" s="0" t="s">
        <v>398</v>
      </c>
      <c r="I262" s="0" t="s">
        <v>471</v>
      </c>
      <c r="J262" s="0" t="s">
        <v>2566</v>
      </c>
      <c r="K262" s="0" t="s">
        <v>594</v>
      </c>
      <c r="P262" s="0" t="s">
        <v>323</v>
      </c>
      <c r="Q262" s="0" t="s">
        <v>323</v>
      </c>
      <c r="R262" s="0" t="s">
        <v>1142</v>
      </c>
      <c r="T262" s="0" t="s">
        <v>2600</v>
      </c>
      <c r="X262" s="0" t="s">
        <v>529</v>
      </c>
      <c r="Y262" s="0" t="s">
        <v>206</v>
      </c>
      <c r="Z262" s="0" t="s">
        <v>2569</v>
      </c>
      <c r="AA262" s="0" t="s">
        <v>205</v>
      </c>
      <c r="AF262" s="0" t="s">
        <v>301</v>
      </c>
      <c r="AP262" s="0" t="s">
        <v>305</v>
      </c>
      <c r="BA262" s="0">
        <v>470</v>
      </c>
      <c r="BB262" s="0" t="s">
        <v>232</v>
      </c>
      <c r="BC262" s="0">
        <v>2</v>
      </c>
      <c r="BD262" s="0">
        <v>374072</v>
      </c>
      <c r="BE262" s="0">
        <v>84613</v>
      </c>
      <c r="BF262" s="0">
        <v>2</v>
      </c>
      <c r="BG262" s="0" t="s">
        <v>2601</v>
      </c>
      <c r="BI262" s="0">
        <v>756</v>
      </c>
      <c r="BK262" s="0" t="s">
        <v>2602</v>
      </c>
    </row>
    <row r="263">
      <c r="A263" s="0">
        <v>4810</v>
      </c>
      <c r="B263" s="0" t="s">
        <v>2603</v>
      </c>
      <c r="C263" s="0" t="s">
        <v>339</v>
      </c>
      <c r="D263" s="0" t="s">
        <v>1960</v>
      </c>
      <c r="E263" s="0" t="s">
        <v>2604</v>
      </c>
      <c r="F263" s="0">
        <v>1</v>
      </c>
      <c r="G263" s="0" t="s">
        <v>400</v>
      </c>
      <c r="J263" s="0" t="s">
        <v>319</v>
      </c>
      <c r="K263" s="0" t="s">
        <v>1987</v>
      </c>
      <c r="L263" s="0" t="s">
        <v>2605</v>
      </c>
      <c r="M263" s="0" t="s">
        <v>293</v>
      </c>
      <c r="N263" s="0" t="s">
        <v>2606</v>
      </c>
      <c r="P263" s="0" t="s">
        <v>2607</v>
      </c>
      <c r="Q263" s="0" t="s">
        <v>343</v>
      </c>
      <c r="R263" s="0" t="s">
        <v>419</v>
      </c>
      <c r="T263" s="0" t="s">
        <v>2608</v>
      </c>
      <c r="U263" s="0" t="s">
        <v>2609</v>
      </c>
      <c r="W263" s="0" t="s">
        <v>2610</v>
      </c>
      <c r="X263" s="0" t="s">
        <v>347</v>
      </c>
      <c r="Y263" s="0" t="s">
        <v>150</v>
      </c>
      <c r="Z263" s="0" t="s">
        <v>1919</v>
      </c>
      <c r="AA263" s="0" t="s">
        <v>185</v>
      </c>
      <c r="AB263" s="0" t="s">
        <v>300</v>
      </c>
      <c r="AD263" s="0" t="s">
        <v>2611</v>
      </c>
      <c r="AF263" s="0" t="s">
        <v>301</v>
      </c>
      <c r="AP263" s="0" t="s">
        <v>305</v>
      </c>
      <c r="BA263" s="0">
        <v>471</v>
      </c>
      <c r="BB263" s="0" t="s">
        <v>232</v>
      </c>
      <c r="BC263" s="0">
        <v>2</v>
      </c>
      <c r="BD263" s="0">
        <v>8</v>
      </c>
      <c r="BE263" s="0">
        <v>142781</v>
      </c>
      <c r="BF263" s="0">
        <v>4</v>
      </c>
      <c r="BG263" s="0" t="s">
        <v>2612</v>
      </c>
      <c r="BI263" s="0">
        <v>1397</v>
      </c>
      <c r="BK263" s="0" t="s">
        <v>2613</v>
      </c>
    </row>
    <row r="264">
      <c r="A264" s="0">
        <v>4900</v>
      </c>
      <c r="C264" s="0" t="s">
        <v>315</v>
      </c>
      <c r="D264" s="0" t="s">
        <v>2614</v>
      </c>
      <c r="E264" s="0" t="s">
        <v>2615</v>
      </c>
      <c r="F264" s="0">
        <v>1</v>
      </c>
      <c r="G264" s="0" t="s">
        <v>2616</v>
      </c>
      <c r="J264" s="0" t="s">
        <v>2616</v>
      </c>
      <c r="P264" s="0" t="s">
        <v>2616</v>
      </c>
      <c r="Q264" s="0" t="s">
        <v>343</v>
      </c>
      <c r="T264" s="0" t="s">
        <v>2617</v>
      </c>
      <c r="W264" s="0" t="s">
        <v>2610</v>
      </c>
      <c r="X264" s="0" t="s">
        <v>1116</v>
      </c>
      <c r="Y264" s="0" t="s">
        <v>150</v>
      </c>
      <c r="Z264" s="0" t="s">
        <v>1919</v>
      </c>
      <c r="AA264" s="0" t="s">
        <v>185</v>
      </c>
      <c r="AB264" s="0" t="s">
        <v>300</v>
      </c>
      <c r="AD264" s="0" t="s">
        <v>2611</v>
      </c>
      <c r="AF264" s="0" t="s">
        <v>301</v>
      </c>
      <c r="AP264" s="0" t="s">
        <v>305</v>
      </c>
      <c r="BA264" s="0">
        <v>471</v>
      </c>
      <c r="BB264" s="0" t="s">
        <v>232</v>
      </c>
      <c r="BC264" s="0">
        <v>2</v>
      </c>
      <c r="BD264" s="0">
        <v>374043</v>
      </c>
      <c r="BE264" s="0">
        <v>142781</v>
      </c>
      <c r="BF264" s="0">
        <v>1</v>
      </c>
      <c r="BG264" s="0" t="s">
        <v>2618</v>
      </c>
      <c r="BI264" s="0">
        <v>3225</v>
      </c>
      <c r="BK264" s="0" t="s">
        <v>2619</v>
      </c>
    </row>
    <row r="265">
      <c r="A265" s="0">
        <v>4818</v>
      </c>
      <c r="C265" s="0" t="s">
        <v>2620</v>
      </c>
      <c r="D265" s="0" t="s">
        <v>2614</v>
      </c>
      <c r="E265" s="0" t="s">
        <v>2621</v>
      </c>
      <c r="T265" s="0" t="s">
        <v>2622</v>
      </c>
      <c r="W265" s="0" t="s">
        <v>2610</v>
      </c>
      <c r="X265" s="0" t="s">
        <v>1116</v>
      </c>
      <c r="Y265" s="0" t="s">
        <v>150</v>
      </c>
      <c r="Z265" s="0" t="s">
        <v>1919</v>
      </c>
      <c r="AA265" s="0" t="s">
        <v>185</v>
      </c>
      <c r="AB265" s="0" t="s">
        <v>300</v>
      </c>
      <c r="AD265" s="0" t="s">
        <v>2611</v>
      </c>
      <c r="AF265" s="0" t="s">
        <v>301</v>
      </c>
      <c r="AP265" s="0" t="s">
        <v>305</v>
      </c>
      <c r="BA265" s="0">
        <v>471</v>
      </c>
      <c r="BB265" s="0" t="s">
        <v>232</v>
      </c>
      <c r="BC265" s="0">
        <v>2</v>
      </c>
      <c r="BD265" s="0">
        <v>34</v>
      </c>
      <c r="BE265" s="0">
        <v>142781</v>
      </c>
      <c r="BF265" s="0">
        <v>1</v>
      </c>
      <c r="BG265" s="0" t="s">
        <v>2623</v>
      </c>
      <c r="BI265" s="0">
        <v>2733</v>
      </c>
      <c r="BK265" s="0" t="s">
        <v>2624</v>
      </c>
    </row>
    <row r="266">
      <c r="A266" s="0">
        <v>4809</v>
      </c>
      <c r="B266" s="0" t="s">
        <v>2625</v>
      </c>
      <c r="C266" s="0" t="s">
        <v>339</v>
      </c>
      <c r="D266" s="0" t="s">
        <v>2626</v>
      </c>
      <c r="E266" s="0" t="s">
        <v>2627</v>
      </c>
      <c r="F266" s="0">
        <v>1</v>
      </c>
      <c r="G266" s="0" t="s">
        <v>400</v>
      </c>
      <c r="H266" s="0" t="s">
        <v>2110</v>
      </c>
      <c r="J266" s="0" t="s">
        <v>319</v>
      </c>
      <c r="K266" s="0" t="s">
        <v>524</v>
      </c>
      <c r="P266" s="0" t="s">
        <v>2628</v>
      </c>
      <c r="Q266" s="0" t="s">
        <v>2628</v>
      </c>
      <c r="R266" s="0" t="s">
        <v>880</v>
      </c>
      <c r="T266" s="0" t="s">
        <v>2629</v>
      </c>
      <c r="U266" s="0" t="s">
        <v>2630</v>
      </c>
      <c r="W266" s="0" t="s">
        <v>2610</v>
      </c>
      <c r="X266" s="0" t="s">
        <v>347</v>
      </c>
      <c r="Y266" s="0" t="s">
        <v>150</v>
      </c>
      <c r="Z266" s="0" t="s">
        <v>1919</v>
      </c>
      <c r="AA266" s="0" t="s">
        <v>185</v>
      </c>
      <c r="AB266" s="0" t="s">
        <v>300</v>
      </c>
      <c r="AD266" s="0" t="s">
        <v>2611</v>
      </c>
      <c r="AF266" s="0" t="s">
        <v>301</v>
      </c>
      <c r="AP266" s="0" t="s">
        <v>305</v>
      </c>
      <c r="BA266" s="0">
        <v>471</v>
      </c>
      <c r="BB266" s="0" t="s">
        <v>232</v>
      </c>
      <c r="BC266" s="0">
        <v>2</v>
      </c>
      <c r="BD266" s="0">
        <v>8</v>
      </c>
      <c r="BE266" s="0">
        <v>142781</v>
      </c>
      <c r="BF266" s="0">
        <v>4</v>
      </c>
      <c r="BG266" s="0" t="s">
        <v>2631</v>
      </c>
      <c r="BI266" s="0">
        <v>1079</v>
      </c>
      <c r="BK266" s="0" t="s">
        <v>2632</v>
      </c>
    </row>
    <row r="267">
      <c r="A267" s="0">
        <v>4811</v>
      </c>
      <c r="B267" s="0" t="s">
        <v>2633</v>
      </c>
      <c r="C267" s="0" t="s">
        <v>315</v>
      </c>
      <c r="D267" s="0" t="s">
        <v>2061</v>
      </c>
      <c r="E267" s="0" t="s">
        <v>2634</v>
      </c>
      <c r="F267" s="0">
        <v>1</v>
      </c>
      <c r="G267" s="0" t="s">
        <v>2635</v>
      </c>
      <c r="H267" s="0" t="s">
        <v>469</v>
      </c>
      <c r="J267" s="0" t="s">
        <v>293</v>
      </c>
      <c r="K267" s="0" t="s">
        <v>918</v>
      </c>
      <c r="T267" s="0" t="s">
        <v>2636</v>
      </c>
      <c r="U267" s="0" t="s">
        <v>2637</v>
      </c>
      <c r="W267" s="0" t="s">
        <v>2610</v>
      </c>
      <c r="X267" s="0" t="s">
        <v>529</v>
      </c>
      <c r="Y267" s="0" t="s">
        <v>150</v>
      </c>
      <c r="Z267" s="0" t="s">
        <v>1919</v>
      </c>
      <c r="AA267" s="0" t="s">
        <v>185</v>
      </c>
      <c r="AB267" s="0" t="s">
        <v>300</v>
      </c>
      <c r="AD267" s="0" t="s">
        <v>2611</v>
      </c>
      <c r="AF267" s="0" t="s">
        <v>301</v>
      </c>
      <c r="AP267" s="0" t="s">
        <v>305</v>
      </c>
      <c r="BA267" s="0">
        <v>471</v>
      </c>
      <c r="BB267" s="0" t="s">
        <v>232</v>
      </c>
      <c r="BC267" s="0">
        <v>2</v>
      </c>
      <c r="BD267" s="0">
        <v>374043</v>
      </c>
      <c r="BE267" s="0">
        <v>142781</v>
      </c>
      <c r="BF267" s="0">
        <v>2</v>
      </c>
      <c r="BG267" s="0" t="s">
        <v>2638</v>
      </c>
      <c r="BI267" s="0">
        <v>1665</v>
      </c>
      <c r="BK267" s="0" t="s">
        <v>2639</v>
      </c>
    </row>
    <row r="268">
      <c r="A268" s="0">
        <v>4817</v>
      </c>
      <c r="B268" s="0" t="s">
        <v>2640</v>
      </c>
      <c r="C268" s="0" t="s">
        <v>339</v>
      </c>
      <c r="D268" s="0" t="s">
        <v>1960</v>
      </c>
      <c r="E268" s="0" t="s">
        <v>2641</v>
      </c>
      <c r="F268" s="0">
        <v>1</v>
      </c>
      <c r="G268" s="0" t="s">
        <v>319</v>
      </c>
      <c r="H268" s="0" t="s">
        <v>416</v>
      </c>
      <c r="I268" s="0" t="s">
        <v>948</v>
      </c>
      <c r="J268" s="0" t="s">
        <v>293</v>
      </c>
      <c r="K268" s="0" t="s">
        <v>294</v>
      </c>
      <c r="L268" s="0" t="s">
        <v>295</v>
      </c>
      <c r="P268" s="0" t="s">
        <v>2642</v>
      </c>
      <c r="Q268" s="0" t="s">
        <v>343</v>
      </c>
      <c r="T268" s="0" t="s">
        <v>2643</v>
      </c>
      <c r="U268" s="0" t="s">
        <v>2644</v>
      </c>
      <c r="W268" s="0" t="s">
        <v>2610</v>
      </c>
      <c r="X268" s="0" t="s">
        <v>347</v>
      </c>
      <c r="Y268" s="0" t="s">
        <v>150</v>
      </c>
      <c r="Z268" s="0" t="s">
        <v>1919</v>
      </c>
      <c r="AA268" s="0" t="s">
        <v>185</v>
      </c>
      <c r="AB268" s="0" t="s">
        <v>300</v>
      </c>
      <c r="AD268" s="0" t="s">
        <v>2611</v>
      </c>
      <c r="AF268" s="0" t="s">
        <v>301</v>
      </c>
      <c r="AP268" s="0" t="s">
        <v>305</v>
      </c>
      <c r="BA268" s="0">
        <v>471</v>
      </c>
      <c r="BB268" s="0" t="s">
        <v>232</v>
      </c>
      <c r="BC268" s="0">
        <v>2</v>
      </c>
      <c r="BD268" s="0">
        <v>8</v>
      </c>
      <c r="BE268" s="0">
        <v>142781</v>
      </c>
      <c r="BF268" s="0">
        <v>4</v>
      </c>
      <c r="BG268" s="0" t="s">
        <v>2645</v>
      </c>
      <c r="BI268" s="0">
        <v>2556</v>
      </c>
      <c r="BK268" s="0" t="s">
        <v>2646</v>
      </c>
    </row>
    <row r="269">
      <c r="A269" s="0">
        <v>4816</v>
      </c>
      <c r="B269" s="0" t="s">
        <v>2647</v>
      </c>
      <c r="C269" s="0" t="s">
        <v>315</v>
      </c>
      <c r="D269" s="0" t="s">
        <v>2149</v>
      </c>
      <c r="E269" s="0" t="s">
        <v>2648</v>
      </c>
      <c r="F269" s="0">
        <v>1</v>
      </c>
      <c r="G269" s="0" t="s">
        <v>2649</v>
      </c>
      <c r="J269" s="0" t="s">
        <v>2649</v>
      </c>
      <c r="P269" s="0" t="s">
        <v>2649</v>
      </c>
      <c r="Q269" s="0" t="s">
        <v>2649</v>
      </c>
      <c r="R269" s="0" t="s">
        <v>2649</v>
      </c>
      <c r="T269" s="0" t="s">
        <v>2650</v>
      </c>
      <c r="U269" s="0" t="s">
        <v>2651</v>
      </c>
      <c r="W269" s="0" t="s">
        <v>2610</v>
      </c>
      <c r="X269" s="0" t="s">
        <v>529</v>
      </c>
      <c r="Y269" s="0" t="s">
        <v>150</v>
      </c>
      <c r="Z269" s="0" t="s">
        <v>1919</v>
      </c>
      <c r="AA269" s="0" t="s">
        <v>185</v>
      </c>
      <c r="AB269" s="0" t="s">
        <v>300</v>
      </c>
      <c r="AD269" s="0" t="s">
        <v>2611</v>
      </c>
      <c r="AF269" s="0" t="s">
        <v>301</v>
      </c>
      <c r="AP269" s="0" t="s">
        <v>305</v>
      </c>
      <c r="BA269" s="0">
        <v>471</v>
      </c>
      <c r="BB269" s="0" t="s">
        <v>232</v>
      </c>
      <c r="BC269" s="0">
        <v>2</v>
      </c>
      <c r="BD269" s="0">
        <v>374043</v>
      </c>
      <c r="BE269" s="0">
        <v>142781</v>
      </c>
      <c r="BF269" s="0">
        <v>2</v>
      </c>
      <c r="BG269" s="0" t="s">
        <v>2652</v>
      </c>
      <c r="BI269" s="0">
        <v>2361</v>
      </c>
      <c r="BK269" s="0" t="s">
        <v>2653</v>
      </c>
    </row>
    <row r="270">
      <c r="A270" s="0">
        <v>4813</v>
      </c>
      <c r="B270" s="0" t="s">
        <v>2654</v>
      </c>
      <c r="C270" s="0" t="s">
        <v>315</v>
      </c>
      <c r="D270" s="0" t="s">
        <v>2061</v>
      </c>
      <c r="E270" s="0" t="s">
        <v>2655</v>
      </c>
      <c r="F270" s="0">
        <v>2</v>
      </c>
      <c r="G270" s="0" t="s">
        <v>293</v>
      </c>
      <c r="H270" s="0" t="s">
        <v>294</v>
      </c>
      <c r="I270" s="0" t="s">
        <v>918</v>
      </c>
      <c r="J270" s="0" t="s">
        <v>319</v>
      </c>
      <c r="K270" s="0" t="s">
        <v>483</v>
      </c>
      <c r="L270" s="0" t="s">
        <v>2656</v>
      </c>
      <c r="P270" s="0" t="s">
        <v>451</v>
      </c>
      <c r="Q270" s="0" t="s">
        <v>451</v>
      </c>
      <c r="T270" s="0" t="s">
        <v>2657</v>
      </c>
      <c r="U270" s="0" t="s">
        <v>2658</v>
      </c>
      <c r="W270" s="0" t="s">
        <v>2610</v>
      </c>
      <c r="X270" s="0" t="s">
        <v>529</v>
      </c>
      <c r="Y270" s="0" t="s">
        <v>150</v>
      </c>
      <c r="Z270" s="0" t="s">
        <v>1919</v>
      </c>
      <c r="AA270" s="0" t="s">
        <v>185</v>
      </c>
      <c r="AB270" s="0" t="s">
        <v>300</v>
      </c>
      <c r="AD270" s="0" t="s">
        <v>2611</v>
      </c>
      <c r="AF270" s="0" t="s">
        <v>301</v>
      </c>
      <c r="AP270" s="0" t="s">
        <v>305</v>
      </c>
      <c r="BA270" s="0">
        <v>471</v>
      </c>
      <c r="BB270" s="0" t="s">
        <v>232</v>
      </c>
      <c r="BC270" s="0">
        <v>2</v>
      </c>
      <c r="BD270" s="0">
        <v>374043</v>
      </c>
      <c r="BE270" s="0">
        <v>142781</v>
      </c>
      <c r="BF270" s="0">
        <v>2</v>
      </c>
      <c r="BG270" s="0" t="s">
        <v>2659</v>
      </c>
      <c r="BI270" s="0">
        <v>2142</v>
      </c>
      <c r="BK270" s="0" t="s">
        <v>2660</v>
      </c>
    </row>
    <row r="271">
      <c r="A271" s="0">
        <v>4808</v>
      </c>
      <c r="B271" s="0" t="s">
        <v>2661</v>
      </c>
      <c r="C271" s="0" t="s">
        <v>339</v>
      </c>
      <c r="D271" s="0" t="s">
        <v>2061</v>
      </c>
      <c r="E271" s="0" t="s">
        <v>2662</v>
      </c>
      <c r="F271" s="0">
        <v>1</v>
      </c>
      <c r="G271" s="0" t="s">
        <v>319</v>
      </c>
      <c r="H271" s="0" t="s">
        <v>416</v>
      </c>
      <c r="I271" s="0" t="s">
        <v>321</v>
      </c>
      <c r="J271" s="0" t="s">
        <v>293</v>
      </c>
      <c r="K271" s="0" t="s">
        <v>294</v>
      </c>
      <c r="L271" s="0" t="s">
        <v>918</v>
      </c>
      <c r="P271" s="0" t="s">
        <v>2663</v>
      </c>
      <c r="Q271" s="0" t="s">
        <v>2663</v>
      </c>
      <c r="R271" s="0" t="s">
        <v>1232</v>
      </c>
      <c r="T271" s="0" t="s">
        <v>2664</v>
      </c>
      <c r="U271" s="0" t="s">
        <v>2665</v>
      </c>
      <c r="W271" s="0" t="s">
        <v>2610</v>
      </c>
      <c r="X271" s="0" t="s">
        <v>347</v>
      </c>
      <c r="Y271" s="0" t="s">
        <v>150</v>
      </c>
      <c r="Z271" s="0" t="s">
        <v>1919</v>
      </c>
      <c r="AA271" s="0" t="s">
        <v>185</v>
      </c>
      <c r="AB271" s="0" t="s">
        <v>300</v>
      </c>
      <c r="AD271" s="0" t="s">
        <v>2611</v>
      </c>
      <c r="AF271" s="0" t="s">
        <v>301</v>
      </c>
      <c r="AM271" s="0" t="s">
        <v>2666</v>
      </c>
      <c r="AN271" s="0" t="s">
        <v>2667</v>
      </c>
      <c r="AO271" s="0" t="s">
        <v>2668</v>
      </c>
      <c r="AP271" s="0" t="s">
        <v>305</v>
      </c>
      <c r="AX271" s="0" t="s">
        <v>411</v>
      </c>
      <c r="AY271" s="0" t="s">
        <v>2669</v>
      </c>
      <c r="AZ271" s="0" t="s">
        <v>2670</v>
      </c>
      <c r="BA271" s="0">
        <v>471</v>
      </c>
      <c r="BB271" s="0" t="s">
        <v>232</v>
      </c>
      <c r="BC271" s="0">
        <v>2</v>
      </c>
      <c r="BD271" s="0">
        <v>8</v>
      </c>
      <c r="BE271" s="0">
        <v>142781</v>
      </c>
      <c r="BF271" s="0">
        <v>4</v>
      </c>
      <c r="BG271" s="0" t="s">
        <v>2671</v>
      </c>
      <c r="BI271" s="0">
        <v>753</v>
      </c>
      <c r="BK271" s="0" t="s">
        <v>2672</v>
      </c>
    </row>
    <row r="272">
      <c r="A272" s="0">
        <v>4807</v>
      </c>
      <c r="B272" s="0" t="s">
        <v>2673</v>
      </c>
      <c r="C272" s="0" t="s">
        <v>945</v>
      </c>
      <c r="D272" s="0" t="s">
        <v>2061</v>
      </c>
      <c r="E272" s="0" t="s">
        <v>2674</v>
      </c>
      <c r="F272" s="0">
        <v>1</v>
      </c>
      <c r="G272" s="0" t="s">
        <v>508</v>
      </c>
      <c r="H272" s="0" t="s">
        <v>2675</v>
      </c>
      <c r="J272" s="0" t="s">
        <v>2676</v>
      </c>
      <c r="K272" s="0" t="s">
        <v>417</v>
      </c>
      <c r="P272" s="0" t="s">
        <v>323</v>
      </c>
      <c r="Q272" s="0" t="s">
        <v>343</v>
      </c>
      <c r="R272" s="0" t="s">
        <v>2677</v>
      </c>
      <c r="T272" s="0" t="s">
        <v>2678</v>
      </c>
      <c r="U272" s="0" t="s">
        <v>2679</v>
      </c>
      <c r="W272" s="0" t="s">
        <v>2610</v>
      </c>
      <c r="X272" s="0" t="s">
        <v>529</v>
      </c>
      <c r="Y272" s="0" t="s">
        <v>150</v>
      </c>
      <c r="Z272" s="0" t="s">
        <v>1919</v>
      </c>
      <c r="AA272" s="0" t="s">
        <v>185</v>
      </c>
      <c r="AB272" s="0" t="s">
        <v>300</v>
      </c>
      <c r="AD272" s="0" t="s">
        <v>2611</v>
      </c>
      <c r="AF272" s="0" t="s">
        <v>301</v>
      </c>
      <c r="AP272" s="0" t="s">
        <v>305</v>
      </c>
      <c r="BA272" s="0">
        <v>471</v>
      </c>
      <c r="BB272" s="0" t="s">
        <v>232</v>
      </c>
      <c r="BC272" s="0">
        <v>2</v>
      </c>
      <c r="BD272" s="0">
        <v>14</v>
      </c>
      <c r="BE272" s="0">
        <v>142781</v>
      </c>
      <c r="BF272" s="0">
        <v>2</v>
      </c>
      <c r="BG272" s="0" t="s">
        <v>2680</v>
      </c>
      <c r="BI272" s="0">
        <v>349</v>
      </c>
      <c r="BK272" s="0" t="s">
        <v>2681</v>
      </c>
    </row>
    <row r="273">
      <c r="A273" s="0">
        <v>4812</v>
      </c>
      <c r="B273" s="0" t="s">
        <v>2682</v>
      </c>
      <c r="C273" s="0" t="s">
        <v>339</v>
      </c>
      <c r="D273" s="0" t="s">
        <v>2149</v>
      </c>
      <c r="E273" s="0" t="s">
        <v>2683</v>
      </c>
      <c r="F273" s="0">
        <v>1</v>
      </c>
      <c r="G273" s="0" t="s">
        <v>508</v>
      </c>
      <c r="H273" s="0" t="s">
        <v>2684</v>
      </c>
      <c r="J273" s="0" t="s">
        <v>360</v>
      </c>
      <c r="K273" s="0" t="s">
        <v>1997</v>
      </c>
      <c r="L273" s="0" t="s">
        <v>524</v>
      </c>
      <c r="P273" s="0" t="s">
        <v>323</v>
      </c>
      <c r="Q273" s="0" t="s">
        <v>343</v>
      </c>
      <c r="R273" s="0" t="s">
        <v>2685</v>
      </c>
      <c r="T273" s="0" t="s">
        <v>2686</v>
      </c>
      <c r="U273" s="0" t="s">
        <v>2687</v>
      </c>
      <c r="W273" s="0" t="s">
        <v>2610</v>
      </c>
      <c r="X273" s="0" t="s">
        <v>347</v>
      </c>
      <c r="Y273" s="0" t="s">
        <v>150</v>
      </c>
      <c r="Z273" s="0" t="s">
        <v>1919</v>
      </c>
      <c r="AA273" s="0" t="s">
        <v>185</v>
      </c>
      <c r="AB273" s="0" t="s">
        <v>300</v>
      </c>
      <c r="AD273" s="0" t="s">
        <v>2611</v>
      </c>
      <c r="AF273" s="0" t="s">
        <v>301</v>
      </c>
      <c r="AP273" s="0" t="s">
        <v>305</v>
      </c>
      <c r="BA273" s="0">
        <v>471</v>
      </c>
      <c r="BB273" s="0" t="s">
        <v>232</v>
      </c>
      <c r="BC273" s="0">
        <v>2</v>
      </c>
      <c r="BD273" s="0">
        <v>8</v>
      </c>
      <c r="BE273" s="0">
        <v>142781</v>
      </c>
      <c r="BF273" s="0">
        <v>4</v>
      </c>
      <c r="BG273" s="0" t="s">
        <v>2688</v>
      </c>
      <c r="BI273" s="0">
        <v>1910</v>
      </c>
      <c r="BK273" s="0" t="s">
        <v>2689</v>
      </c>
    </row>
    <row r="274">
      <c r="A274" s="0">
        <v>4829</v>
      </c>
      <c r="B274" s="0" t="s">
        <v>2690</v>
      </c>
      <c r="C274" s="0" t="s">
        <v>339</v>
      </c>
      <c r="D274" s="0" t="s">
        <v>2061</v>
      </c>
      <c r="E274" s="0" t="s">
        <v>2691</v>
      </c>
      <c r="F274" s="0">
        <v>1</v>
      </c>
      <c r="G274" s="0" t="s">
        <v>508</v>
      </c>
      <c r="H274" s="0" t="s">
        <v>2110</v>
      </c>
      <c r="I274" s="0" t="s">
        <v>2692</v>
      </c>
      <c r="J274" s="0" t="s">
        <v>360</v>
      </c>
      <c r="K274" s="0" t="s">
        <v>2693</v>
      </c>
      <c r="T274" s="0" t="s">
        <v>2694</v>
      </c>
      <c r="U274" s="0" t="s">
        <v>2695</v>
      </c>
      <c r="W274" s="0" t="s">
        <v>2610</v>
      </c>
      <c r="X274" s="0" t="s">
        <v>347</v>
      </c>
      <c r="Y274" s="0" t="s">
        <v>150</v>
      </c>
      <c r="Z274" s="0" t="s">
        <v>1919</v>
      </c>
      <c r="AA274" s="0" t="s">
        <v>185</v>
      </c>
      <c r="AB274" s="0" t="s">
        <v>300</v>
      </c>
      <c r="AD274" s="0" t="s">
        <v>2611</v>
      </c>
      <c r="AF274" s="0" t="s">
        <v>301</v>
      </c>
      <c r="AP274" s="0" t="s">
        <v>305</v>
      </c>
      <c r="BA274" s="0">
        <v>471</v>
      </c>
      <c r="BB274" s="0" t="s">
        <v>232</v>
      </c>
      <c r="BC274" s="0">
        <v>2</v>
      </c>
      <c r="BD274" s="0">
        <v>8</v>
      </c>
      <c r="BE274" s="0">
        <v>142781</v>
      </c>
      <c r="BF274" s="0">
        <v>4</v>
      </c>
      <c r="BG274" s="0" t="s">
        <v>2696</v>
      </c>
      <c r="BI274" s="0">
        <v>3072</v>
      </c>
      <c r="BK274" s="0" t="s">
        <v>2697</v>
      </c>
    </row>
    <row r="275">
      <c r="A275" s="0">
        <v>4819</v>
      </c>
      <c r="B275" s="0" t="s">
        <v>2698</v>
      </c>
      <c r="C275" s="0" t="s">
        <v>290</v>
      </c>
      <c r="D275" s="0" t="s">
        <v>2699</v>
      </c>
      <c r="E275" s="0" t="s">
        <v>2700</v>
      </c>
      <c r="F275" s="0">
        <v>1</v>
      </c>
      <c r="G275" s="0" t="s">
        <v>293</v>
      </c>
      <c r="H275" s="0" t="s">
        <v>294</v>
      </c>
      <c r="I275" s="0" t="s">
        <v>918</v>
      </c>
      <c r="J275" s="0" t="s">
        <v>319</v>
      </c>
      <c r="K275" s="0" t="s">
        <v>2701</v>
      </c>
      <c r="L275" s="0" t="s">
        <v>524</v>
      </c>
      <c r="P275" s="0" t="s">
        <v>2702</v>
      </c>
      <c r="Q275" s="0" t="s">
        <v>2703</v>
      </c>
      <c r="R275" s="0" t="s">
        <v>384</v>
      </c>
      <c r="T275" s="0" t="s">
        <v>2704</v>
      </c>
      <c r="U275" s="0" t="s">
        <v>2705</v>
      </c>
      <c r="W275" s="0" t="s">
        <v>2610</v>
      </c>
      <c r="X275" s="0" t="s">
        <v>529</v>
      </c>
      <c r="Y275" s="0" t="s">
        <v>150</v>
      </c>
      <c r="Z275" s="0" t="s">
        <v>1919</v>
      </c>
      <c r="AA275" s="0" t="s">
        <v>185</v>
      </c>
      <c r="AB275" s="0" t="s">
        <v>300</v>
      </c>
      <c r="AD275" s="0" t="s">
        <v>2611</v>
      </c>
      <c r="AF275" s="0" t="s">
        <v>301</v>
      </c>
      <c r="AP275" s="0" t="s">
        <v>305</v>
      </c>
      <c r="AS275" s="0">
        <v>27</v>
      </c>
      <c r="AT275" s="0">
        <v>55</v>
      </c>
      <c r="AU275" s="0">
        <v>60</v>
      </c>
      <c r="AV275" s="0" t="s">
        <v>895</v>
      </c>
      <c r="AW275" s="0" t="s">
        <v>977</v>
      </c>
      <c r="AX275" s="0" t="s">
        <v>438</v>
      </c>
      <c r="AY275" s="0" t="s">
        <v>2706</v>
      </c>
      <c r="AZ275" s="0" t="s">
        <v>2707</v>
      </c>
      <c r="BA275" s="0">
        <v>471</v>
      </c>
      <c r="BB275" s="0" t="s">
        <v>232</v>
      </c>
      <c r="BC275" s="0">
        <v>2</v>
      </c>
      <c r="BD275" s="0">
        <v>374053</v>
      </c>
      <c r="BE275" s="0">
        <v>142781</v>
      </c>
      <c r="BF275" s="0">
        <v>2</v>
      </c>
      <c r="BG275" s="0" t="s">
        <v>2708</v>
      </c>
      <c r="BI275" s="0">
        <v>2907</v>
      </c>
      <c r="BK275" s="0" t="s">
        <v>2709</v>
      </c>
    </row>
    <row r="276">
      <c r="A276" s="0">
        <v>4846</v>
      </c>
      <c r="B276" s="0" t="s">
        <v>2710</v>
      </c>
      <c r="C276" s="0" t="s">
        <v>945</v>
      </c>
      <c r="D276" s="0" t="s">
        <v>2711</v>
      </c>
      <c r="E276" s="0" t="s">
        <v>2712</v>
      </c>
      <c r="F276" s="0">
        <v>1</v>
      </c>
      <c r="G276" s="0" t="s">
        <v>2713</v>
      </c>
      <c r="H276" s="0" t="s">
        <v>2714</v>
      </c>
      <c r="I276" s="0" t="s">
        <v>469</v>
      </c>
      <c r="J276" s="0" t="s">
        <v>2715</v>
      </c>
      <c r="K276" s="0" t="s">
        <v>470</v>
      </c>
      <c r="L276" s="0" t="s">
        <v>948</v>
      </c>
      <c r="T276" s="0" t="s">
        <v>2716</v>
      </c>
      <c r="U276" s="0" t="s">
        <v>2717</v>
      </c>
      <c r="X276" s="0" t="s">
        <v>529</v>
      </c>
      <c r="Y276" s="0" t="s">
        <v>91</v>
      </c>
      <c r="Z276" s="0" t="s">
        <v>2718</v>
      </c>
      <c r="AA276" s="0" t="s">
        <v>182</v>
      </c>
      <c r="AB276" s="0" t="s">
        <v>300</v>
      </c>
      <c r="AF276" s="0" t="s">
        <v>301</v>
      </c>
      <c r="AM276" s="0" t="s">
        <v>608</v>
      </c>
      <c r="AN276" s="0" t="s">
        <v>349</v>
      </c>
      <c r="AO276" s="0" t="s">
        <v>387</v>
      </c>
      <c r="AP276" s="0" t="s">
        <v>305</v>
      </c>
      <c r="AQ276" s="0" t="s">
        <v>331</v>
      </c>
      <c r="AR276" s="0" t="s">
        <v>1575</v>
      </c>
      <c r="AS276" s="0">
        <v>128</v>
      </c>
      <c r="AT276" s="0">
        <v>265</v>
      </c>
      <c r="AU276" s="0">
        <v>301</v>
      </c>
      <c r="AV276" s="0" t="s">
        <v>332</v>
      </c>
      <c r="AW276" s="0" t="s">
        <v>332</v>
      </c>
      <c r="AX276" s="0" t="s">
        <v>490</v>
      </c>
      <c r="AY276" s="0" t="s">
        <v>352</v>
      </c>
      <c r="AZ276" s="0" t="s">
        <v>2719</v>
      </c>
      <c r="BA276" s="0">
        <v>472</v>
      </c>
      <c r="BB276" s="0" t="s">
        <v>232</v>
      </c>
      <c r="BC276" s="0">
        <v>2</v>
      </c>
      <c r="BD276" s="0">
        <v>14</v>
      </c>
      <c r="BE276" s="0">
        <v>332</v>
      </c>
      <c r="BF276" s="0">
        <v>2</v>
      </c>
      <c r="BG276" s="0" t="s">
        <v>2720</v>
      </c>
      <c r="BI276" s="0">
        <v>3716</v>
      </c>
      <c r="BK276" s="0" t="s">
        <v>2721</v>
      </c>
    </row>
    <row r="277">
      <c r="A277" s="0">
        <v>4840</v>
      </c>
      <c r="B277" s="0" t="s">
        <v>2722</v>
      </c>
      <c r="C277" s="0" t="s">
        <v>1139</v>
      </c>
      <c r="D277" s="0" t="s">
        <v>2711</v>
      </c>
      <c r="E277" s="0" t="s">
        <v>1307</v>
      </c>
      <c r="F277" s="0">
        <v>1</v>
      </c>
      <c r="G277" s="0" t="s">
        <v>358</v>
      </c>
      <c r="H277" s="0" t="s">
        <v>2723</v>
      </c>
      <c r="I277" s="0" t="s">
        <v>2724</v>
      </c>
      <c r="U277" s="0" t="s">
        <v>2725</v>
      </c>
      <c r="X277" s="0" t="s">
        <v>347</v>
      </c>
      <c r="Y277" s="0" t="s">
        <v>91</v>
      </c>
      <c r="Z277" s="0" t="s">
        <v>2718</v>
      </c>
      <c r="AA277" s="0" t="s">
        <v>182</v>
      </c>
      <c r="AB277" s="0" t="s">
        <v>300</v>
      </c>
      <c r="AF277" s="0" t="s">
        <v>301</v>
      </c>
      <c r="AM277" s="0" t="s">
        <v>2726</v>
      </c>
      <c r="AN277" s="0" t="s">
        <v>517</v>
      </c>
      <c r="AO277" s="0" t="s">
        <v>2727</v>
      </c>
      <c r="AP277" s="0" t="s">
        <v>305</v>
      </c>
      <c r="AQ277" s="0" t="s">
        <v>502</v>
      </c>
      <c r="AR277" s="0" t="s">
        <v>1182</v>
      </c>
      <c r="AS277" s="0">
        <v>307</v>
      </c>
      <c r="AT277" s="0">
        <v>641</v>
      </c>
      <c r="AU277" s="0">
        <v>751</v>
      </c>
      <c r="AV277" s="0" t="s">
        <v>332</v>
      </c>
      <c r="AW277" s="0" t="s">
        <v>332</v>
      </c>
      <c r="AX277" s="0" t="s">
        <v>739</v>
      </c>
      <c r="AY277" s="0" t="s">
        <v>780</v>
      </c>
      <c r="AZ277" s="0" t="s">
        <v>515</v>
      </c>
      <c r="BA277" s="0">
        <v>472</v>
      </c>
      <c r="BB277" s="0" t="s">
        <v>232</v>
      </c>
      <c r="BC277" s="0">
        <v>2</v>
      </c>
      <c r="BD277" s="0">
        <v>38030</v>
      </c>
      <c r="BE277" s="0">
        <v>332</v>
      </c>
      <c r="BF277" s="0">
        <v>4</v>
      </c>
      <c r="BG277" s="0" t="s">
        <v>2728</v>
      </c>
      <c r="BH277" s="0">
        <v>31.9</v>
      </c>
      <c r="BI277" s="0">
        <v>2910</v>
      </c>
      <c r="BK277" s="0" t="s">
        <v>2729</v>
      </c>
    </row>
    <row r="278">
      <c r="A278" s="0">
        <v>4849</v>
      </c>
      <c r="B278" s="0" t="s">
        <v>2730</v>
      </c>
      <c r="C278" s="0" t="s">
        <v>1139</v>
      </c>
      <c r="D278" s="0" t="s">
        <v>2711</v>
      </c>
      <c r="E278" s="0" t="s">
        <v>2731</v>
      </c>
      <c r="F278" s="0">
        <v>1</v>
      </c>
      <c r="G278" s="0" t="s">
        <v>358</v>
      </c>
      <c r="H278" s="0" t="s">
        <v>2723</v>
      </c>
      <c r="I278" s="0" t="s">
        <v>2724</v>
      </c>
      <c r="U278" s="0" t="s">
        <v>2732</v>
      </c>
      <c r="X278" s="0" t="s">
        <v>347</v>
      </c>
      <c r="Y278" s="0" t="s">
        <v>91</v>
      </c>
      <c r="Z278" s="0" t="s">
        <v>2718</v>
      </c>
      <c r="AA278" s="0" t="s">
        <v>182</v>
      </c>
      <c r="AB278" s="0" t="s">
        <v>300</v>
      </c>
      <c r="AF278" s="0" t="s">
        <v>301</v>
      </c>
      <c r="AM278" s="0" t="s">
        <v>2733</v>
      </c>
      <c r="AN278" s="0" t="s">
        <v>2733</v>
      </c>
      <c r="AO278" s="0" t="s">
        <v>490</v>
      </c>
      <c r="AP278" s="0" t="s">
        <v>305</v>
      </c>
      <c r="AQ278" s="0" t="s">
        <v>442</v>
      </c>
      <c r="AR278" s="0" t="s">
        <v>817</v>
      </c>
      <c r="AS278" s="0">
        <v>88</v>
      </c>
      <c r="AT278" s="0">
        <v>179</v>
      </c>
      <c r="AU278" s="0">
        <v>195</v>
      </c>
      <c r="AV278" s="0" t="s">
        <v>332</v>
      </c>
      <c r="AW278" s="0" t="s">
        <v>332</v>
      </c>
      <c r="AX278" s="0" t="s">
        <v>2734</v>
      </c>
      <c r="AY278" s="0" t="s">
        <v>2734</v>
      </c>
      <c r="AZ278" s="0" t="s">
        <v>1763</v>
      </c>
      <c r="BA278" s="0">
        <v>472</v>
      </c>
      <c r="BB278" s="0" t="s">
        <v>232</v>
      </c>
      <c r="BC278" s="0">
        <v>2</v>
      </c>
      <c r="BD278" s="0">
        <v>38030</v>
      </c>
      <c r="BE278" s="0">
        <v>332</v>
      </c>
      <c r="BF278" s="0">
        <v>4</v>
      </c>
      <c r="BG278" s="0" t="s">
        <v>2735</v>
      </c>
      <c r="BI278" s="0">
        <v>3993</v>
      </c>
      <c r="BK278" s="0" t="s">
        <v>2736</v>
      </c>
    </row>
    <row r="279">
      <c r="A279" s="0">
        <v>4842</v>
      </c>
      <c r="B279" s="0" t="s">
        <v>2737</v>
      </c>
      <c r="C279" s="0" t="s">
        <v>1139</v>
      </c>
      <c r="D279" s="0" t="s">
        <v>2711</v>
      </c>
      <c r="E279" s="0" t="s">
        <v>2738</v>
      </c>
      <c r="F279" s="0">
        <v>1</v>
      </c>
      <c r="G279" s="0" t="s">
        <v>358</v>
      </c>
      <c r="H279" s="0" t="s">
        <v>2723</v>
      </c>
      <c r="I279" s="0" t="s">
        <v>2724</v>
      </c>
      <c r="U279" s="0" t="s">
        <v>2739</v>
      </c>
      <c r="X279" s="0" t="s">
        <v>347</v>
      </c>
      <c r="Y279" s="0" t="s">
        <v>91</v>
      </c>
      <c r="Z279" s="0" t="s">
        <v>2718</v>
      </c>
      <c r="AA279" s="0" t="s">
        <v>182</v>
      </c>
      <c r="AB279" s="0" t="s">
        <v>300</v>
      </c>
      <c r="AF279" s="0" t="s">
        <v>301</v>
      </c>
      <c r="AM279" s="0" t="s">
        <v>842</v>
      </c>
      <c r="AN279" s="0" t="s">
        <v>1582</v>
      </c>
      <c r="AO279" s="0" t="s">
        <v>1066</v>
      </c>
      <c r="AP279" s="0" t="s">
        <v>305</v>
      </c>
      <c r="AQ279" s="0" t="s">
        <v>1771</v>
      </c>
      <c r="AR279" s="0" t="s">
        <v>2740</v>
      </c>
      <c r="AS279" s="0">
        <v>102</v>
      </c>
      <c r="AT279" s="0">
        <v>214</v>
      </c>
      <c r="AU279" s="0">
        <v>258</v>
      </c>
      <c r="AV279" s="0" t="s">
        <v>332</v>
      </c>
      <c r="AW279" s="0" t="s">
        <v>332</v>
      </c>
      <c r="AX279" s="0" t="s">
        <v>2741</v>
      </c>
      <c r="AY279" s="0" t="s">
        <v>503</v>
      </c>
      <c r="AZ279" s="0" t="s">
        <v>2742</v>
      </c>
      <c r="BA279" s="0">
        <v>472</v>
      </c>
      <c r="BB279" s="0" t="s">
        <v>232</v>
      </c>
      <c r="BC279" s="0">
        <v>2</v>
      </c>
      <c r="BD279" s="0">
        <v>38030</v>
      </c>
      <c r="BE279" s="0">
        <v>332</v>
      </c>
      <c r="BF279" s="0">
        <v>4</v>
      </c>
      <c r="BG279" s="0" t="s">
        <v>2743</v>
      </c>
      <c r="BH279" s="0">
        <v>119</v>
      </c>
      <c r="BI279" s="0">
        <v>3226</v>
      </c>
      <c r="BK279" s="0" t="s">
        <v>2744</v>
      </c>
    </row>
    <row r="280">
      <c r="A280" s="0">
        <v>4835</v>
      </c>
      <c r="B280" s="0" t="s">
        <v>2745</v>
      </c>
      <c r="C280" s="0" t="s">
        <v>945</v>
      </c>
      <c r="D280" s="0" t="s">
        <v>2711</v>
      </c>
      <c r="E280" s="0" t="s">
        <v>2746</v>
      </c>
      <c r="F280" s="0">
        <v>1</v>
      </c>
      <c r="G280" s="0" t="s">
        <v>2713</v>
      </c>
      <c r="H280" s="0" t="s">
        <v>2714</v>
      </c>
      <c r="I280" s="0" t="s">
        <v>1268</v>
      </c>
      <c r="J280" s="0" t="s">
        <v>2715</v>
      </c>
      <c r="K280" s="0" t="s">
        <v>523</v>
      </c>
      <c r="L280" s="0" t="s">
        <v>1268</v>
      </c>
      <c r="P280" s="0" t="s">
        <v>343</v>
      </c>
      <c r="Q280" s="0" t="s">
        <v>343</v>
      </c>
      <c r="T280" s="0" t="s">
        <v>2747</v>
      </c>
      <c r="U280" s="0" t="s">
        <v>2748</v>
      </c>
      <c r="X280" s="0" t="s">
        <v>529</v>
      </c>
      <c r="Y280" s="0" t="s">
        <v>91</v>
      </c>
      <c r="Z280" s="0" t="s">
        <v>2718</v>
      </c>
      <c r="AA280" s="0" t="s">
        <v>182</v>
      </c>
      <c r="AB280" s="0" t="s">
        <v>300</v>
      </c>
      <c r="AF280" s="0" t="s">
        <v>301</v>
      </c>
      <c r="AM280" s="0" t="s">
        <v>2749</v>
      </c>
      <c r="AN280" s="0" t="s">
        <v>2590</v>
      </c>
      <c r="AO280" s="0" t="s">
        <v>474</v>
      </c>
      <c r="AP280" s="0" t="s">
        <v>305</v>
      </c>
      <c r="AQ280" s="0" t="s">
        <v>1012</v>
      </c>
      <c r="AR280" s="0" t="s">
        <v>1070</v>
      </c>
      <c r="AS280" s="0">
        <v>76</v>
      </c>
      <c r="AT280" s="0">
        <v>176</v>
      </c>
      <c r="AU280" s="0">
        <v>216</v>
      </c>
      <c r="AV280" s="0" t="s">
        <v>308</v>
      </c>
      <c r="AW280" s="0" t="s">
        <v>332</v>
      </c>
      <c r="AX280" s="0" t="s">
        <v>1875</v>
      </c>
      <c r="AY280" s="0" t="s">
        <v>512</v>
      </c>
      <c r="AZ280" s="0" t="s">
        <v>2750</v>
      </c>
      <c r="BA280" s="0">
        <v>472</v>
      </c>
      <c r="BB280" s="0" t="s">
        <v>232</v>
      </c>
      <c r="BC280" s="0">
        <v>2</v>
      </c>
      <c r="BD280" s="0">
        <v>14</v>
      </c>
      <c r="BE280" s="0">
        <v>332</v>
      </c>
      <c r="BF280" s="0">
        <v>2</v>
      </c>
      <c r="BG280" s="0" t="s">
        <v>2751</v>
      </c>
      <c r="BI280" s="0">
        <v>1915</v>
      </c>
      <c r="BK280" s="0" t="s">
        <v>2752</v>
      </c>
    </row>
    <row r="281">
      <c r="A281" s="0">
        <v>4838</v>
      </c>
      <c r="B281" s="0" t="s">
        <v>2753</v>
      </c>
      <c r="C281" s="0" t="s">
        <v>290</v>
      </c>
      <c r="D281" s="0" t="s">
        <v>2711</v>
      </c>
      <c r="E281" s="0" t="s">
        <v>2754</v>
      </c>
      <c r="F281" s="0">
        <v>1</v>
      </c>
      <c r="G281" s="0" t="s">
        <v>358</v>
      </c>
      <c r="H281" s="0" t="s">
        <v>2723</v>
      </c>
      <c r="I281" s="0" t="s">
        <v>2724</v>
      </c>
      <c r="J281" s="0" t="s">
        <v>2713</v>
      </c>
      <c r="K281" s="0" t="s">
        <v>2714</v>
      </c>
      <c r="L281" s="0" t="s">
        <v>469</v>
      </c>
      <c r="U281" s="0" t="s">
        <v>2755</v>
      </c>
      <c r="X281" s="0" t="s">
        <v>529</v>
      </c>
      <c r="Y281" s="0" t="s">
        <v>91</v>
      </c>
      <c r="Z281" s="0" t="s">
        <v>2718</v>
      </c>
      <c r="AA281" s="0" t="s">
        <v>182</v>
      </c>
      <c r="AB281" s="0" t="s">
        <v>300</v>
      </c>
      <c r="AF281" s="0" t="s">
        <v>301</v>
      </c>
      <c r="AP281" s="0" t="s">
        <v>305</v>
      </c>
      <c r="BA281" s="0">
        <v>472</v>
      </c>
      <c r="BB281" s="0" t="s">
        <v>232</v>
      </c>
      <c r="BC281" s="0">
        <v>2</v>
      </c>
      <c r="BD281" s="0">
        <v>374053</v>
      </c>
      <c r="BE281" s="0">
        <v>332</v>
      </c>
      <c r="BF281" s="0">
        <v>2</v>
      </c>
      <c r="BG281" s="0" t="s">
        <v>2756</v>
      </c>
      <c r="BI281" s="0">
        <v>2560</v>
      </c>
      <c r="BK281" s="0" t="s">
        <v>2757</v>
      </c>
    </row>
    <row r="282">
      <c r="A282" s="0">
        <v>4839</v>
      </c>
      <c r="B282" s="0" t="s">
        <v>2758</v>
      </c>
      <c r="C282" s="0" t="s">
        <v>290</v>
      </c>
      <c r="D282" s="0" t="s">
        <v>2711</v>
      </c>
      <c r="E282" s="0" t="s">
        <v>2759</v>
      </c>
      <c r="F282" s="0">
        <v>1</v>
      </c>
      <c r="G282" s="0" t="s">
        <v>358</v>
      </c>
      <c r="H282" s="0" t="s">
        <v>2723</v>
      </c>
      <c r="I282" s="0" t="s">
        <v>2724</v>
      </c>
      <c r="J282" s="0" t="s">
        <v>2713</v>
      </c>
      <c r="K282" s="0" t="s">
        <v>2714</v>
      </c>
      <c r="L282" s="0" t="s">
        <v>469</v>
      </c>
      <c r="U282" s="0" t="s">
        <v>2760</v>
      </c>
      <c r="X282" s="0" t="s">
        <v>529</v>
      </c>
      <c r="Y282" s="0" t="s">
        <v>91</v>
      </c>
      <c r="Z282" s="0" t="s">
        <v>2718</v>
      </c>
      <c r="AA282" s="0" t="s">
        <v>182</v>
      </c>
      <c r="AB282" s="0" t="s">
        <v>300</v>
      </c>
      <c r="AF282" s="0" t="s">
        <v>301</v>
      </c>
      <c r="AP282" s="0" t="s">
        <v>305</v>
      </c>
      <c r="BA282" s="0">
        <v>472</v>
      </c>
      <c r="BB282" s="0" t="s">
        <v>232</v>
      </c>
      <c r="BC282" s="0">
        <v>2</v>
      </c>
      <c r="BD282" s="0">
        <v>374053</v>
      </c>
      <c r="BE282" s="0">
        <v>332</v>
      </c>
      <c r="BF282" s="0">
        <v>2</v>
      </c>
      <c r="BG282" s="0" t="s">
        <v>2761</v>
      </c>
      <c r="BI282" s="0">
        <v>2736</v>
      </c>
      <c r="BK282" s="0" t="s">
        <v>2762</v>
      </c>
    </row>
    <row r="283">
      <c r="A283" s="0">
        <v>4830</v>
      </c>
      <c r="B283" s="0" t="s">
        <v>2763</v>
      </c>
      <c r="C283" s="0" t="s">
        <v>290</v>
      </c>
      <c r="D283" s="0" t="s">
        <v>2711</v>
      </c>
      <c r="E283" s="0" t="s">
        <v>2764</v>
      </c>
      <c r="F283" s="0">
        <v>1</v>
      </c>
      <c r="G283" s="0" t="s">
        <v>358</v>
      </c>
      <c r="H283" s="0" t="s">
        <v>2723</v>
      </c>
      <c r="I283" s="0" t="s">
        <v>2724</v>
      </c>
      <c r="J283" s="0" t="s">
        <v>2713</v>
      </c>
      <c r="K283" s="0" t="s">
        <v>2714</v>
      </c>
      <c r="L283" s="0" t="s">
        <v>549</v>
      </c>
      <c r="P283" s="0" t="s">
        <v>2765</v>
      </c>
      <c r="Q283" s="0" t="s">
        <v>2766</v>
      </c>
      <c r="R283" s="0" t="s">
        <v>961</v>
      </c>
      <c r="U283" s="0" t="s">
        <v>2767</v>
      </c>
      <c r="X283" s="0" t="s">
        <v>529</v>
      </c>
      <c r="Y283" s="0" t="s">
        <v>91</v>
      </c>
      <c r="Z283" s="0" t="s">
        <v>2718</v>
      </c>
      <c r="AA283" s="0" t="s">
        <v>182</v>
      </c>
      <c r="AB283" s="0" t="s">
        <v>300</v>
      </c>
      <c r="AF283" s="0" t="s">
        <v>301</v>
      </c>
      <c r="AP283" s="0" t="s">
        <v>305</v>
      </c>
      <c r="BA283" s="0">
        <v>472</v>
      </c>
      <c r="BB283" s="0" t="s">
        <v>232</v>
      </c>
      <c r="BC283" s="0">
        <v>2</v>
      </c>
      <c r="BD283" s="0">
        <v>374053</v>
      </c>
      <c r="BE283" s="0">
        <v>332</v>
      </c>
      <c r="BF283" s="0">
        <v>2</v>
      </c>
      <c r="BG283" s="0" t="s">
        <v>2768</v>
      </c>
      <c r="BI283" s="0">
        <v>357</v>
      </c>
      <c r="BK283" s="0" t="s">
        <v>2769</v>
      </c>
    </row>
    <row r="284">
      <c r="A284" s="0">
        <v>4847</v>
      </c>
      <c r="B284" s="0" t="s">
        <v>2770</v>
      </c>
      <c r="C284" s="0" t="s">
        <v>1139</v>
      </c>
      <c r="D284" s="0" t="s">
        <v>2711</v>
      </c>
      <c r="E284" s="0" t="s">
        <v>2771</v>
      </c>
      <c r="F284" s="0">
        <v>1</v>
      </c>
      <c r="G284" s="0" t="s">
        <v>358</v>
      </c>
      <c r="H284" s="0" t="s">
        <v>2723</v>
      </c>
      <c r="I284" s="0" t="s">
        <v>295</v>
      </c>
      <c r="T284" s="0" t="s">
        <v>2772</v>
      </c>
      <c r="U284" s="0" t="s">
        <v>2773</v>
      </c>
      <c r="X284" s="0" t="s">
        <v>347</v>
      </c>
      <c r="Y284" s="0" t="s">
        <v>91</v>
      </c>
      <c r="Z284" s="0" t="s">
        <v>2718</v>
      </c>
      <c r="AA284" s="0" t="s">
        <v>182</v>
      </c>
      <c r="AB284" s="0" t="s">
        <v>300</v>
      </c>
      <c r="AF284" s="0" t="s">
        <v>301</v>
      </c>
      <c r="AM284" s="0" t="s">
        <v>2774</v>
      </c>
      <c r="AN284" s="0" t="s">
        <v>2775</v>
      </c>
      <c r="AO284" s="0" t="s">
        <v>598</v>
      </c>
      <c r="AP284" s="0" t="s">
        <v>305</v>
      </c>
      <c r="AQ284" s="0" t="s">
        <v>489</v>
      </c>
      <c r="AR284" s="0" t="s">
        <v>1287</v>
      </c>
      <c r="AS284" s="0">
        <v>288</v>
      </c>
      <c r="AT284" s="0">
        <v>588</v>
      </c>
      <c r="AU284" s="0">
        <v>652</v>
      </c>
      <c r="AV284" s="0" t="s">
        <v>332</v>
      </c>
      <c r="AW284" s="0" t="s">
        <v>332</v>
      </c>
      <c r="AX284" s="0" t="s">
        <v>2734</v>
      </c>
      <c r="AY284" s="0" t="s">
        <v>303</v>
      </c>
      <c r="AZ284" s="0" t="s">
        <v>475</v>
      </c>
      <c r="BA284" s="0">
        <v>472</v>
      </c>
      <c r="BB284" s="0" t="s">
        <v>232</v>
      </c>
      <c r="BC284" s="0">
        <v>2</v>
      </c>
      <c r="BD284" s="0">
        <v>38030</v>
      </c>
      <c r="BE284" s="0">
        <v>332</v>
      </c>
      <c r="BF284" s="0">
        <v>4</v>
      </c>
      <c r="BG284" s="0" t="s">
        <v>2776</v>
      </c>
      <c r="BI284" s="0">
        <v>3814</v>
      </c>
      <c r="BK284" s="0" t="s">
        <v>2777</v>
      </c>
    </row>
    <row r="285">
      <c r="A285" s="0">
        <v>4834</v>
      </c>
      <c r="B285" s="0" t="s">
        <v>2778</v>
      </c>
      <c r="C285" s="0" t="s">
        <v>339</v>
      </c>
      <c r="D285" s="0" t="s">
        <v>2711</v>
      </c>
      <c r="E285" s="0" t="s">
        <v>2779</v>
      </c>
      <c r="F285" s="0">
        <v>1</v>
      </c>
      <c r="G285" s="0" t="s">
        <v>2713</v>
      </c>
      <c r="H285" s="0" t="s">
        <v>508</v>
      </c>
      <c r="I285" s="0" t="s">
        <v>469</v>
      </c>
      <c r="J285" s="0" t="s">
        <v>319</v>
      </c>
      <c r="K285" s="0" t="s">
        <v>523</v>
      </c>
      <c r="L285" s="0" t="s">
        <v>469</v>
      </c>
      <c r="P285" s="0" t="s">
        <v>2780</v>
      </c>
      <c r="R285" s="0" t="s">
        <v>961</v>
      </c>
      <c r="U285" s="0" t="s">
        <v>2781</v>
      </c>
      <c r="X285" s="0" t="s">
        <v>347</v>
      </c>
      <c r="Y285" s="0" t="s">
        <v>91</v>
      </c>
      <c r="Z285" s="0" t="s">
        <v>2718</v>
      </c>
      <c r="AA285" s="0" t="s">
        <v>182</v>
      </c>
      <c r="AB285" s="0" t="s">
        <v>300</v>
      </c>
      <c r="AF285" s="0" t="s">
        <v>301</v>
      </c>
      <c r="AM285" s="0" t="s">
        <v>311</v>
      </c>
      <c r="AN285" s="0" t="s">
        <v>1946</v>
      </c>
      <c r="AO285" s="0" t="s">
        <v>1584</v>
      </c>
      <c r="AP285" s="0" t="s">
        <v>305</v>
      </c>
      <c r="AQ285" s="0" t="s">
        <v>476</v>
      </c>
      <c r="AR285" s="0" t="s">
        <v>1070</v>
      </c>
      <c r="AU285" s="0">
        <v>88</v>
      </c>
      <c r="AV285" s="0" t="s">
        <v>332</v>
      </c>
      <c r="AW285" s="0" t="s">
        <v>332</v>
      </c>
      <c r="AX285" s="0" t="s">
        <v>707</v>
      </c>
      <c r="AY285" s="0" t="s">
        <v>707</v>
      </c>
      <c r="AZ285" s="0" t="s">
        <v>310</v>
      </c>
      <c r="BA285" s="0">
        <v>472</v>
      </c>
      <c r="BB285" s="0" t="s">
        <v>232</v>
      </c>
      <c r="BC285" s="0">
        <v>2</v>
      </c>
      <c r="BD285" s="0">
        <v>8</v>
      </c>
      <c r="BE285" s="0">
        <v>332</v>
      </c>
      <c r="BF285" s="0">
        <v>4</v>
      </c>
      <c r="BG285" s="0" t="s">
        <v>2782</v>
      </c>
      <c r="BI285" s="0">
        <v>1671</v>
      </c>
      <c r="BK285" s="0" t="s">
        <v>2783</v>
      </c>
    </row>
    <row r="286">
      <c r="A286" s="0">
        <v>4841</v>
      </c>
      <c r="B286" s="0" t="s">
        <v>2784</v>
      </c>
      <c r="C286" s="0" t="s">
        <v>1139</v>
      </c>
      <c r="D286" s="0" t="s">
        <v>2711</v>
      </c>
      <c r="E286" s="0" t="s">
        <v>2785</v>
      </c>
      <c r="F286" s="0">
        <v>1</v>
      </c>
      <c r="G286" s="0" t="s">
        <v>358</v>
      </c>
      <c r="H286" s="0" t="s">
        <v>2723</v>
      </c>
      <c r="I286" s="0" t="s">
        <v>2724</v>
      </c>
      <c r="U286" s="0" t="s">
        <v>2786</v>
      </c>
      <c r="X286" s="0" t="s">
        <v>347</v>
      </c>
      <c r="Y286" s="0" t="s">
        <v>91</v>
      </c>
      <c r="Z286" s="0" t="s">
        <v>2718</v>
      </c>
      <c r="AA286" s="0" t="s">
        <v>182</v>
      </c>
      <c r="AB286" s="0" t="s">
        <v>300</v>
      </c>
      <c r="AF286" s="0" t="s">
        <v>301</v>
      </c>
      <c r="AM286" s="0" t="s">
        <v>2787</v>
      </c>
      <c r="AN286" s="0" t="s">
        <v>2788</v>
      </c>
      <c r="AO286" s="0" t="s">
        <v>2789</v>
      </c>
      <c r="AP286" s="0" t="s">
        <v>305</v>
      </c>
      <c r="AQ286" s="0" t="s">
        <v>2790</v>
      </c>
      <c r="AR286" s="0" t="s">
        <v>883</v>
      </c>
      <c r="AS286" s="0">
        <v>288</v>
      </c>
      <c r="AT286" s="0">
        <v>604</v>
      </c>
      <c r="AU286" s="0">
        <v>702</v>
      </c>
      <c r="AV286" s="0" t="s">
        <v>332</v>
      </c>
      <c r="AW286" s="0" t="s">
        <v>332</v>
      </c>
      <c r="AX286" s="0" t="s">
        <v>2791</v>
      </c>
      <c r="AY286" s="0" t="s">
        <v>611</v>
      </c>
      <c r="AZ286" s="0" t="s">
        <v>475</v>
      </c>
      <c r="BA286" s="0">
        <v>472</v>
      </c>
      <c r="BB286" s="0" t="s">
        <v>232</v>
      </c>
      <c r="BC286" s="0">
        <v>2</v>
      </c>
      <c r="BD286" s="0">
        <v>38030</v>
      </c>
      <c r="BE286" s="0">
        <v>332</v>
      </c>
      <c r="BF286" s="0">
        <v>4</v>
      </c>
      <c r="BG286" s="0" t="s">
        <v>2792</v>
      </c>
      <c r="BH286" s="0">
        <v>30.5</v>
      </c>
      <c r="BI286" s="0">
        <v>3075</v>
      </c>
      <c r="BK286" s="0" t="s">
        <v>2793</v>
      </c>
    </row>
    <row r="287">
      <c r="A287" s="0">
        <v>4832</v>
      </c>
      <c r="B287" s="0" t="s">
        <v>2794</v>
      </c>
      <c r="C287" s="0" t="s">
        <v>339</v>
      </c>
      <c r="D287" s="0" t="s">
        <v>2711</v>
      </c>
      <c r="E287" s="0" t="s">
        <v>2795</v>
      </c>
      <c r="F287" s="0">
        <v>1</v>
      </c>
      <c r="G287" s="0" t="s">
        <v>2713</v>
      </c>
      <c r="H287" s="0" t="s">
        <v>2714</v>
      </c>
      <c r="I287" s="0" t="s">
        <v>469</v>
      </c>
      <c r="J287" s="0" t="s">
        <v>319</v>
      </c>
      <c r="K287" s="0" t="s">
        <v>523</v>
      </c>
      <c r="L287" s="0" t="s">
        <v>469</v>
      </c>
      <c r="P287" s="0" t="s">
        <v>2765</v>
      </c>
      <c r="Q287" s="0" t="s">
        <v>2765</v>
      </c>
      <c r="R287" s="0" t="s">
        <v>661</v>
      </c>
      <c r="T287" s="0" t="s">
        <v>2796</v>
      </c>
      <c r="U287" s="0" t="s">
        <v>2797</v>
      </c>
      <c r="X287" s="0" t="s">
        <v>347</v>
      </c>
      <c r="Y287" s="0" t="s">
        <v>91</v>
      </c>
      <c r="Z287" s="0" t="s">
        <v>2718</v>
      </c>
      <c r="AA287" s="0" t="s">
        <v>182</v>
      </c>
      <c r="AB287" s="0" t="s">
        <v>300</v>
      </c>
      <c r="AF287" s="0" t="s">
        <v>301</v>
      </c>
      <c r="AM287" s="0" t="s">
        <v>964</v>
      </c>
      <c r="AN287" s="0" t="s">
        <v>2798</v>
      </c>
      <c r="AO287" s="0" t="s">
        <v>611</v>
      </c>
      <c r="AP287" s="0" t="s">
        <v>305</v>
      </c>
      <c r="AQ287" s="0" t="s">
        <v>2799</v>
      </c>
      <c r="AR287" s="0" t="s">
        <v>1432</v>
      </c>
      <c r="AS287" s="0">
        <v>51</v>
      </c>
      <c r="AT287" s="0">
        <v>108</v>
      </c>
      <c r="AU287" s="0">
        <v>127</v>
      </c>
      <c r="AV287" s="0" t="s">
        <v>332</v>
      </c>
      <c r="AW287" s="0" t="s">
        <v>332</v>
      </c>
      <c r="AX287" s="0" t="s">
        <v>608</v>
      </c>
      <c r="AY287" s="0" t="s">
        <v>2775</v>
      </c>
      <c r="AZ287" s="0" t="s">
        <v>459</v>
      </c>
      <c r="BA287" s="0">
        <v>472</v>
      </c>
      <c r="BB287" s="0" t="s">
        <v>232</v>
      </c>
      <c r="BC287" s="0">
        <v>2</v>
      </c>
      <c r="BD287" s="0">
        <v>8</v>
      </c>
      <c r="BE287" s="0">
        <v>332</v>
      </c>
      <c r="BF287" s="0">
        <v>4</v>
      </c>
      <c r="BG287" s="0" t="s">
        <v>2800</v>
      </c>
      <c r="BI287" s="0">
        <v>1092</v>
      </c>
      <c r="BK287" s="0" t="s">
        <v>2801</v>
      </c>
    </row>
    <row r="288">
      <c r="A288" s="0">
        <v>4837</v>
      </c>
      <c r="B288" s="0" t="s">
        <v>2802</v>
      </c>
      <c r="C288" s="0" t="s">
        <v>339</v>
      </c>
      <c r="D288" s="0" t="s">
        <v>2711</v>
      </c>
      <c r="E288" s="0" t="s">
        <v>2803</v>
      </c>
      <c r="F288" s="0">
        <v>1</v>
      </c>
      <c r="G288" s="0" t="s">
        <v>2713</v>
      </c>
      <c r="H288" s="0" t="s">
        <v>2714</v>
      </c>
      <c r="I288" s="0" t="s">
        <v>469</v>
      </c>
      <c r="J288" s="0" t="s">
        <v>319</v>
      </c>
      <c r="K288" s="0" t="s">
        <v>523</v>
      </c>
      <c r="L288" s="0" t="s">
        <v>469</v>
      </c>
      <c r="P288" s="0" t="s">
        <v>323</v>
      </c>
      <c r="Q288" s="0" t="s">
        <v>323</v>
      </c>
      <c r="R288" s="0" t="s">
        <v>661</v>
      </c>
      <c r="U288" s="0" t="s">
        <v>2804</v>
      </c>
      <c r="X288" s="0" t="s">
        <v>347</v>
      </c>
      <c r="Y288" s="0" t="s">
        <v>91</v>
      </c>
      <c r="Z288" s="0" t="s">
        <v>2718</v>
      </c>
      <c r="AA288" s="0" t="s">
        <v>182</v>
      </c>
      <c r="AB288" s="0" t="s">
        <v>300</v>
      </c>
      <c r="AF288" s="0" t="s">
        <v>301</v>
      </c>
      <c r="AM288" s="0" t="s">
        <v>964</v>
      </c>
      <c r="AN288" s="0" t="s">
        <v>387</v>
      </c>
      <c r="AO288" s="0" t="s">
        <v>611</v>
      </c>
      <c r="AP288" s="0" t="s">
        <v>305</v>
      </c>
      <c r="AQ288" s="0" t="s">
        <v>1084</v>
      </c>
      <c r="AR288" s="0" t="s">
        <v>515</v>
      </c>
      <c r="AS288" s="0">
        <v>96</v>
      </c>
      <c r="AT288" s="0">
        <v>204</v>
      </c>
      <c r="AU288" s="0">
        <v>226</v>
      </c>
      <c r="AV288" s="0" t="s">
        <v>332</v>
      </c>
      <c r="AW288" s="0" t="s">
        <v>332</v>
      </c>
      <c r="AX288" s="0" t="s">
        <v>608</v>
      </c>
      <c r="AY288" s="0" t="s">
        <v>491</v>
      </c>
      <c r="AZ288" s="0" t="s">
        <v>459</v>
      </c>
      <c r="BA288" s="0">
        <v>472</v>
      </c>
      <c r="BB288" s="0" t="s">
        <v>232</v>
      </c>
      <c r="BC288" s="0">
        <v>2</v>
      </c>
      <c r="BD288" s="0">
        <v>8</v>
      </c>
      <c r="BE288" s="0">
        <v>332</v>
      </c>
      <c r="BF288" s="0">
        <v>4</v>
      </c>
      <c r="BG288" s="0" t="s">
        <v>2805</v>
      </c>
      <c r="BI288" s="0">
        <v>2365</v>
      </c>
      <c r="BK288" s="0" t="s">
        <v>2806</v>
      </c>
    </row>
    <row r="289">
      <c r="A289" s="0">
        <v>4844</v>
      </c>
      <c r="B289" s="0" t="s">
        <v>2807</v>
      </c>
      <c r="C289" s="0" t="s">
        <v>579</v>
      </c>
      <c r="D289" s="0" t="s">
        <v>2711</v>
      </c>
      <c r="E289" s="0" t="s">
        <v>2808</v>
      </c>
      <c r="F289" s="0">
        <v>1</v>
      </c>
      <c r="G289" s="0" t="s">
        <v>358</v>
      </c>
      <c r="H289" s="0" t="s">
        <v>2723</v>
      </c>
      <c r="I289" s="0" t="s">
        <v>2724</v>
      </c>
      <c r="J289" s="0" t="s">
        <v>2809</v>
      </c>
      <c r="L289" s="0" t="s">
        <v>583</v>
      </c>
      <c r="U289" s="0" t="s">
        <v>2810</v>
      </c>
      <c r="V289" s="0" t="s">
        <v>579</v>
      </c>
      <c r="X289" s="0" t="s">
        <v>529</v>
      </c>
      <c r="Y289" s="0" t="s">
        <v>91</v>
      </c>
      <c r="Z289" s="0" t="s">
        <v>2718</v>
      </c>
      <c r="AA289" s="0" t="s">
        <v>182</v>
      </c>
      <c r="AB289" s="0" t="s">
        <v>300</v>
      </c>
      <c r="AF289" s="0" t="s">
        <v>301</v>
      </c>
      <c r="AP289" s="0" t="s">
        <v>305</v>
      </c>
      <c r="BA289" s="0">
        <v>472</v>
      </c>
      <c r="BB289" s="0" t="s">
        <v>232</v>
      </c>
      <c r="BC289" s="0">
        <v>2</v>
      </c>
      <c r="BD289" s="0">
        <v>374046</v>
      </c>
      <c r="BE289" s="0">
        <v>332</v>
      </c>
      <c r="BF289" s="0">
        <v>2</v>
      </c>
      <c r="BG289" s="0" t="s">
        <v>2811</v>
      </c>
      <c r="BI289" s="0">
        <v>3608</v>
      </c>
      <c r="BK289" s="0" t="s">
        <v>2812</v>
      </c>
    </row>
    <row r="290">
      <c r="A290" s="0">
        <v>4850</v>
      </c>
      <c r="B290" s="0" t="s">
        <v>2813</v>
      </c>
      <c r="C290" s="0" t="s">
        <v>1139</v>
      </c>
      <c r="D290" s="0" t="s">
        <v>2711</v>
      </c>
      <c r="E290" s="0" t="s">
        <v>2814</v>
      </c>
      <c r="F290" s="0">
        <v>1</v>
      </c>
      <c r="G290" s="0" t="s">
        <v>358</v>
      </c>
      <c r="H290" s="0" t="s">
        <v>2723</v>
      </c>
      <c r="I290" s="0" t="s">
        <v>2724</v>
      </c>
      <c r="P290" s="0" t="s">
        <v>343</v>
      </c>
      <c r="Q290" s="0" t="s">
        <v>343</v>
      </c>
      <c r="U290" s="0" t="s">
        <v>2815</v>
      </c>
      <c r="X290" s="0" t="s">
        <v>347</v>
      </c>
      <c r="Y290" s="0" t="s">
        <v>91</v>
      </c>
      <c r="Z290" s="0" t="s">
        <v>2718</v>
      </c>
      <c r="AA290" s="0" t="s">
        <v>182</v>
      </c>
      <c r="AB290" s="0" t="s">
        <v>300</v>
      </c>
      <c r="AF290" s="0" t="s">
        <v>301</v>
      </c>
      <c r="AM290" s="0" t="s">
        <v>2816</v>
      </c>
      <c r="AN290" s="0" t="s">
        <v>2816</v>
      </c>
      <c r="AO290" s="0" t="s">
        <v>2817</v>
      </c>
      <c r="AP290" s="0" t="s">
        <v>305</v>
      </c>
      <c r="AQ290" s="0" t="s">
        <v>2818</v>
      </c>
      <c r="AR290" s="0" t="s">
        <v>423</v>
      </c>
      <c r="AS290" s="0">
        <v>747</v>
      </c>
      <c r="AT290" s="0">
        <v>1554</v>
      </c>
      <c r="AU290" s="0">
        <v>1825</v>
      </c>
      <c r="AV290" s="0" t="s">
        <v>308</v>
      </c>
      <c r="AW290" s="0" t="s">
        <v>332</v>
      </c>
      <c r="AX290" s="0" t="s">
        <v>1472</v>
      </c>
      <c r="AY290" s="0" t="s">
        <v>780</v>
      </c>
      <c r="AZ290" s="0" t="s">
        <v>1182</v>
      </c>
      <c r="BA290" s="0">
        <v>472</v>
      </c>
      <c r="BB290" s="0" t="s">
        <v>232</v>
      </c>
      <c r="BC290" s="0">
        <v>2</v>
      </c>
      <c r="BD290" s="0">
        <v>38030</v>
      </c>
      <c r="BE290" s="0">
        <v>332</v>
      </c>
      <c r="BF290" s="0">
        <v>4</v>
      </c>
      <c r="BG290" s="0" t="s">
        <v>2819</v>
      </c>
      <c r="BH290" s="0">
        <v>35.4</v>
      </c>
      <c r="BI290" s="0">
        <v>4074</v>
      </c>
      <c r="BK290" s="0" t="s">
        <v>2820</v>
      </c>
    </row>
    <row r="291">
      <c r="A291" s="0">
        <v>4848</v>
      </c>
      <c r="B291" s="0" t="s">
        <v>2821</v>
      </c>
      <c r="C291" s="0" t="s">
        <v>290</v>
      </c>
      <c r="D291" s="0" t="s">
        <v>2711</v>
      </c>
      <c r="E291" s="0" t="s">
        <v>2822</v>
      </c>
      <c r="F291" s="0">
        <v>1</v>
      </c>
      <c r="G291" s="0" t="s">
        <v>358</v>
      </c>
      <c r="H291" s="0" t="s">
        <v>2723</v>
      </c>
      <c r="I291" s="0" t="s">
        <v>2724</v>
      </c>
      <c r="U291" s="0" t="s">
        <v>2823</v>
      </c>
      <c r="X291" s="0" t="s">
        <v>529</v>
      </c>
      <c r="Y291" s="0" t="s">
        <v>91</v>
      </c>
      <c r="Z291" s="0" t="s">
        <v>2718</v>
      </c>
      <c r="AA291" s="0" t="s">
        <v>182</v>
      </c>
      <c r="AB291" s="0" t="s">
        <v>300</v>
      </c>
      <c r="AF291" s="0" t="s">
        <v>301</v>
      </c>
      <c r="AP291" s="0" t="s">
        <v>305</v>
      </c>
      <c r="BA291" s="0">
        <v>472</v>
      </c>
      <c r="BB291" s="0" t="s">
        <v>232</v>
      </c>
      <c r="BC291" s="0">
        <v>2</v>
      </c>
      <c r="BD291" s="0">
        <v>374053</v>
      </c>
      <c r="BE291" s="0">
        <v>332</v>
      </c>
      <c r="BF291" s="0">
        <v>2</v>
      </c>
      <c r="BG291" s="0" t="s">
        <v>2824</v>
      </c>
      <c r="BI291" s="0">
        <v>3905</v>
      </c>
      <c r="BK291" s="0" t="s">
        <v>2825</v>
      </c>
    </row>
    <row r="292">
      <c r="A292" s="0">
        <v>4843</v>
      </c>
      <c r="B292" s="0" t="s">
        <v>2826</v>
      </c>
      <c r="C292" s="0" t="s">
        <v>579</v>
      </c>
      <c r="D292" s="0" t="s">
        <v>2711</v>
      </c>
      <c r="E292" s="0" t="s">
        <v>2827</v>
      </c>
      <c r="F292" s="0">
        <v>1</v>
      </c>
      <c r="G292" s="0" t="s">
        <v>358</v>
      </c>
      <c r="H292" s="0" t="s">
        <v>2723</v>
      </c>
      <c r="I292" s="0" t="s">
        <v>2724</v>
      </c>
      <c r="J292" s="0" t="s">
        <v>2809</v>
      </c>
      <c r="L292" s="0" t="s">
        <v>583</v>
      </c>
      <c r="U292" s="0" t="s">
        <v>2828</v>
      </c>
      <c r="X292" s="0" t="s">
        <v>529</v>
      </c>
      <c r="Y292" s="0" t="s">
        <v>91</v>
      </c>
      <c r="Z292" s="0" t="s">
        <v>2718</v>
      </c>
      <c r="AA292" s="0" t="s">
        <v>182</v>
      </c>
      <c r="AB292" s="0" t="s">
        <v>300</v>
      </c>
      <c r="AF292" s="0" t="s">
        <v>301</v>
      </c>
      <c r="AP292" s="0" t="s">
        <v>305</v>
      </c>
      <c r="BA292" s="0">
        <v>472</v>
      </c>
      <c r="BB292" s="0" t="s">
        <v>232</v>
      </c>
      <c r="BC292" s="0">
        <v>2</v>
      </c>
      <c r="BD292" s="0">
        <v>374046</v>
      </c>
      <c r="BE292" s="0">
        <v>332</v>
      </c>
      <c r="BF292" s="0">
        <v>2</v>
      </c>
      <c r="BG292" s="0" t="s">
        <v>2829</v>
      </c>
      <c r="BI292" s="0">
        <v>3494</v>
      </c>
      <c r="BK292" s="0" t="s">
        <v>2830</v>
      </c>
    </row>
    <row r="293">
      <c r="A293" s="0">
        <v>4831</v>
      </c>
      <c r="B293" s="0" t="s">
        <v>2831</v>
      </c>
      <c r="C293" s="0" t="s">
        <v>290</v>
      </c>
      <c r="D293" s="0" t="s">
        <v>2711</v>
      </c>
      <c r="E293" s="0" t="s">
        <v>2832</v>
      </c>
      <c r="F293" s="0">
        <v>1</v>
      </c>
      <c r="G293" s="0" t="s">
        <v>358</v>
      </c>
      <c r="H293" s="0" t="s">
        <v>2723</v>
      </c>
      <c r="I293" s="0" t="s">
        <v>2724</v>
      </c>
      <c r="P293" s="0" t="s">
        <v>2765</v>
      </c>
      <c r="Q293" s="0" t="s">
        <v>2766</v>
      </c>
      <c r="R293" s="0" t="s">
        <v>961</v>
      </c>
      <c r="U293" s="0" t="s">
        <v>2833</v>
      </c>
      <c r="X293" s="0" t="s">
        <v>529</v>
      </c>
      <c r="Y293" s="0" t="s">
        <v>91</v>
      </c>
      <c r="Z293" s="0" t="s">
        <v>2718</v>
      </c>
      <c r="AA293" s="0" t="s">
        <v>182</v>
      </c>
      <c r="AB293" s="0" t="s">
        <v>300</v>
      </c>
      <c r="AF293" s="0" t="s">
        <v>301</v>
      </c>
      <c r="AP293" s="0" t="s">
        <v>305</v>
      </c>
      <c r="BA293" s="0">
        <v>472</v>
      </c>
      <c r="BB293" s="0" t="s">
        <v>232</v>
      </c>
      <c r="BC293" s="0">
        <v>2</v>
      </c>
      <c r="BD293" s="0">
        <v>374053</v>
      </c>
      <c r="BE293" s="0">
        <v>332</v>
      </c>
      <c r="BF293" s="0">
        <v>2</v>
      </c>
      <c r="BG293" s="0" t="s">
        <v>2834</v>
      </c>
      <c r="BI293" s="0">
        <v>759</v>
      </c>
      <c r="BK293" s="0" t="s">
        <v>2835</v>
      </c>
    </row>
    <row r="294">
      <c r="A294" s="0">
        <v>4833</v>
      </c>
      <c r="B294" s="0" t="s">
        <v>2836</v>
      </c>
      <c r="C294" s="0" t="s">
        <v>290</v>
      </c>
      <c r="D294" s="0" t="s">
        <v>2711</v>
      </c>
      <c r="E294" s="0" t="s">
        <v>2837</v>
      </c>
      <c r="F294" s="0">
        <v>1</v>
      </c>
      <c r="G294" s="0" t="s">
        <v>358</v>
      </c>
      <c r="H294" s="0" t="s">
        <v>2723</v>
      </c>
      <c r="I294" s="0" t="s">
        <v>2724</v>
      </c>
      <c r="P294" s="0" t="s">
        <v>2765</v>
      </c>
      <c r="Q294" s="0" t="s">
        <v>2766</v>
      </c>
      <c r="R294" s="0" t="s">
        <v>961</v>
      </c>
      <c r="U294" s="0" t="s">
        <v>2838</v>
      </c>
      <c r="X294" s="0" t="s">
        <v>529</v>
      </c>
      <c r="Y294" s="0" t="s">
        <v>91</v>
      </c>
      <c r="Z294" s="0" t="s">
        <v>2718</v>
      </c>
      <c r="AA294" s="0" t="s">
        <v>182</v>
      </c>
      <c r="AB294" s="0" t="s">
        <v>300</v>
      </c>
      <c r="AF294" s="0" t="s">
        <v>301</v>
      </c>
      <c r="AP294" s="0" t="s">
        <v>305</v>
      </c>
      <c r="BA294" s="0">
        <v>472</v>
      </c>
      <c r="BB294" s="0" t="s">
        <v>232</v>
      </c>
      <c r="BC294" s="0">
        <v>2</v>
      </c>
      <c r="BD294" s="0">
        <v>374053</v>
      </c>
      <c r="BE294" s="0">
        <v>332</v>
      </c>
      <c r="BF294" s="0">
        <v>2</v>
      </c>
      <c r="BG294" s="0" t="s">
        <v>2839</v>
      </c>
      <c r="BI294" s="0">
        <v>1401</v>
      </c>
      <c r="BK294" s="0" t="s">
        <v>2840</v>
      </c>
    </row>
    <row r="295">
      <c r="A295" s="0">
        <v>4857</v>
      </c>
      <c r="B295" s="0" t="s">
        <v>2841</v>
      </c>
      <c r="C295" s="0" t="s">
        <v>656</v>
      </c>
      <c r="D295" s="0" t="s">
        <v>2711</v>
      </c>
      <c r="E295" s="0" t="s">
        <v>2842</v>
      </c>
      <c r="F295" s="0">
        <v>1</v>
      </c>
      <c r="G295" s="0" t="s">
        <v>358</v>
      </c>
      <c r="H295" s="0" t="s">
        <v>2723</v>
      </c>
      <c r="I295" s="0" t="s">
        <v>2724</v>
      </c>
      <c r="J295" s="0" t="s">
        <v>2713</v>
      </c>
      <c r="K295" s="0" t="s">
        <v>400</v>
      </c>
      <c r="L295" s="0" t="s">
        <v>549</v>
      </c>
      <c r="U295" s="0" t="s">
        <v>2843</v>
      </c>
      <c r="V295" s="0" t="s">
        <v>1855</v>
      </c>
      <c r="X295" s="0" t="s">
        <v>529</v>
      </c>
      <c r="Y295" s="0" t="s">
        <v>142</v>
      </c>
      <c r="Z295" s="0" t="s">
        <v>2844</v>
      </c>
      <c r="AA295" s="0" t="s">
        <v>183</v>
      </c>
      <c r="AB295" s="0" t="s">
        <v>300</v>
      </c>
      <c r="AF295" s="0" t="s">
        <v>301</v>
      </c>
      <c r="AP295" s="0" t="s">
        <v>305</v>
      </c>
      <c r="BA295" s="0">
        <v>473</v>
      </c>
      <c r="BB295" s="0" t="s">
        <v>232</v>
      </c>
      <c r="BC295" s="0">
        <v>2</v>
      </c>
      <c r="BD295" s="0">
        <v>10</v>
      </c>
      <c r="BE295" s="0">
        <v>2562</v>
      </c>
      <c r="BF295" s="0">
        <v>2</v>
      </c>
      <c r="BG295" s="0" t="s">
        <v>2845</v>
      </c>
      <c r="BI295" s="0">
        <v>1917</v>
      </c>
      <c r="BK295" s="0" t="s">
        <v>2846</v>
      </c>
    </row>
    <row r="296">
      <c r="A296" s="0">
        <v>4853</v>
      </c>
      <c r="B296" s="0" t="s">
        <v>2847</v>
      </c>
      <c r="C296" s="0" t="s">
        <v>656</v>
      </c>
      <c r="D296" s="0" t="s">
        <v>2711</v>
      </c>
      <c r="E296" s="0" t="s">
        <v>2848</v>
      </c>
      <c r="F296" s="0">
        <v>1</v>
      </c>
      <c r="G296" s="0" t="s">
        <v>358</v>
      </c>
      <c r="H296" s="0" t="s">
        <v>2723</v>
      </c>
      <c r="I296" s="0" t="s">
        <v>2724</v>
      </c>
      <c r="P296" s="0" t="s">
        <v>2765</v>
      </c>
      <c r="Q296" s="0" t="s">
        <v>2765</v>
      </c>
      <c r="R296" s="0" t="s">
        <v>1783</v>
      </c>
      <c r="U296" s="0" t="s">
        <v>2849</v>
      </c>
      <c r="X296" s="0" t="s">
        <v>1688</v>
      </c>
      <c r="Y296" s="0" t="s">
        <v>142</v>
      </c>
      <c r="Z296" s="0" t="s">
        <v>2844</v>
      </c>
      <c r="AA296" s="0" t="s">
        <v>183</v>
      </c>
      <c r="AB296" s="0" t="s">
        <v>300</v>
      </c>
      <c r="AF296" s="0" t="s">
        <v>301</v>
      </c>
      <c r="AM296" s="0" t="s">
        <v>2850</v>
      </c>
      <c r="AN296" s="0" t="s">
        <v>2851</v>
      </c>
      <c r="AO296" s="0" t="s">
        <v>2852</v>
      </c>
      <c r="AP296" s="0" t="s">
        <v>305</v>
      </c>
      <c r="AQ296" s="0" t="s">
        <v>2853</v>
      </c>
      <c r="AR296" s="0" t="s">
        <v>2854</v>
      </c>
      <c r="AS296" s="0">
        <v>17</v>
      </c>
      <c r="AT296" s="0">
        <v>40</v>
      </c>
      <c r="AU296" s="0">
        <v>47</v>
      </c>
      <c r="AV296" s="0" t="s">
        <v>2537</v>
      </c>
      <c r="AW296" s="0" t="s">
        <v>2537</v>
      </c>
      <c r="AX296" s="0" t="s">
        <v>2855</v>
      </c>
      <c r="AY296" s="0" t="s">
        <v>2856</v>
      </c>
      <c r="AZ296" s="0" t="s">
        <v>2857</v>
      </c>
      <c r="BA296" s="0">
        <v>473</v>
      </c>
      <c r="BB296" s="0" t="s">
        <v>232</v>
      </c>
      <c r="BC296" s="0">
        <v>2</v>
      </c>
      <c r="BD296" s="0">
        <v>10</v>
      </c>
      <c r="BE296" s="0">
        <v>2562</v>
      </c>
      <c r="BF296" s="0">
        <v>6</v>
      </c>
      <c r="BG296" s="0" t="s">
        <v>2858</v>
      </c>
      <c r="BI296" s="0">
        <v>1091</v>
      </c>
      <c r="BK296" s="0" t="s">
        <v>2859</v>
      </c>
    </row>
    <row r="297">
      <c r="A297" s="0">
        <v>4859</v>
      </c>
      <c r="B297" s="0" t="s">
        <v>2860</v>
      </c>
      <c r="C297" s="0" t="s">
        <v>1139</v>
      </c>
      <c r="D297" s="0" t="s">
        <v>2711</v>
      </c>
      <c r="E297" s="0" t="s">
        <v>2861</v>
      </c>
      <c r="F297" s="0">
        <v>1</v>
      </c>
      <c r="G297" s="0" t="s">
        <v>358</v>
      </c>
      <c r="H297" s="0" t="s">
        <v>2723</v>
      </c>
      <c r="I297" s="0" t="s">
        <v>2724</v>
      </c>
      <c r="P297" s="0" t="s">
        <v>2765</v>
      </c>
      <c r="R297" s="0" t="s">
        <v>2862</v>
      </c>
      <c r="U297" s="0" t="s">
        <v>2863</v>
      </c>
      <c r="X297" s="0" t="s">
        <v>347</v>
      </c>
      <c r="Y297" s="0" t="s">
        <v>142</v>
      </c>
      <c r="Z297" s="0" t="s">
        <v>2844</v>
      </c>
      <c r="AA297" s="0" t="s">
        <v>183</v>
      </c>
      <c r="AB297" s="0" t="s">
        <v>300</v>
      </c>
      <c r="AF297" s="0" t="s">
        <v>301</v>
      </c>
      <c r="AM297" s="0" t="s">
        <v>2726</v>
      </c>
      <c r="AN297" s="0" t="s">
        <v>517</v>
      </c>
      <c r="AO297" s="0" t="s">
        <v>2727</v>
      </c>
      <c r="AP297" s="0" t="s">
        <v>305</v>
      </c>
      <c r="AQ297" s="0" t="s">
        <v>1450</v>
      </c>
      <c r="AR297" s="0" t="s">
        <v>2864</v>
      </c>
      <c r="AS297" s="0">
        <v>342</v>
      </c>
      <c r="AT297" s="0">
        <v>708</v>
      </c>
      <c r="AU297" s="0">
        <v>818</v>
      </c>
      <c r="AV297" s="0" t="s">
        <v>332</v>
      </c>
      <c r="AW297" s="0" t="s">
        <v>332</v>
      </c>
      <c r="AX297" s="0" t="s">
        <v>425</v>
      </c>
      <c r="AY297" s="0" t="s">
        <v>311</v>
      </c>
      <c r="AZ297" s="0" t="s">
        <v>2742</v>
      </c>
      <c r="BA297" s="0">
        <v>473</v>
      </c>
      <c r="BB297" s="0" t="s">
        <v>232</v>
      </c>
      <c r="BC297" s="0">
        <v>2</v>
      </c>
      <c r="BD297" s="0">
        <v>38030</v>
      </c>
      <c r="BE297" s="0">
        <v>2562</v>
      </c>
      <c r="BF297" s="0">
        <v>4</v>
      </c>
      <c r="BG297" s="0" t="s">
        <v>2865</v>
      </c>
      <c r="BH297" s="0">
        <v>30.1</v>
      </c>
      <c r="BI297" s="0">
        <v>2364</v>
      </c>
      <c r="BK297" s="0" t="s">
        <v>2866</v>
      </c>
    </row>
    <row r="298">
      <c r="A298" s="0">
        <v>4855</v>
      </c>
      <c r="B298" s="0" t="s">
        <v>2867</v>
      </c>
      <c r="C298" s="0" t="s">
        <v>1139</v>
      </c>
      <c r="D298" s="0" t="s">
        <v>2711</v>
      </c>
      <c r="E298" s="0" t="s">
        <v>2738</v>
      </c>
      <c r="F298" s="0">
        <v>1</v>
      </c>
      <c r="G298" s="0" t="s">
        <v>293</v>
      </c>
      <c r="H298" s="0" t="s">
        <v>294</v>
      </c>
      <c r="I298" s="0" t="s">
        <v>295</v>
      </c>
      <c r="U298" s="0" t="s">
        <v>2868</v>
      </c>
      <c r="X298" s="0" t="s">
        <v>347</v>
      </c>
      <c r="Y298" s="0" t="s">
        <v>142</v>
      </c>
      <c r="Z298" s="0" t="s">
        <v>2844</v>
      </c>
      <c r="AA298" s="0" t="s">
        <v>183</v>
      </c>
      <c r="AB298" s="0" t="s">
        <v>300</v>
      </c>
      <c r="AF298" s="0" t="s">
        <v>301</v>
      </c>
      <c r="AM298" s="0" t="s">
        <v>599</v>
      </c>
      <c r="AN298" s="0" t="s">
        <v>626</v>
      </c>
      <c r="AO298" s="0" t="s">
        <v>2869</v>
      </c>
      <c r="AP298" s="0" t="s">
        <v>305</v>
      </c>
      <c r="AQ298" s="0" t="s">
        <v>1990</v>
      </c>
      <c r="AR298" s="0" t="s">
        <v>500</v>
      </c>
      <c r="AS298" s="0">
        <v>65</v>
      </c>
      <c r="AT298" s="0">
        <v>129</v>
      </c>
      <c r="AU298" s="0">
        <v>181</v>
      </c>
      <c r="AV298" s="0" t="s">
        <v>332</v>
      </c>
      <c r="AW298" s="0" t="s">
        <v>308</v>
      </c>
      <c r="AX298" s="0" t="s">
        <v>2870</v>
      </c>
      <c r="AY298" s="0" t="s">
        <v>2871</v>
      </c>
      <c r="AZ298" s="0" t="s">
        <v>2872</v>
      </c>
      <c r="BA298" s="0">
        <v>473</v>
      </c>
      <c r="BB298" s="0" t="s">
        <v>232</v>
      </c>
      <c r="BC298" s="0">
        <v>2</v>
      </c>
      <c r="BD298" s="0">
        <v>38030</v>
      </c>
      <c r="BE298" s="0">
        <v>2562</v>
      </c>
      <c r="BF298" s="0">
        <v>4</v>
      </c>
      <c r="BG298" s="0" t="s">
        <v>2873</v>
      </c>
      <c r="BH298" s="0">
        <v>175</v>
      </c>
      <c r="BI298" s="0">
        <v>1916</v>
      </c>
      <c r="BK298" s="0" t="s">
        <v>2874</v>
      </c>
    </row>
    <row r="299">
      <c r="A299" s="0">
        <v>4861</v>
      </c>
      <c r="B299" s="0" t="s">
        <v>2875</v>
      </c>
      <c r="C299" s="0" t="s">
        <v>656</v>
      </c>
      <c r="D299" s="0" t="s">
        <v>2711</v>
      </c>
      <c r="E299" s="0" t="s">
        <v>2876</v>
      </c>
      <c r="F299" s="0">
        <v>1</v>
      </c>
      <c r="G299" s="0" t="s">
        <v>358</v>
      </c>
      <c r="H299" s="0" t="s">
        <v>2723</v>
      </c>
      <c r="I299" s="0" t="s">
        <v>2724</v>
      </c>
      <c r="J299" s="0" t="s">
        <v>2877</v>
      </c>
      <c r="L299" s="0" t="s">
        <v>2862</v>
      </c>
      <c r="R299" s="0" t="s">
        <v>1783</v>
      </c>
      <c r="U299" s="0" t="s">
        <v>2878</v>
      </c>
      <c r="X299" s="0" t="s">
        <v>529</v>
      </c>
      <c r="Y299" s="0" t="s">
        <v>142</v>
      </c>
      <c r="Z299" s="0" t="s">
        <v>2844</v>
      </c>
      <c r="AA299" s="0" t="s">
        <v>183</v>
      </c>
      <c r="AB299" s="0" t="s">
        <v>300</v>
      </c>
      <c r="AF299" s="0" t="s">
        <v>301</v>
      </c>
      <c r="AM299" s="0" t="s">
        <v>608</v>
      </c>
      <c r="AN299" s="0" t="s">
        <v>608</v>
      </c>
      <c r="AO299" s="0" t="s">
        <v>2879</v>
      </c>
      <c r="AP299" s="0" t="s">
        <v>305</v>
      </c>
      <c r="AQ299" s="0" t="s">
        <v>423</v>
      </c>
      <c r="AR299" s="0" t="s">
        <v>1012</v>
      </c>
      <c r="AS299" s="0">
        <v>205</v>
      </c>
      <c r="AT299" s="0">
        <v>480</v>
      </c>
      <c r="AU299" s="0">
        <v>570</v>
      </c>
      <c r="AV299" s="0" t="s">
        <v>332</v>
      </c>
      <c r="AX299" s="0" t="s">
        <v>1066</v>
      </c>
      <c r="AY299" s="0" t="s">
        <v>367</v>
      </c>
      <c r="AZ299" s="0" t="s">
        <v>390</v>
      </c>
      <c r="BA299" s="0">
        <v>473</v>
      </c>
      <c r="BB299" s="0" t="s">
        <v>232</v>
      </c>
      <c r="BC299" s="0">
        <v>2</v>
      </c>
      <c r="BD299" s="0">
        <v>10</v>
      </c>
      <c r="BE299" s="0">
        <v>2562</v>
      </c>
      <c r="BF299" s="0">
        <v>2</v>
      </c>
      <c r="BG299" s="0" t="s">
        <v>2880</v>
      </c>
      <c r="BI299" s="0">
        <v>2737</v>
      </c>
      <c r="BK299" s="0" t="s">
        <v>2881</v>
      </c>
    </row>
    <row r="300">
      <c r="A300" s="0">
        <v>4851</v>
      </c>
      <c r="B300" s="0" t="s">
        <v>2882</v>
      </c>
      <c r="C300" s="0" t="s">
        <v>656</v>
      </c>
      <c r="D300" s="0" t="s">
        <v>2711</v>
      </c>
      <c r="E300" s="0" t="s">
        <v>2883</v>
      </c>
      <c r="F300" s="0">
        <v>1</v>
      </c>
      <c r="G300" s="0" t="s">
        <v>358</v>
      </c>
      <c r="H300" s="0" t="s">
        <v>2723</v>
      </c>
      <c r="I300" s="0" t="s">
        <v>2724</v>
      </c>
      <c r="P300" s="0" t="s">
        <v>2765</v>
      </c>
      <c r="Q300" s="0" t="s">
        <v>2765</v>
      </c>
      <c r="R300" s="0" t="s">
        <v>673</v>
      </c>
      <c r="U300" s="0" t="s">
        <v>2884</v>
      </c>
      <c r="X300" s="0" t="s">
        <v>1688</v>
      </c>
      <c r="Y300" s="0" t="s">
        <v>142</v>
      </c>
      <c r="Z300" s="0" t="s">
        <v>2844</v>
      </c>
      <c r="AA300" s="0" t="s">
        <v>183</v>
      </c>
      <c r="AB300" s="0" t="s">
        <v>300</v>
      </c>
      <c r="AF300" s="0" t="s">
        <v>301</v>
      </c>
      <c r="AM300" s="0" t="s">
        <v>2850</v>
      </c>
      <c r="AN300" s="0" t="s">
        <v>2851</v>
      </c>
      <c r="AO300" s="0" t="s">
        <v>2885</v>
      </c>
      <c r="AP300" s="0" t="s">
        <v>305</v>
      </c>
      <c r="AQ300" s="0" t="s">
        <v>2886</v>
      </c>
      <c r="AR300" s="0" t="s">
        <v>2887</v>
      </c>
      <c r="AS300" s="0">
        <v>20</v>
      </c>
      <c r="AT300" s="0">
        <v>46</v>
      </c>
      <c r="AU300" s="0">
        <v>55</v>
      </c>
      <c r="AV300" s="0" t="s">
        <v>2537</v>
      </c>
      <c r="AW300" s="0" t="s">
        <v>2888</v>
      </c>
      <c r="AX300" s="0" t="s">
        <v>2855</v>
      </c>
      <c r="AY300" s="0" t="s">
        <v>2856</v>
      </c>
      <c r="AZ300" s="0" t="s">
        <v>2889</v>
      </c>
      <c r="BA300" s="0">
        <v>473</v>
      </c>
      <c r="BB300" s="0" t="s">
        <v>232</v>
      </c>
      <c r="BC300" s="0">
        <v>2</v>
      </c>
      <c r="BD300" s="0">
        <v>10</v>
      </c>
      <c r="BE300" s="0">
        <v>2562</v>
      </c>
      <c r="BF300" s="0">
        <v>6</v>
      </c>
      <c r="BG300" s="0" t="s">
        <v>2890</v>
      </c>
      <c r="BI300" s="0">
        <v>356</v>
      </c>
      <c r="BK300" s="0" t="s">
        <v>2891</v>
      </c>
    </row>
    <row r="301">
      <c r="A301" s="0">
        <v>4854</v>
      </c>
      <c r="B301" s="0" t="s">
        <v>2892</v>
      </c>
      <c r="C301" s="0" t="s">
        <v>290</v>
      </c>
      <c r="D301" s="0" t="s">
        <v>2711</v>
      </c>
      <c r="E301" s="0" t="s">
        <v>2893</v>
      </c>
      <c r="F301" s="0">
        <v>1</v>
      </c>
      <c r="G301" s="0" t="s">
        <v>2713</v>
      </c>
      <c r="H301" s="0" t="s">
        <v>2714</v>
      </c>
      <c r="I301" s="0" t="s">
        <v>549</v>
      </c>
      <c r="J301" s="0" t="s">
        <v>358</v>
      </c>
      <c r="K301" s="0" t="s">
        <v>2723</v>
      </c>
      <c r="L301" s="0" t="s">
        <v>2724</v>
      </c>
      <c r="P301" s="0" t="s">
        <v>2765</v>
      </c>
      <c r="Q301" s="0" t="s">
        <v>2765</v>
      </c>
      <c r="R301" s="0" t="s">
        <v>961</v>
      </c>
      <c r="U301" s="0" t="s">
        <v>2894</v>
      </c>
      <c r="X301" s="0" t="s">
        <v>529</v>
      </c>
      <c r="Y301" s="0" t="s">
        <v>142</v>
      </c>
      <c r="Z301" s="0" t="s">
        <v>2844</v>
      </c>
      <c r="AA301" s="0" t="s">
        <v>183</v>
      </c>
      <c r="AB301" s="0" t="s">
        <v>300</v>
      </c>
      <c r="AF301" s="0" t="s">
        <v>301</v>
      </c>
      <c r="AP301" s="0" t="s">
        <v>305</v>
      </c>
      <c r="BA301" s="0">
        <v>473</v>
      </c>
      <c r="BB301" s="0" t="s">
        <v>232</v>
      </c>
      <c r="BC301" s="0">
        <v>2</v>
      </c>
      <c r="BD301" s="0">
        <v>374053</v>
      </c>
      <c r="BE301" s="0">
        <v>2562</v>
      </c>
      <c r="BF301" s="0">
        <v>2</v>
      </c>
      <c r="BG301" s="0" t="s">
        <v>2895</v>
      </c>
      <c r="BI301" s="0">
        <v>1670</v>
      </c>
      <c r="BK301" s="0" t="s">
        <v>2896</v>
      </c>
    </row>
    <row r="302">
      <c r="A302" s="0">
        <v>4862</v>
      </c>
      <c r="B302" s="0" t="s">
        <v>2897</v>
      </c>
      <c r="C302" s="0" t="s">
        <v>339</v>
      </c>
      <c r="D302" s="0" t="s">
        <v>2711</v>
      </c>
      <c r="E302" s="0" t="s">
        <v>2898</v>
      </c>
      <c r="F302" s="0">
        <v>1</v>
      </c>
      <c r="G302" s="0" t="s">
        <v>2713</v>
      </c>
      <c r="H302" s="0" t="s">
        <v>2714</v>
      </c>
      <c r="I302" s="0" t="s">
        <v>1268</v>
      </c>
      <c r="J302" s="0" t="s">
        <v>2715</v>
      </c>
      <c r="K302" s="0" t="s">
        <v>523</v>
      </c>
      <c r="L302" s="0" t="s">
        <v>1268</v>
      </c>
      <c r="P302" s="0" t="s">
        <v>343</v>
      </c>
      <c r="Q302" s="0" t="s">
        <v>343</v>
      </c>
      <c r="U302" s="0" t="s">
        <v>2899</v>
      </c>
      <c r="X302" s="0" t="s">
        <v>347</v>
      </c>
      <c r="Y302" s="0" t="s">
        <v>142</v>
      </c>
      <c r="Z302" s="0" t="s">
        <v>2844</v>
      </c>
      <c r="AA302" s="0" t="s">
        <v>183</v>
      </c>
      <c r="AB302" s="0" t="s">
        <v>300</v>
      </c>
      <c r="AF302" s="0" t="s">
        <v>301</v>
      </c>
      <c r="AM302" s="0" t="s">
        <v>2900</v>
      </c>
      <c r="AN302" s="0" t="s">
        <v>2733</v>
      </c>
      <c r="AO302" s="0" t="s">
        <v>2749</v>
      </c>
      <c r="AP302" s="0" t="s">
        <v>305</v>
      </c>
      <c r="AQ302" s="0" t="s">
        <v>1807</v>
      </c>
      <c r="AR302" s="0" t="s">
        <v>307</v>
      </c>
      <c r="AS302" s="0">
        <v>37</v>
      </c>
      <c r="AT302" s="0">
        <v>74</v>
      </c>
      <c r="AU302" s="0">
        <v>88</v>
      </c>
      <c r="AV302" s="0" t="s">
        <v>332</v>
      </c>
      <c r="AW302" s="0" t="s">
        <v>332</v>
      </c>
      <c r="AX302" s="0" t="s">
        <v>608</v>
      </c>
      <c r="AY302" s="0" t="s">
        <v>1148</v>
      </c>
      <c r="AZ302" s="0" t="s">
        <v>598</v>
      </c>
      <c r="BA302" s="0">
        <v>473</v>
      </c>
      <c r="BB302" s="0" t="s">
        <v>232</v>
      </c>
      <c r="BC302" s="0">
        <v>2</v>
      </c>
      <c r="BD302" s="0">
        <v>8</v>
      </c>
      <c r="BE302" s="0">
        <v>2562</v>
      </c>
      <c r="BF302" s="0">
        <v>4</v>
      </c>
      <c r="BG302" s="0" t="s">
        <v>2901</v>
      </c>
      <c r="BI302" s="0">
        <v>2909</v>
      </c>
      <c r="BK302" s="0" t="s">
        <v>2902</v>
      </c>
    </row>
    <row r="303">
      <c r="A303" s="0">
        <v>4858</v>
      </c>
      <c r="B303" s="0" t="s">
        <v>2903</v>
      </c>
      <c r="C303" s="0" t="s">
        <v>1100</v>
      </c>
      <c r="D303" s="0" t="s">
        <v>2711</v>
      </c>
      <c r="E303" s="0" t="s">
        <v>2904</v>
      </c>
      <c r="F303" s="0">
        <v>1</v>
      </c>
      <c r="G303" s="0" t="s">
        <v>2715</v>
      </c>
      <c r="H303" s="0" t="s">
        <v>470</v>
      </c>
      <c r="I303" s="0" t="s">
        <v>524</v>
      </c>
      <c r="J303" s="0" t="s">
        <v>2905</v>
      </c>
      <c r="L303" s="0" t="s">
        <v>2906</v>
      </c>
      <c r="T303" s="0" t="s">
        <v>2907</v>
      </c>
      <c r="U303" s="0" t="s">
        <v>2908</v>
      </c>
      <c r="V303" s="0" t="s">
        <v>579</v>
      </c>
      <c r="X303" s="0" t="s">
        <v>529</v>
      </c>
      <c r="Y303" s="0" t="s">
        <v>142</v>
      </c>
      <c r="Z303" s="0" t="s">
        <v>2844</v>
      </c>
      <c r="AA303" s="0" t="s">
        <v>183</v>
      </c>
      <c r="AB303" s="0" t="s">
        <v>300</v>
      </c>
      <c r="AF303" s="0" t="s">
        <v>301</v>
      </c>
      <c r="AP303" s="0" t="s">
        <v>305</v>
      </c>
      <c r="BA303" s="0">
        <v>473</v>
      </c>
      <c r="BB303" s="0" t="s">
        <v>232</v>
      </c>
      <c r="BC303" s="0">
        <v>2</v>
      </c>
      <c r="BD303" s="0">
        <v>374072</v>
      </c>
      <c r="BE303" s="0">
        <v>2562</v>
      </c>
      <c r="BF303" s="0">
        <v>2</v>
      </c>
      <c r="BG303" s="0" t="s">
        <v>2909</v>
      </c>
      <c r="BI303" s="0">
        <v>2147</v>
      </c>
      <c r="BK303" s="0" t="s">
        <v>2910</v>
      </c>
    </row>
    <row r="304">
      <c r="A304" s="0">
        <v>4863</v>
      </c>
      <c r="B304" s="0" t="s">
        <v>2911</v>
      </c>
      <c r="C304" s="0" t="s">
        <v>339</v>
      </c>
      <c r="D304" s="0" t="s">
        <v>2711</v>
      </c>
      <c r="E304" s="0" t="s">
        <v>2912</v>
      </c>
      <c r="F304" s="0">
        <v>1</v>
      </c>
      <c r="G304" s="0" t="s">
        <v>2713</v>
      </c>
      <c r="H304" s="0" t="s">
        <v>2714</v>
      </c>
      <c r="I304" s="0" t="s">
        <v>469</v>
      </c>
      <c r="J304" s="0" t="s">
        <v>2715</v>
      </c>
      <c r="K304" s="0" t="s">
        <v>2913</v>
      </c>
      <c r="L304" s="0" t="s">
        <v>524</v>
      </c>
      <c r="R304" s="0" t="s">
        <v>661</v>
      </c>
      <c r="U304" s="0" t="s">
        <v>2914</v>
      </c>
      <c r="X304" s="0" t="s">
        <v>347</v>
      </c>
      <c r="Y304" s="0" t="s">
        <v>142</v>
      </c>
      <c r="Z304" s="0" t="s">
        <v>2844</v>
      </c>
      <c r="AA304" s="0" t="s">
        <v>183</v>
      </c>
      <c r="AB304" s="0" t="s">
        <v>300</v>
      </c>
      <c r="AF304" s="0" t="s">
        <v>301</v>
      </c>
      <c r="AM304" s="0" t="s">
        <v>310</v>
      </c>
      <c r="AN304" s="0" t="s">
        <v>2915</v>
      </c>
      <c r="AO304" s="0" t="s">
        <v>365</v>
      </c>
      <c r="AP304" s="0" t="s">
        <v>305</v>
      </c>
      <c r="AQ304" s="0" t="s">
        <v>389</v>
      </c>
      <c r="AR304" s="0" t="s">
        <v>1432</v>
      </c>
      <c r="AS304" s="0">
        <v>37</v>
      </c>
      <c r="AT304" s="0">
        <v>75</v>
      </c>
      <c r="AU304" s="0">
        <v>89</v>
      </c>
      <c r="AV304" s="0" t="s">
        <v>332</v>
      </c>
      <c r="AW304" s="0" t="s">
        <v>332</v>
      </c>
      <c r="AX304" s="0" t="s">
        <v>1472</v>
      </c>
      <c r="AY304" s="0" t="s">
        <v>862</v>
      </c>
      <c r="AZ304" s="0" t="s">
        <v>443</v>
      </c>
      <c r="BA304" s="0">
        <v>473</v>
      </c>
      <c r="BB304" s="0" t="s">
        <v>232</v>
      </c>
      <c r="BC304" s="0">
        <v>2</v>
      </c>
      <c r="BD304" s="0">
        <v>8</v>
      </c>
      <c r="BE304" s="0">
        <v>2562</v>
      </c>
      <c r="BF304" s="0">
        <v>4</v>
      </c>
      <c r="BG304" s="0" t="s">
        <v>2916</v>
      </c>
      <c r="BI304" s="0">
        <v>3074</v>
      </c>
      <c r="BK304" s="0" t="s">
        <v>2917</v>
      </c>
    </row>
    <row r="305">
      <c r="A305" s="0">
        <v>4864</v>
      </c>
      <c r="B305" s="0" t="s">
        <v>2918</v>
      </c>
      <c r="C305" s="0" t="s">
        <v>315</v>
      </c>
      <c r="D305" s="0" t="s">
        <v>2711</v>
      </c>
      <c r="E305" s="0" t="s">
        <v>2919</v>
      </c>
      <c r="F305" s="0">
        <v>1</v>
      </c>
      <c r="G305" s="0" t="s">
        <v>2713</v>
      </c>
      <c r="H305" s="0" t="s">
        <v>2714</v>
      </c>
      <c r="I305" s="0" t="s">
        <v>469</v>
      </c>
      <c r="J305" s="0" t="s">
        <v>2715</v>
      </c>
      <c r="K305" s="0" t="s">
        <v>483</v>
      </c>
      <c r="L305" s="0" t="s">
        <v>469</v>
      </c>
      <c r="U305" s="0" t="s">
        <v>2920</v>
      </c>
      <c r="X305" s="0" t="s">
        <v>529</v>
      </c>
      <c r="Y305" s="0" t="s">
        <v>142</v>
      </c>
      <c r="Z305" s="0" t="s">
        <v>2844</v>
      </c>
      <c r="AA305" s="0" t="s">
        <v>183</v>
      </c>
      <c r="AB305" s="0" t="s">
        <v>300</v>
      </c>
      <c r="AF305" s="0" t="s">
        <v>301</v>
      </c>
      <c r="AP305" s="0" t="s">
        <v>305</v>
      </c>
      <c r="BA305" s="0">
        <v>473</v>
      </c>
      <c r="BB305" s="0" t="s">
        <v>232</v>
      </c>
      <c r="BC305" s="0">
        <v>2</v>
      </c>
      <c r="BD305" s="0">
        <v>374043</v>
      </c>
      <c r="BE305" s="0">
        <v>2562</v>
      </c>
      <c r="BF305" s="0">
        <v>2</v>
      </c>
      <c r="BG305" s="0" t="s">
        <v>2921</v>
      </c>
      <c r="BI305" s="0">
        <v>3227</v>
      </c>
      <c r="BK305" s="0" t="s">
        <v>2922</v>
      </c>
    </row>
    <row r="306">
      <c r="A306" s="0">
        <v>4852</v>
      </c>
      <c r="B306" s="0" t="s">
        <v>2923</v>
      </c>
      <c r="C306" s="0" t="s">
        <v>656</v>
      </c>
      <c r="D306" s="0" t="s">
        <v>2711</v>
      </c>
      <c r="E306" s="0" t="s">
        <v>2924</v>
      </c>
      <c r="F306" s="0">
        <v>1</v>
      </c>
      <c r="G306" s="0" t="s">
        <v>358</v>
      </c>
      <c r="H306" s="0" t="s">
        <v>2723</v>
      </c>
      <c r="I306" s="0" t="s">
        <v>2724</v>
      </c>
      <c r="P306" s="0" t="s">
        <v>2765</v>
      </c>
      <c r="Q306" s="0" t="s">
        <v>2765</v>
      </c>
      <c r="R306" s="0" t="s">
        <v>1783</v>
      </c>
      <c r="U306" s="0" t="s">
        <v>2925</v>
      </c>
      <c r="X306" s="0" t="s">
        <v>1688</v>
      </c>
      <c r="Y306" s="0" t="s">
        <v>142</v>
      </c>
      <c r="Z306" s="0" t="s">
        <v>2844</v>
      </c>
      <c r="AA306" s="0" t="s">
        <v>183</v>
      </c>
      <c r="AB306" s="0" t="s">
        <v>300</v>
      </c>
      <c r="AF306" s="0" t="s">
        <v>301</v>
      </c>
      <c r="AM306" s="0" t="s">
        <v>2926</v>
      </c>
      <c r="AN306" s="0" t="s">
        <v>2927</v>
      </c>
      <c r="AO306" s="0" t="s">
        <v>2928</v>
      </c>
      <c r="AP306" s="0" t="s">
        <v>305</v>
      </c>
      <c r="AQ306" s="0" t="s">
        <v>2929</v>
      </c>
      <c r="AR306" s="0" t="s">
        <v>2930</v>
      </c>
      <c r="AS306" s="0">
        <v>22</v>
      </c>
      <c r="AT306" s="0">
        <v>51</v>
      </c>
      <c r="AU306" s="0">
        <v>60</v>
      </c>
      <c r="AV306" s="0" t="s">
        <v>1238</v>
      </c>
      <c r="AW306" s="0" t="s">
        <v>1238</v>
      </c>
      <c r="AX306" s="0" t="s">
        <v>2931</v>
      </c>
      <c r="AY306" s="0" t="s">
        <v>2932</v>
      </c>
      <c r="AZ306" s="0" t="s">
        <v>2933</v>
      </c>
      <c r="BA306" s="0">
        <v>473</v>
      </c>
      <c r="BB306" s="0" t="s">
        <v>232</v>
      </c>
      <c r="BC306" s="0">
        <v>2</v>
      </c>
      <c r="BD306" s="0">
        <v>10</v>
      </c>
      <c r="BE306" s="0">
        <v>2562</v>
      </c>
      <c r="BF306" s="0">
        <v>6</v>
      </c>
      <c r="BG306" s="0" t="s">
        <v>2934</v>
      </c>
      <c r="BI306" s="0">
        <v>758</v>
      </c>
      <c r="BK306" s="0" t="s">
        <v>2935</v>
      </c>
    </row>
    <row r="307">
      <c r="A307" s="0">
        <v>4894</v>
      </c>
      <c r="B307" s="0" t="s">
        <v>2936</v>
      </c>
      <c r="C307" s="0" t="s">
        <v>1139</v>
      </c>
      <c r="D307" s="0" t="s">
        <v>2937</v>
      </c>
      <c r="E307" s="0" t="s">
        <v>2938</v>
      </c>
      <c r="F307" s="0">
        <v>1</v>
      </c>
      <c r="G307" s="0" t="s">
        <v>293</v>
      </c>
      <c r="H307" s="0" t="s">
        <v>294</v>
      </c>
      <c r="I307" s="0" t="s">
        <v>918</v>
      </c>
      <c r="P307" s="0" t="s">
        <v>343</v>
      </c>
      <c r="Q307" s="0" t="s">
        <v>343</v>
      </c>
      <c r="U307" s="0" t="s">
        <v>2939</v>
      </c>
      <c r="X307" s="0" t="s">
        <v>347</v>
      </c>
      <c r="Y307" s="0" t="s">
        <v>181</v>
      </c>
      <c r="Z307" s="0" t="s">
        <v>1595</v>
      </c>
      <c r="AA307" s="0" t="s">
        <v>180</v>
      </c>
      <c r="AB307" s="0" t="s">
        <v>531</v>
      </c>
      <c r="AC307" s="0" t="s">
        <v>532</v>
      </c>
      <c r="AF307" s="0" t="s">
        <v>301</v>
      </c>
      <c r="AM307" s="0" t="s">
        <v>608</v>
      </c>
      <c r="AN307" s="0" t="s">
        <v>2213</v>
      </c>
      <c r="AO307" s="0" t="s">
        <v>2940</v>
      </c>
      <c r="AP307" s="0" t="s">
        <v>305</v>
      </c>
      <c r="AQ307" s="0" t="s">
        <v>1271</v>
      </c>
      <c r="AR307" s="0" t="s">
        <v>475</v>
      </c>
      <c r="AS307" s="0">
        <v>388</v>
      </c>
      <c r="AT307" s="0">
        <v>800</v>
      </c>
      <c r="AU307" s="0">
        <v>886</v>
      </c>
      <c r="AV307" s="0" t="s">
        <v>332</v>
      </c>
      <c r="AW307" s="0" t="s">
        <v>332</v>
      </c>
      <c r="AX307" s="0" t="s">
        <v>1145</v>
      </c>
      <c r="AY307" s="0" t="s">
        <v>2941</v>
      </c>
      <c r="AZ307" s="0" t="s">
        <v>1763</v>
      </c>
      <c r="BA307" s="0">
        <v>474</v>
      </c>
      <c r="BB307" s="0" t="s">
        <v>232</v>
      </c>
      <c r="BC307" s="0">
        <v>2</v>
      </c>
      <c r="BD307" s="0">
        <v>38030</v>
      </c>
      <c r="BE307" s="0">
        <v>334</v>
      </c>
      <c r="BF307" s="0">
        <v>4</v>
      </c>
      <c r="BG307" s="0" t="s">
        <v>2942</v>
      </c>
      <c r="BI307" s="0">
        <v>4457</v>
      </c>
      <c r="BK307" s="0" t="s">
        <v>2943</v>
      </c>
    </row>
    <row r="308">
      <c r="A308" s="0">
        <v>4893</v>
      </c>
      <c r="B308" s="0" t="s">
        <v>2944</v>
      </c>
      <c r="C308" s="0" t="s">
        <v>2945</v>
      </c>
      <c r="D308" s="0" t="s">
        <v>2937</v>
      </c>
      <c r="E308" s="0" t="s">
        <v>2946</v>
      </c>
      <c r="F308" s="0">
        <v>1</v>
      </c>
      <c r="G308" s="0" t="s">
        <v>293</v>
      </c>
      <c r="H308" s="0" t="s">
        <v>294</v>
      </c>
      <c r="I308" s="0" t="s">
        <v>295</v>
      </c>
      <c r="J308" s="0" t="s">
        <v>555</v>
      </c>
      <c r="K308" s="0" t="s">
        <v>1112</v>
      </c>
      <c r="L308" s="0" t="s">
        <v>2947</v>
      </c>
      <c r="P308" s="0" t="s">
        <v>323</v>
      </c>
      <c r="Q308" s="0" t="s">
        <v>2948</v>
      </c>
      <c r="R308" s="0" t="s">
        <v>1142</v>
      </c>
      <c r="U308" s="0" t="s">
        <v>2949</v>
      </c>
      <c r="X308" s="0" t="s">
        <v>347</v>
      </c>
      <c r="Y308" s="0" t="s">
        <v>181</v>
      </c>
      <c r="Z308" s="0" t="s">
        <v>1595</v>
      </c>
      <c r="AA308" s="0" t="s">
        <v>180</v>
      </c>
      <c r="AB308" s="0" t="s">
        <v>531</v>
      </c>
      <c r="AC308" s="0" t="s">
        <v>532</v>
      </c>
      <c r="AF308" s="0" t="s">
        <v>301</v>
      </c>
      <c r="AM308" s="0" t="s">
        <v>816</v>
      </c>
      <c r="AN308" s="0" t="s">
        <v>2950</v>
      </c>
      <c r="AO308" s="0" t="s">
        <v>310</v>
      </c>
      <c r="AP308" s="0" t="s">
        <v>305</v>
      </c>
      <c r="AQ308" s="0" t="s">
        <v>424</v>
      </c>
      <c r="AR308" s="0" t="s">
        <v>390</v>
      </c>
      <c r="AS308" s="0">
        <v>70</v>
      </c>
      <c r="AT308" s="0">
        <v>168</v>
      </c>
      <c r="AU308" s="0">
        <v>193</v>
      </c>
      <c r="AV308" s="0" t="s">
        <v>332</v>
      </c>
      <c r="AX308" s="0" t="s">
        <v>2791</v>
      </c>
      <c r="AY308" s="0" t="s">
        <v>387</v>
      </c>
      <c r="AZ308" s="0" t="s">
        <v>2213</v>
      </c>
      <c r="BA308" s="0">
        <v>474</v>
      </c>
      <c r="BB308" s="0" t="s">
        <v>232</v>
      </c>
      <c r="BC308" s="0">
        <v>2</v>
      </c>
      <c r="BD308" s="0">
        <v>54045</v>
      </c>
      <c r="BE308" s="0">
        <v>334</v>
      </c>
      <c r="BF308" s="0">
        <v>4</v>
      </c>
      <c r="BG308" s="0" t="s">
        <v>2951</v>
      </c>
      <c r="BI308" s="0">
        <v>4672</v>
      </c>
      <c r="BK308" s="0" t="s">
        <v>2952</v>
      </c>
    </row>
    <row r="309">
      <c r="A309" s="0">
        <v>4884</v>
      </c>
      <c r="B309" s="0" t="s">
        <v>2953</v>
      </c>
      <c r="C309" s="0" t="s">
        <v>945</v>
      </c>
      <c r="D309" s="0" t="s">
        <v>2937</v>
      </c>
      <c r="E309" s="0" t="s">
        <v>2954</v>
      </c>
      <c r="F309" s="0">
        <v>1</v>
      </c>
      <c r="G309" s="0" t="s">
        <v>319</v>
      </c>
      <c r="H309" s="0" t="s">
        <v>523</v>
      </c>
      <c r="I309" s="0" t="s">
        <v>469</v>
      </c>
      <c r="J309" s="0" t="s">
        <v>400</v>
      </c>
      <c r="K309" s="0" t="s">
        <v>400</v>
      </c>
      <c r="L309" s="0" t="s">
        <v>1133</v>
      </c>
      <c r="P309" s="0" t="s">
        <v>323</v>
      </c>
      <c r="Q309" s="0" t="s">
        <v>343</v>
      </c>
      <c r="R309" s="0" t="s">
        <v>673</v>
      </c>
      <c r="U309" s="0" t="s">
        <v>2955</v>
      </c>
      <c r="X309" s="0" t="s">
        <v>529</v>
      </c>
      <c r="Y309" s="0" t="s">
        <v>181</v>
      </c>
      <c r="Z309" s="0" t="s">
        <v>1595</v>
      </c>
      <c r="AA309" s="0" t="s">
        <v>180</v>
      </c>
      <c r="AB309" s="0" t="s">
        <v>531</v>
      </c>
      <c r="AC309" s="0" t="s">
        <v>532</v>
      </c>
      <c r="AF309" s="0" t="s">
        <v>301</v>
      </c>
      <c r="AM309" s="0" t="s">
        <v>824</v>
      </c>
      <c r="AN309" s="0" t="s">
        <v>517</v>
      </c>
      <c r="AO309" s="0" t="s">
        <v>393</v>
      </c>
      <c r="AP309" s="0" t="s">
        <v>305</v>
      </c>
      <c r="AQ309" s="0" t="s">
        <v>1850</v>
      </c>
      <c r="AR309" s="0" t="s">
        <v>1772</v>
      </c>
      <c r="AS309" s="0">
        <v>66</v>
      </c>
      <c r="AT309" s="0">
        <v>150</v>
      </c>
      <c r="AU309" s="0">
        <v>180</v>
      </c>
      <c r="AV309" s="0" t="s">
        <v>2956</v>
      </c>
      <c r="AW309" s="0" t="s">
        <v>332</v>
      </c>
      <c r="AX309" s="0" t="s">
        <v>387</v>
      </c>
      <c r="AY309" s="0" t="s">
        <v>391</v>
      </c>
      <c r="AZ309" s="0" t="s">
        <v>1574</v>
      </c>
      <c r="BA309" s="0">
        <v>474</v>
      </c>
      <c r="BB309" s="0" t="s">
        <v>232</v>
      </c>
      <c r="BC309" s="0">
        <v>2</v>
      </c>
      <c r="BD309" s="0">
        <v>14</v>
      </c>
      <c r="BE309" s="0">
        <v>334</v>
      </c>
      <c r="BF309" s="0">
        <v>2</v>
      </c>
      <c r="BG309" s="0" t="s">
        <v>2957</v>
      </c>
      <c r="BI309" s="0">
        <v>4286</v>
      </c>
      <c r="BK309" s="0" t="s">
        <v>2958</v>
      </c>
    </row>
    <row r="310">
      <c r="A310" s="0">
        <v>4890</v>
      </c>
      <c r="B310" s="0" t="s">
        <v>2959</v>
      </c>
      <c r="C310" s="0" t="s">
        <v>945</v>
      </c>
      <c r="D310" s="0" t="s">
        <v>2937</v>
      </c>
      <c r="E310" s="0" t="s">
        <v>2960</v>
      </c>
      <c r="F310" s="0">
        <v>1</v>
      </c>
      <c r="G310" s="0" t="s">
        <v>319</v>
      </c>
      <c r="H310" s="0" t="s">
        <v>523</v>
      </c>
      <c r="I310" s="0" t="s">
        <v>469</v>
      </c>
      <c r="J310" s="0" t="s">
        <v>400</v>
      </c>
      <c r="K310" s="0" t="s">
        <v>400</v>
      </c>
      <c r="L310" s="0" t="s">
        <v>1133</v>
      </c>
      <c r="P310" s="0" t="s">
        <v>323</v>
      </c>
      <c r="Q310" s="0" t="s">
        <v>343</v>
      </c>
      <c r="R310" s="0" t="s">
        <v>673</v>
      </c>
      <c r="U310" s="0" t="s">
        <v>2961</v>
      </c>
      <c r="X310" s="0" t="s">
        <v>529</v>
      </c>
      <c r="Y310" s="0" t="s">
        <v>181</v>
      </c>
      <c r="Z310" s="0" t="s">
        <v>1595</v>
      </c>
      <c r="AA310" s="0" t="s">
        <v>180</v>
      </c>
      <c r="AB310" s="0" t="s">
        <v>531</v>
      </c>
      <c r="AC310" s="0" t="s">
        <v>532</v>
      </c>
      <c r="AF310" s="0" t="s">
        <v>301</v>
      </c>
      <c r="AM310" s="0" t="s">
        <v>491</v>
      </c>
      <c r="AN310" s="0" t="s">
        <v>627</v>
      </c>
      <c r="AO310" s="0" t="s">
        <v>311</v>
      </c>
      <c r="AP310" s="0" t="s">
        <v>305</v>
      </c>
      <c r="AQ310" s="0" t="s">
        <v>1415</v>
      </c>
      <c r="AR310" s="0" t="s">
        <v>1772</v>
      </c>
      <c r="AS310" s="0">
        <v>66</v>
      </c>
      <c r="AT310" s="0">
        <v>150</v>
      </c>
      <c r="AU310" s="0">
        <v>180</v>
      </c>
      <c r="AV310" s="0" t="s">
        <v>2956</v>
      </c>
      <c r="AW310" s="0" t="s">
        <v>332</v>
      </c>
      <c r="AX310" s="0" t="s">
        <v>387</v>
      </c>
      <c r="AY310" s="0" t="s">
        <v>391</v>
      </c>
      <c r="AZ310" s="0" t="s">
        <v>1574</v>
      </c>
      <c r="BA310" s="0">
        <v>474</v>
      </c>
      <c r="BB310" s="0" t="s">
        <v>232</v>
      </c>
      <c r="BC310" s="0">
        <v>2</v>
      </c>
      <c r="BD310" s="0">
        <v>14</v>
      </c>
      <c r="BE310" s="0">
        <v>334</v>
      </c>
      <c r="BF310" s="0">
        <v>2</v>
      </c>
      <c r="BG310" s="0" t="s">
        <v>2962</v>
      </c>
      <c r="BI310" s="0">
        <v>4220</v>
      </c>
      <c r="BK310" s="0" t="s">
        <v>2963</v>
      </c>
    </row>
    <row r="311">
      <c r="A311" s="0">
        <v>4898</v>
      </c>
      <c r="B311" s="0" t="s">
        <v>2964</v>
      </c>
      <c r="C311" s="0" t="s">
        <v>945</v>
      </c>
      <c r="D311" s="0" t="s">
        <v>2937</v>
      </c>
      <c r="E311" s="0" t="s">
        <v>2965</v>
      </c>
      <c r="F311" s="0">
        <v>1</v>
      </c>
      <c r="G311" s="0" t="s">
        <v>319</v>
      </c>
      <c r="H311" s="0" t="s">
        <v>483</v>
      </c>
      <c r="I311" s="0" t="s">
        <v>417</v>
      </c>
      <c r="J311" s="0" t="s">
        <v>594</v>
      </c>
      <c r="L311" s="0" t="s">
        <v>729</v>
      </c>
      <c r="M311" s="0" t="s">
        <v>400</v>
      </c>
      <c r="O311" s="0" t="s">
        <v>1133</v>
      </c>
      <c r="P311" s="0" t="s">
        <v>323</v>
      </c>
      <c r="Q311" s="0" t="s">
        <v>343</v>
      </c>
      <c r="R311" s="0" t="s">
        <v>673</v>
      </c>
      <c r="U311" s="0" t="s">
        <v>2966</v>
      </c>
      <c r="X311" s="0" t="s">
        <v>529</v>
      </c>
      <c r="Y311" s="0" t="s">
        <v>181</v>
      </c>
      <c r="Z311" s="0" t="s">
        <v>1595</v>
      </c>
      <c r="AA311" s="0" t="s">
        <v>180</v>
      </c>
      <c r="AB311" s="0" t="s">
        <v>531</v>
      </c>
      <c r="AC311" s="0" t="s">
        <v>532</v>
      </c>
      <c r="AF311" s="0" t="s">
        <v>301</v>
      </c>
      <c r="AM311" s="0" t="s">
        <v>366</v>
      </c>
      <c r="AN311" s="0" t="s">
        <v>422</v>
      </c>
      <c r="AO311" s="0" t="s">
        <v>651</v>
      </c>
      <c r="AP311" s="0" t="s">
        <v>305</v>
      </c>
      <c r="AQ311" s="0" t="s">
        <v>1850</v>
      </c>
      <c r="AR311" s="0" t="s">
        <v>502</v>
      </c>
      <c r="AS311" s="0">
        <v>135</v>
      </c>
      <c r="AT311" s="0">
        <v>297</v>
      </c>
      <c r="AU311" s="0">
        <v>340</v>
      </c>
      <c r="AV311" s="0" t="s">
        <v>332</v>
      </c>
      <c r="AW311" s="0" t="s">
        <v>332</v>
      </c>
      <c r="AX311" s="0" t="s">
        <v>2967</v>
      </c>
      <c r="AY311" s="0" t="s">
        <v>1472</v>
      </c>
      <c r="AZ311" s="0" t="s">
        <v>1920</v>
      </c>
      <c r="BA311" s="0">
        <v>474</v>
      </c>
      <c r="BB311" s="0" t="s">
        <v>232</v>
      </c>
      <c r="BC311" s="0">
        <v>2</v>
      </c>
      <c r="BD311" s="0">
        <v>14</v>
      </c>
      <c r="BE311" s="0">
        <v>334</v>
      </c>
      <c r="BF311" s="0">
        <v>2</v>
      </c>
      <c r="BG311" s="0" t="s">
        <v>2968</v>
      </c>
      <c r="BI311" s="0">
        <v>4640</v>
      </c>
      <c r="BK311" s="0" t="s">
        <v>2969</v>
      </c>
    </row>
    <row r="312">
      <c r="A312" s="0">
        <v>4897</v>
      </c>
      <c r="B312" s="0" t="s">
        <v>2970</v>
      </c>
      <c r="C312" s="0" t="s">
        <v>1139</v>
      </c>
      <c r="D312" s="0" t="s">
        <v>2937</v>
      </c>
      <c r="E312" s="0" t="s">
        <v>1140</v>
      </c>
      <c r="F312" s="0">
        <v>1</v>
      </c>
      <c r="G312" s="0" t="s">
        <v>293</v>
      </c>
      <c r="H312" s="0" t="s">
        <v>294</v>
      </c>
      <c r="I312" s="0" t="s">
        <v>295</v>
      </c>
      <c r="P312" s="0" t="s">
        <v>1590</v>
      </c>
      <c r="Q312" s="0" t="s">
        <v>1590</v>
      </c>
      <c r="R312" s="0" t="s">
        <v>1620</v>
      </c>
      <c r="U312" s="0" t="s">
        <v>2971</v>
      </c>
      <c r="X312" s="0" t="s">
        <v>347</v>
      </c>
      <c r="Y312" s="0" t="s">
        <v>181</v>
      </c>
      <c r="Z312" s="0" t="s">
        <v>1595</v>
      </c>
      <c r="AA312" s="0" t="s">
        <v>180</v>
      </c>
      <c r="AB312" s="0" t="s">
        <v>531</v>
      </c>
      <c r="AC312" s="0" t="s">
        <v>532</v>
      </c>
      <c r="AF312" s="0" t="s">
        <v>301</v>
      </c>
      <c r="AM312" s="0" t="s">
        <v>1145</v>
      </c>
      <c r="AN312" s="0" t="s">
        <v>422</v>
      </c>
      <c r="AO312" s="0" t="s">
        <v>855</v>
      </c>
      <c r="AP312" s="0" t="s">
        <v>305</v>
      </c>
      <c r="AQ312" s="0" t="s">
        <v>2337</v>
      </c>
      <c r="AR312" s="0" t="s">
        <v>1077</v>
      </c>
      <c r="AS312" s="0">
        <v>680</v>
      </c>
      <c r="AT312" s="0">
        <v>1340</v>
      </c>
      <c r="AU312" s="0">
        <v>1430</v>
      </c>
      <c r="AV312" s="0" t="s">
        <v>332</v>
      </c>
      <c r="AW312" s="0" t="s">
        <v>332</v>
      </c>
      <c r="AX312" s="0" t="s">
        <v>1148</v>
      </c>
      <c r="AY312" s="0" t="s">
        <v>780</v>
      </c>
      <c r="AZ312" s="0" t="s">
        <v>303</v>
      </c>
      <c r="BA312" s="0">
        <v>474</v>
      </c>
      <c r="BB312" s="0" t="s">
        <v>232</v>
      </c>
      <c r="BC312" s="0">
        <v>2</v>
      </c>
      <c r="BD312" s="0">
        <v>38030</v>
      </c>
      <c r="BE312" s="0">
        <v>334</v>
      </c>
      <c r="BF312" s="0">
        <v>4</v>
      </c>
      <c r="BG312" s="0" t="s">
        <v>2972</v>
      </c>
      <c r="BI312" s="0">
        <v>4602</v>
      </c>
      <c r="BK312" s="0" t="s">
        <v>2973</v>
      </c>
    </row>
    <row r="313">
      <c r="A313" s="0">
        <v>4895</v>
      </c>
      <c r="B313" s="0" t="s">
        <v>2974</v>
      </c>
      <c r="C313" s="0" t="s">
        <v>1139</v>
      </c>
      <c r="D313" s="0" t="s">
        <v>2937</v>
      </c>
      <c r="E313" s="0" t="s">
        <v>2975</v>
      </c>
      <c r="F313" s="0">
        <v>1</v>
      </c>
      <c r="G313" s="0" t="s">
        <v>293</v>
      </c>
      <c r="H313" s="0" t="s">
        <v>294</v>
      </c>
      <c r="I313" s="0" t="s">
        <v>295</v>
      </c>
      <c r="P313" s="0" t="s">
        <v>1590</v>
      </c>
      <c r="Q313" s="0" t="s">
        <v>1590</v>
      </c>
      <c r="R313" s="0" t="s">
        <v>1620</v>
      </c>
      <c r="U313" s="0" t="s">
        <v>2976</v>
      </c>
      <c r="X313" s="0" t="s">
        <v>347</v>
      </c>
      <c r="Y313" s="0" t="s">
        <v>181</v>
      </c>
      <c r="Z313" s="0" t="s">
        <v>1595</v>
      </c>
      <c r="AA313" s="0" t="s">
        <v>180</v>
      </c>
      <c r="AB313" s="0" t="s">
        <v>531</v>
      </c>
      <c r="AC313" s="0" t="s">
        <v>532</v>
      </c>
      <c r="AF313" s="0" t="s">
        <v>301</v>
      </c>
      <c r="AM313" s="0" t="s">
        <v>517</v>
      </c>
      <c r="AN313" s="0" t="s">
        <v>302</v>
      </c>
      <c r="AO313" s="0" t="s">
        <v>311</v>
      </c>
      <c r="AP313" s="0" t="s">
        <v>305</v>
      </c>
      <c r="AQ313" s="0" t="s">
        <v>2337</v>
      </c>
      <c r="AR313" s="0" t="s">
        <v>1149</v>
      </c>
      <c r="AS313" s="0">
        <v>450</v>
      </c>
      <c r="AT313" s="0">
        <v>950</v>
      </c>
      <c r="AU313" s="0">
        <v>1050</v>
      </c>
      <c r="AV313" s="0" t="s">
        <v>332</v>
      </c>
      <c r="AW313" s="0" t="s">
        <v>332</v>
      </c>
      <c r="AX313" s="0" t="s">
        <v>912</v>
      </c>
      <c r="AY313" s="0" t="s">
        <v>500</v>
      </c>
      <c r="AZ313" s="0" t="s">
        <v>2742</v>
      </c>
      <c r="BA313" s="0">
        <v>474</v>
      </c>
      <c r="BB313" s="0" t="s">
        <v>232</v>
      </c>
      <c r="BC313" s="0">
        <v>2</v>
      </c>
      <c r="BD313" s="0">
        <v>38030</v>
      </c>
      <c r="BE313" s="0">
        <v>334</v>
      </c>
      <c r="BF313" s="0">
        <v>4</v>
      </c>
      <c r="BG313" s="0" t="s">
        <v>2977</v>
      </c>
      <c r="BI313" s="0">
        <v>4505</v>
      </c>
      <c r="BK313" s="0" t="s">
        <v>2978</v>
      </c>
    </row>
    <row r="314">
      <c r="A314" s="0">
        <v>4896</v>
      </c>
      <c r="B314" s="0" t="s">
        <v>2979</v>
      </c>
      <c r="C314" s="0" t="s">
        <v>1139</v>
      </c>
      <c r="D314" s="0" t="s">
        <v>2937</v>
      </c>
      <c r="E314" s="0" t="s">
        <v>2980</v>
      </c>
      <c r="F314" s="0">
        <v>1</v>
      </c>
      <c r="G314" s="0" t="s">
        <v>293</v>
      </c>
      <c r="H314" s="0" t="s">
        <v>294</v>
      </c>
      <c r="I314" s="0" t="s">
        <v>295</v>
      </c>
      <c r="P314" s="0" t="s">
        <v>1590</v>
      </c>
      <c r="Q314" s="0" t="s">
        <v>1590</v>
      </c>
      <c r="R314" s="0" t="s">
        <v>1620</v>
      </c>
      <c r="U314" s="0" t="s">
        <v>2981</v>
      </c>
      <c r="X314" s="0" t="s">
        <v>347</v>
      </c>
      <c r="Y314" s="0" t="s">
        <v>181</v>
      </c>
      <c r="Z314" s="0" t="s">
        <v>1595</v>
      </c>
      <c r="AA314" s="0" t="s">
        <v>180</v>
      </c>
      <c r="AB314" s="0" t="s">
        <v>531</v>
      </c>
      <c r="AC314" s="0" t="s">
        <v>532</v>
      </c>
      <c r="AF314" s="0" t="s">
        <v>301</v>
      </c>
      <c r="AM314" s="0" t="s">
        <v>2982</v>
      </c>
      <c r="AN314" s="0" t="s">
        <v>2982</v>
      </c>
      <c r="AO314" s="0" t="s">
        <v>694</v>
      </c>
      <c r="AP314" s="0" t="s">
        <v>305</v>
      </c>
      <c r="AQ314" s="0" t="s">
        <v>2983</v>
      </c>
      <c r="AR314" s="0" t="s">
        <v>2984</v>
      </c>
      <c r="AS314" s="0">
        <v>1217</v>
      </c>
      <c r="AT314" s="0">
        <v>2538</v>
      </c>
      <c r="AU314" s="0">
        <v>3100</v>
      </c>
      <c r="AV314" s="0" t="s">
        <v>332</v>
      </c>
      <c r="AW314" s="0" t="s">
        <v>332</v>
      </c>
      <c r="AX314" s="0" t="s">
        <v>310</v>
      </c>
      <c r="AY314" s="0" t="s">
        <v>2941</v>
      </c>
      <c r="AZ314" s="0" t="s">
        <v>502</v>
      </c>
      <c r="BA314" s="0">
        <v>474</v>
      </c>
      <c r="BB314" s="0" t="s">
        <v>232</v>
      </c>
      <c r="BC314" s="0">
        <v>2</v>
      </c>
      <c r="BD314" s="0">
        <v>38030</v>
      </c>
      <c r="BE314" s="0">
        <v>334</v>
      </c>
      <c r="BF314" s="0">
        <v>4</v>
      </c>
      <c r="BG314" s="0" t="s">
        <v>2985</v>
      </c>
      <c r="BI314" s="0">
        <v>4556</v>
      </c>
      <c r="BK314" s="0" t="s">
        <v>2986</v>
      </c>
    </row>
    <row r="315">
      <c r="A315" s="0">
        <v>4887</v>
      </c>
      <c r="B315" s="0" t="s">
        <v>2987</v>
      </c>
      <c r="C315" s="0" t="s">
        <v>1139</v>
      </c>
      <c r="D315" s="0" t="s">
        <v>2937</v>
      </c>
      <c r="E315" s="0" t="s">
        <v>2988</v>
      </c>
      <c r="F315" s="0">
        <v>1</v>
      </c>
      <c r="G315" s="0" t="s">
        <v>293</v>
      </c>
      <c r="H315" s="0" t="s">
        <v>294</v>
      </c>
      <c r="I315" s="0" t="s">
        <v>918</v>
      </c>
      <c r="P315" s="0" t="s">
        <v>323</v>
      </c>
      <c r="Q315" s="0" t="s">
        <v>323</v>
      </c>
      <c r="U315" s="0" t="s">
        <v>2989</v>
      </c>
      <c r="X315" s="0" t="s">
        <v>347</v>
      </c>
      <c r="Y315" s="0" t="s">
        <v>181</v>
      </c>
      <c r="Z315" s="0" t="s">
        <v>1595</v>
      </c>
      <c r="AA315" s="0" t="s">
        <v>180</v>
      </c>
      <c r="AB315" s="0" t="s">
        <v>531</v>
      </c>
      <c r="AC315" s="0" t="s">
        <v>532</v>
      </c>
      <c r="AF315" s="0" t="s">
        <v>301</v>
      </c>
      <c r="AM315" s="0" t="s">
        <v>2990</v>
      </c>
      <c r="AN315" s="0" t="s">
        <v>490</v>
      </c>
      <c r="AO315" s="0" t="s">
        <v>598</v>
      </c>
      <c r="AP315" s="0" t="s">
        <v>305</v>
      </c>
      <c r="AQ315" s="0" t="s">
        <v>2991</v>
      </c>
      <c r="AR315" s="0" t="s">
        <v>488</v>
      </c>
      <c r="AS315" s="0">
        <v>333</v>
      </c>
      <c r="AT315" s="0">
        <v>681</v>
      </c>
      <c r="AU315" s="0">
        <v>751</v>
      </c>
      <c r="AV315" s="0" t="s">
        <v>332</v>
      </c>
      <c r="AX315" s="0" t="s">
        <v>2992</v>
      </c>
      <c r="AY315" s="0" t="s">
        <v>816</v>
      </c>
      <c r="AZ315" s="0" t="s">
        <v>1581</v>
      </c>
      <c r="BA315" s="0">
        <v>474</v>
      </c>
      <c r="BB315" s="0" t="s">
        <v>232</v>
      </c>
      <c r="BC315" s="0">
        <v>2</v>
      </c>
      <c r="BD315" s="0">
        <v>38030</v>
      </c>
      <c r="BE315" s="0">
        <v>334</v>
      </c>
      <c r="BF315" s="0">
        <v>4</v>
      </c>
      <c r="BG315" s="0" t="s">
        <v>2993</v>
      </c>
      <c r="BI315" s="0">
        <v>3816</v>
      </c>
      <c r="BK315" s="0" t="s">
        <v>2994</v>
      </c>
    </row>
    <row r="316">
      <c r="A316" s="0">
        <v>4888</v>
      </c>
      <c r="B316" s="0" t="s">
        <v>2995</v>
      </c>
      <c r="C316" s="0" t="s">
        <v>1139</v>
      </c>
      <c r="D316" s="0" t="s">
        <v>2937</v>
      </c>
      <c r="E316" s="0" t="s">
        <v>2996</v>
      </c>
      <c r="F316" s="0">
        <v>2</v>
      </c>
      <c r="G316" s="0" t="s">
        <v>293</v>
      </c>
      <c r="H316" s="0" t="s">
        <v>294</v>
      </c>
      <c r="I316" s="0" t="s">
        <v>918</v>
      </c>
      <c r="P316" s="0" t="s">
        <v>343</v>
      </c>
      <c r="Q316" s="0" t="s">
        <v>343</v>
      </c>
      <c r="U316" s="0" t="s">
        <v>2997</v>
      </c>
      <c r="X316" s="0" t="s">
        <v>347</v>
      </c>
      <c r="Y316" s="0" t="s">
        <v>181</v>
      </c>
      <c r="Z316" s="0" t="s">
        <v>1595</v>
      </c>
      <c r="AA316" s="0" t="s">
        <v>180</v>
      </c>
      <c r="AB316" s="0" t="s">
        <v>531</v>
      </c>
      <c r="AC316" s="0" t="s">
        <v>532</v>
      </c>
      <c r="AF316" s="0" t="s">
        <v>301</v>
      </c>
      <c r="AM316" s="0" t="s">
        <v>302</v>
      </c>
      <c r="AN316" s="0" t="s">
        <v>2998</v>
      </c>
      <c r="AO316" s="0" t="s">
        <v>598</v>
      </c>
      <c r="AP316" s="0" t="s">
        <v>305</v>
      </c>
      <c r="AQ316" s="0" t="s">
        <v>331</v>
      </c>
      <c r="AR316" s="0" t="s">
        <v>1012</v>
      </c>
      <c r="AS316" s="0">
        <v>690</v>
      </c>
      <c r="AT316" s="0">
        <v>1390</v>
      </c>
      <c r="AU316" s="0">
        <v>1580</v>
      </c>
      <c r="AV316" s="0" t="s">
        <v>308</v>
      </c>
      <c r="AX316" s="0" t="s">
        <v>855</v>
      </c>
      <c r="AY316" s="0" t="s">
        <v>1108</v>
      </c>
      <c r="AZ316" s="0" t="s">
        <v>1070</v>
      </c>
      <c r="BA316" s="0">
        <v>474</v>
      </c>
      <c r="BB316" s="0" t="s">
        <v>232</v>
      </c>
      <c r="BC316" s="0">
        <v>2</v>
      </c>
      <c r="BD316" s="0">
        <v>38030</v>
      </c>
      <c r="BE316" s="0">
        <v>334</v>
      </c>
      <c r="BF316" s="0">
        <v>4</v>
      </c>
      <c r="BG316" s="0" t="s">
        <v>2999</v>
      </c>
      <c r="BI316" s="0">
        <v>3906</v>
      </c>
      <c r="BK316" s="0" t="s">
        <v>3000</v>
      </c>
    </row>
    <row r="317">
      <c r="A317" s="0">
        <v>4885</v>
      </c>
      <c r="B317" s="0" t="s">
        <v>3001</v>
      </c>
      <c r="C317" s="0" t="s">
        <v>1139</v>
      </c>
      <c r="D317" s="0" t="s">
        <v>2937</v>
      </c>
      <c r="E317" s="0" t="s">
        <v>3002</v>
      </c>
      <c r="F317" s="0">
        <v>1</v>
      </c>
      <c r="G317" s="0" t="s">
        <v>293</v>
      </c>
      <c r="H317" s="0" t="s">
        <v>294</v>
      </c>
      <c r="I317" s="0" t="s">
        <v>295</v>
      </c>
      <c r="P317" s="0" t="s">
        <v>343</v>
      </c>
      <c r="Q317" s="0" t="s">
        <v>343</v>
      </c>
      <c r="U317" s="0" t="s">
        <v>3003</v>
      </c>
      <c r="X317" s="0" t="s">
        <v>347</v>
      </c>
      <c r="Y317" s="0" t="s">
        <v>181</v>
      </c>
      <c r="Z317" s="0" t="s">
        <v>1595</v>
      </c>
      <c r="AA317" s="0" t="s">
        <v>180</v>
      </c>
      <c r="AB317" s="0" t="s">
        <v>531</v>
      </c>
      <c r="AC317" s="0" t="s">
        <v>532</v>
      </c>
      <c r="AF317" s="0" t="s">
        <v>301</v>
      </c>
      <c r="AM317" s="0" t="s">
        <v>3004</v>
      </c>
      <c r="AN317" s="0" t="s">
        <v>3005</v>
      </c>
      <c r="AO317" s="0" t="s">
        <v>3006</v>
      </c>
      <c r="AP317" s="0" t="s">
        <v>305</v>
      </c>
      <c r="AQ317" s="0" t="s">
        <v>1581</v>
      </c>
      <c r="AR317" s="0" t="s">
        <v>1763</v>
      </c>
      <c r="AS317" s="0">
        <v>220</v>
      </c>
      <c r="AT317" s="0">
        <v>453</v>
      </c>
      <c r="AU317" s="0">
        <v>523</v>
      </c>
      <c r="AV317" s="0" t="s">
        <v>3007</v>
      </c>
      <c r="AX317" s="0" t="s">
        <v>978</v>
      </c>
      <c r="AY317" s="0" t="s">
        <v>1066</v>
      </c>
      <c r="AZ317" s="0" t="s">
        <v>1772</v>
      </c>
      <c r="BA317" s="0">
        <v>474</v>
      </c>
      <c r="BB317" s="0" t="s">
        <v>232</v>
      </c>
      <c r="BC317" s="0">
        <v>2</v>
      </c>
      <c r="BD317" s="0">
        <v>38030</v>
      </c>
      <c r="BE317" s="0">
        <v>334</v>
      </c>
      <c r="BF317" s="0">
        <v>4</v>
      </c>
      <c r="BG317" s="0" t="s">
        <v>3008</v>
      </c>
      <c r="BI317" s="0">
        <v>3609</v>
      </c>
      <c r="BK317" s="0" t="s">
        <v>3009</v>
      </c>
    </row>
    <row r="318">
      <c r="A318" s="0">
        <v>4889</v>
      </c>
      <c r="B318" s="0" t="s">
        <v>3010</v>
      </c>
      <c r="C318" s="0" t="s">
        <v>1139</v>
      </c>
      <c r="D318" s="0" t="s">
        <v>2937</v>
      </c>
      <c r="E318" s="0" t="s">
        <v>3011</v>
      </c>
      <c r="F318" s="0">
        <v>1</v>
      </c>
      <c r="G318" s="0" t="s">
        <v>293</v>
      </c>
      <c r="H318" s="0" t="s">
        <v>294</v>
      </c>
      <c r="I318" s="0" t="s">
        <v>918</v>
      </c>
      <c r="P318" s="0" t="s">
        <v>343</v>
      </c>
      <c r="Q318" s="0" t="s">
        <v>343</v>
      </c>
      <c r="U318" s="0" t="s">
        <v>3012</v>
      </c>
      <c r="X318" s="0" t="s">
        <v>347</v>
      </c>
      <c r="Y318" s="0" t="s">
        <v>181</v>
      </c>
      <c r="Z318" s="0" t="s">
        <v>1595</v>
      </c>
      <c r="AA318" s="0" t="s">
        <v>180</v>
      </c>
      <c r="AB318" s="0" t="s">
        <v>531</v>
      </c>
      <c r="AC318" s="0" t="s">
        <v>532</v>
      </c>
      <c r="AF318" s="0" t="s">
        <v>301</v>
      </c>
      <c r="AM318" s="0" t="s">
        <v>608</v>
      </c>
      <c r="AN318" s="0" t="s">
        <v>762</v>
      </c>
      <c r="AO318" s="0" t="s">
        <v>1066</v>
      </c>
      <c r="AP318" s="0" t="s">
        <v>305</v>
      </c>
      <c r="AQ318" s="0" t="s">
        <v>3013</v>
      </c>
      <c r="AR318" s="0" t="s">
        <v>3014</v>
      </c>
      <c r="AS318" s="0">
        <v>230</v>
      </c>
      <c r="AT318" s="0">
        <v>481</v>
      </c>
      <c r="AU318" s="0">
        <v>542</v>
      </c>
      <c r="AV318" s="0" t="s">
        <v>332</v>
      </c>
      <c r="AX318" s="0" t="s">
        <v>3015</v>
      </c>
      <c r="AY318" s="0" t="s">
        <v>1946</v>
      </c>
      <c r="AZ318" s="0" t="s">
        <v>1807</v>
      </c>
      <c r="BA318" s="0">
        <v>474</v>
      </c>
      <c r="BB318" s="0" t="s">
        <v>232</v>
      </c>
      <c r="BC318" s="0">
        <v>2</v>
      </c>
      <c r="BD318" s="0">
        <v>38030</v>
      </c>
      <c r="BE318" s="0">
        <v>334</v>
      </c>
      <c r="BF318" s="0">
        <v>4</v>
      </c>
      <c r="BG318" s="0" t="s">
        <v>3016</v>
      </c>
      <c r="BI318" s="0">
        <v>3994</v>
      </c>
      <c r="BK318" s="0" t="s">
        <v>3017</v>
      </c>
    </row>
    <row r="319">
      <c r="A319" s="0">
        <v>4899</v>
      </c>
      <c r="B319" s="0" t="s">
        <v>3018</v>
      </c>
      <c r="C319" s="0" t="s">
        <v>2945</v>
      </c>
      <c r="D319" s="0" t="s">
        <v>2937</v>
      </c>
      <c r="E319" s="0" t="s">
        <v>3019</v>
      </c>
      <c r="F319" s="0">
        <v>1</v>
      </c>
      <c r="G319" s="0" t="s">
        <v>293</v>
      </c>
      <c r="H319" s="0" t="s">
        <v>294</v>
      </c>
      <c r="I319" s="0" t="s">
        <v>918</v>
      </c>
      <c r="P319" s="0" t="s">
        <v>343</v>
      </c>
      <c r="Q319" s="0" t="s">
        <v>343</v>
      </c>
      <c r="T319" s="0" t="s">
        <v>3020</v>
      </c>
      <c r="U319" s="0" t="s">
        <v>3021</v>
      </c>
      <c r="X319" s="0" t="s">
        <v>347</v>
      </c>
      <c r="Y319" s="0" t="s">
        <v>181</v>
      </c>
      <c r="Z319" s="0" t="s">
        <v>1595</v>
      </c>
      <c r="AA319" s="0" t="s">
        <v>180</v>
      </c>
      <c r="AB319" s="0" t="s">
        <v>531</v>
      </c>
      <c r="AC319" s="0" t="s">
        <v>532</v>
      </c>
      <c r="AF319" s="0" t="s">
        <v>301</v>
      </c>
      <c r="AM319" s="0" t="s">
        <v>3022</v>
      </c>
      <c r="AN319" s="0" t="s">
        <v>459</v>
      </c>
      <c r="AO319" s="0" t="s">
        <v>422</v>
      </c>
      <c r="AP319" s="0" t="s">
        <v>305</v>
      </c>
      <c r="AQ319" s="0" t="s">
        <v>516</v>
      </c>
      <c r="AR319" s="0" t="s">
        <v>390</v>
      </c>
      <c r="AS319" s="0">
        <v>260</v>
      </c>
      <c r="AT319" s="0">
        <v>555</v>
      </c>
      <c r="AU319" s="0">
        <v>652</v>
      </c>
      <c r="AV319" s="0" t="s">
        <v>332</v>
      </c>
      <c r="AX319" s="0" t="s">
        <v>3023</v>
      </c>
      <c r="AY319" s="0" t="s">
        <v>310</v>
      </c>
      <c r="AZ319" s="0" t="s">
        <v>1287</v>
      </c>
      <c r="BA319" s="0">
        <v>474</v>
      </c>
      <c r="BB319" s="0" t="s">
        <v>232</v>
      </c>
      <c r="BC319" s="0">
        <v>2</v>
      </c>
      <c r="BD319" s="0">
        <v>54045</v>
      </c>
      <c r="BE319" s="0">
        <v>334</v>
      </c>
      <c r="BF319" s="0">
        <v>4</v>
      </c>
      <c r="BG319" s="0" t="s">
        <v>3024</v>
      </c>
      <c r="BI319" s="0">
        <v>4703</v>
      </c>
      <c r="BK319" s="0" t="s">
        <v>3025</v>
      </c>
    </row>
    <row r="320">
      <c r="A320" s="0">
        <v>4873</v>
      </c>
      <c r="B320" s="0" t="s">
        <v>3026</v>
      </c>
      <c r="C320" s="0" t="s">
        <v>945</v>
      </c>
      <c r="D320" s="0" t="s">
        <v>2937</v>
      </c>
      <c r="E320" s="0" t="s">
        <v>3027</v>
      </c>
      <c r="F320" s="0">
        <v>1</v>
      </c>
      <c r="G320" s="0" t="s">
        <v>319</v>
      </c>
      <c r="H320" s="0" t="s">
        <v>523</v>
      </c>
      <c r="I320" s="0" t="s">
        <v>1268</v>
      </c>
      <c r="K320" s="0" t="s">
        <v>508</v>
      </c>
      <c r="L320" s="0" t="s">
        <v>1268</v>
      </c>
      <c r="N320" s="0" t="s">
        <v>400</v>
      </c>
      <c r="O320" s="0" t="s">
        <v>1133</v>
      </c>
      <c r="P320" s="0" t="s">
        <v>323</v>
      </c>
      <c r="Q320" s="0" t="s">
        <v>343</v>
      </c>
      <c r="R320" s="0" t="s">
        <v>3028</v>
      </c>
      <c r="U320" s="0" t="s">
        <v>3029</v>
      </c>
      <c r="X320" s="0" t="s">
        <v>529</v>
      </c>
      <c r="Y320" s="0" t="s">
        <v>181</v>
      </c>
      <c r="Z320" s="0" t="s">
        <v>1595</v>
      </c>
      <c r="AA320" s="0" t="s">
        <v>180</v>
      </c>
      <c r="AB320" s="0" t="s">
        <v>531</v>
      </c>
      <c r="AC320" s="0" t="s">
        <v>532</v>
      </c>
      <c r="AF320" s="0" t="s">
        <v>301</v>
      </c>
      <c r="AM320" s="0" t="s">
        <v>310</v>
      </c>
      <c r="AN320" s="0" t="s">
        <v>366</v>
      </c>
      <c r="AO320" s="0" t="s">
        <v>651</v>
      </c>
      <c r="AP320" s="0" t="s">
        <v>305</v>
      </c>
      <c r="AQ320" s="0" t="s">
        <v>1149</v>
      </c>
      <c r="AR320" s="0" t="s">
        <v>1415</v>
      </c>
      <c r="AS320" s="0">
        <v>215</v>
      </c>
      <c r="AT320" s="0">
        <v>306</v>
      </c>
      <c r="AU320" s="0">
        <v>344</v>
      </c>
      <c r="AV320" s="0" t="s">
        <v>332</v>
      </c>
      <c r="AW320" s="0" t="s">
        <v>332</v>
      </c>
      <c r="AX320" s="0" t="s">
        <v>3030</v>
      </c>
      <c r="AY320" s="0" t="s">
        <v>310</v>
      </c>
      <c r="AZ320" s="0" t="s">
        <v>500</v>
      </c>
      <c r="BA320" s="0">
        <v>474</v>
      </c>
      <c r="BB320" s="0" t="s">
        <v>232</v>
      </c>
      <c r="BC320" s="0">
        <v>2</v>
      </c>
      <c r="BD320" s="0">
        <v>14</v>
      </c>
      <c r="BE320" s="0">
        <v>334</v>
      </c>
      <c r="BF320" s="0">
        <v>2</v>
      </c>
      <c r="BG320" s="0" t="s">
        <v>3031</v>
      </c>
      <c r="BI320" s="0">
        <v>2148</v>
      </c>
      <c r="BK320" s="0" t="s">
        <v>3032</v>
      </c>
    </row>
    <row r="321">
      <c r="A321" s="0">
        <v>4875</v>
      </c>
      <c r="B321" s="0" t="s">
        <v>3033</v>
      </c>
      <c r="C321" s="0" t="s">
        <v>656</v>
      </c>
      <c r="D321" s="0" t="s">
        <v>2937</v>
      </c>
      <c r="E321" s="0" t="s">
        <v>3034</v>
      </c>
      <c r="F321" s="0">
        <v>1</v>
      </c>
      <c r="G321" s="0" t="s">
        <v>293</v>
      </c>
      <c r="H321" s="0" t="s">
        <v>294</v>
      </c>
      <c r="I321" s="0" t="s">
        <v>295</v>
      </c>
      <c r="P321" s="0" t="s">
        <v>323</v>
      </c>
      <c r="Q321" s="0" t="s">
        <v>323</v>
      </c>
      <c r="R321" s="0" t="s">
        <v>1791</v>
      </c>
      <c r="U321" s="0" t="s">
        <v>3035</v>
      </c>
      <c r="X321" s="0" t="s">
        <v>347</v>
      </c>
      <c r="Y321" s="0" t="s">
        <v>181</v>
      </c>
      <c r="Z321" s="0" t="s">
        <v>1595</v>
      </c>
      <c r="AA321" s="0" t="s">
        <v>180</v>
      </c>
      <c r="AB321" s="0" t="s">
        <v>531</v>
      </c>
      <c r="AC321" s="0" t="s">
        <v>532</v>
      </c>
      <c r="AF321" s="0" t="s">
        <v>301</v>
      </c>
      <c r="AM321" s="0" t="s">
        <v>650</v>
      </c>
      <c r="AN321" s="0" t="s">
        <v>3036</v>
      </c>
      <c r="AO321" s="0" t="s">
        <v>351</v>
      </c>
      <c r="AP321" s="0" t="s">
        <v>305</v>
      </c>
      <c r="AQ321" s="0" t="s">
        <v>3037</v>
      </c>
      <c r="AR321" s="0" t="s">
        <v>1432</v>
      </c>
      <c r="AS321" s="0">
        <v>60</v>
      </c>
      <c r="AT321" s="0">
        <v>140</v>
      </c>
      <c r="AU321" s="0">
        <v>160</v>
      </c>
      <c r="AV321" s="0" t="s">
        <v>332</v>
      </c>
      <c r="AX321" s="0" t="s">
        <v>3038</v>
      </c>
      <c r="AY321" s="0" t="s">
        <v>3039</v>
      </c>
      <c r="AZ321" s="0" t="s">
        <v>694</v>
      </c>
      <c r="BA321" s="0">
        <v>474</v>
      </c>
      <c r="BB321" s="0" t="s">
        <v>232</v>
      </c>
      <c r="BC321" s="0">
        <v>2</v>
      </c>
      <c r="BD321" s="0">
        <v>10</v>
      </c>
      <c r="BE321" s="0">
        <v>334</v>
      </c>
      <c r="BF321" s="0">
        <v>4</v>
      </c>
      <c r="BG321" s="0" t="s">
        <v>3040</v>
      </c>
      <c r="BI321" s="0">
        <v>2561</v>
      </c>
      <c r="BK321" s="0" t="s">
        <v>3041</v>
      </c>
    </row>
    <row r="322">
      <c r="A322" s="0">
        <v>4876</v>
      </c>
      <c r="B322" s="0" t="s">
        <v>3042</v>
      </c>
      <c r="C322" s="0" t="s">
        <v>656</v>
      </c>
      <c r="D322" s="0" t="s">
        <v>2937</v>
      </c>
      <c r="E322" s="0" t="s">
        <v>3043</v>
      </c>
      <c r="F322" s="0">
        <v>2</v>
      </c>
      <c r="G322" s="0" t="s">
        <v>293</v>
      </c>
      <c r="H322" s="0" t="s">
        <v>294</v>
      </c>
      <c r="I322" s="0" t="s">
        <v>295</v>
      </c>
      <c r="P322" s="0" t="s">
        <v>323</v>
      </c>
      <c r="Q322" s="0" t="s">
        <v>323</v>
      </c>
      <c r="R322" s="0" t="s">
        <v>1791</v>
      </c>
      <c r="U322" s="0" t="s">
        <v>3044</v>
      </c>
      <c r="X322" s="0" t="s">
        <v>347</v>
      </c>
      <c r="Y322" s="0" t="s">
        <v>181</v>
      </c>
      <c r="Z322" s="0" t="s">
        <v>1595</v>
      </c>
      <c r="AA322" s="0" t="s">
        <v>180</v>
      </c>
      <c r="AB322" s="0" t="s">
        <v>531</v>
      </c>
      <c r="AC322" s="0" t="s">
        <v>532</v>
      </c>
      <c r="AF322" s="0" t="s">
        <v>301</v>
      </c>
      <c r="AM322" s="0" t="s">
        <v>650</v>
      </c>
      <c r="AN322" s="0" t="s">
        <v>1503</v>
      </c>
      <c r="AO322" s="0" t="s">
        <v>351</v>
      </c>
      <c r="AP322" s="0" t="s">
        <v>305</v>
      </c>
      <c r="AQ322" s="0" t="s">
        <v>1581</v>
      </c>
      <c r="AR322" s="0" t="s">
        <v>515</v>
      </c>
      <c r="AS322" s="0">
        <v>120</v>
      </c>
      <c r="AT322" s="0">
        <v>265</v>
      </c>
      <c r="AU322" s="0">
        <v>300</v>
      </c>
      <c r="AV322" s="0" t="s">
        <v>332</v>
      </c>
      <c r="AX322" s="0" t="s">
        <v>3038</v>
      </c>
      <c r="AY322" s="0" t="s">
        <v>3045</v>
      </c>
      <c r="AZ322" s="0" t="s">
        <v>694</v>
      </c>
      <c r="BA322" s="0">
        <v>474</v>
      </c>
      <c r="BB322" s="0" t="s">
        <v>232</v>
      </c>
      <c r="BC322" s="0">
        <v>2</v>
      </c>
      <c r="BD322" s="0">
        <v>10</v>
      </c>
      <c r="BE322" s="0">
        <v>334</v>
      </c>
      <c r="BF322" s="0">
        <v>4</v>
      </c>
      <c r="BG322" s="0" t="s">
        <v>3046</v>
      </c>
      <c r="BI322" s="0">
        <v>2738</v>
      </c>
      <c r="BK322" s="0" t="s">
        <v>3047</v>
      </c>
    </row>
    <row r="323">
      <c r="A323" s="0">
        <v>4883</v>
      </c>
      <c r="B323" s="0" t="s">
        <v>3048</v>
      </c>
      <c r="C323" s="0" t="s">
        <v>315</v>
      </c>
      <c r="D323" s="0" t="s">
        <v>2937</v>
      </c>
      <c r="E323" s="0" t="s">
        <v>3049</v>
      </c>
      <c r="F323" s="0">
        <v>2</v>
      </c>
      <c r="G323" s="0" t="s">
        <v>555</v>
      </c>
      <c r="H323" s="0" t="s">
        <v>1112</v>
      </c>
      <c r="I323" s="0" t="s">
        <v>3050</v>
      </c>
      <c r="P323" s="0" t="s">
        <v>343</v>
      </c>
      <c r="Q323" s="0" t="s">
        <v>343</v>
      </c>
      <c r="U323" s="0" t="s">
        <v>3051</v>
      </c>
      <c r="X323" s="0" t="s">
        <v>347</v>
      </c>
      <c r="Y323" s="0" t="s">
        <v>181</v>
      </c>
      <c r="Z323" s="0" t="s">
        <v>1595</v>
      </c>
      <c r="AA323" s="0" t="s">
        <v>180</v>
      </c>
      <c r="AB323" s="0" t="s">
        <v>531</v>
      </c>
      <c r="AC323" s="0" t="s">
        <v>532</v>
      </c>
      <c r="AF323" s="0" t="s">
        <v>301</v>
      </c>
      <c r="AM323" s="0" t="s">
        <v>513</v>
      </c>
      <c r="AN323" s="0" t="s">
        <v>504</v>
      </c>
      <c r="AO323" s="0" t="s">
        <v>598</v>
      </c>
      <c r="AP323" s="0" t="s">
        <v>305</v>
      </c>
      <c r="AQ323" s="0" t="s">
        <v>3052</v>
      </c>
      <c r="AR323" s="0" t="s">
        <v>1182</v>
      </c>
      <c r="AS323" s="0">
        <v>146</v>
      </c>
      <c r="AT323" s="0">
        <v>236</v>
      </c>
      <c r="AU323" s="0">
        <v>360</v>
      </c>
      <c r="AV323" s="0" t="s">
        <v>308</v>
      </c>
      <c r="AX323" s="0" t="s">
        <v>1503</v>
      </c>
      <c r="AY323" s="0" t="s">
        <v>310</v>
      </c>
      <c r="AZ323" s="0" t="s">
        <v>1875</v>
      </c>
      <c r="BA323" s="0">
        <v>474</v>
      </c>
      <c r="BB323" s="0" t="s">
        <v>232</v>
      </c>
      <c r="BC323" s="0">
        <v>2</v>
      </c>
      <c r="BD323" s="0">
        <v>374043</v>
      </c>
      <c r="BE323" s="0">
        <v>334</v>
      </c>
      <c r="BF323" s="0">
        <v>4</v>
      </c>
      <c r="BG323" s="0" t="s">
        <v>3053</v>
      </c>
      <c r="BI323" s="0">
        <v>4149</v>
      </c>
      <c r="BK323" s="0" t="s">
        <v>3054</v>
      </c>
    </row>
    <row r="324">
      <c r="A324" s="0">
        <v>4886</v>
      </c>
      <c r="B324" s="0" t="s">
        <v>1821</v>
      </c>
      <c r="C324" s="0" t="s">
        <v>1139</v>
      </c>
      <c r="D324" s="0" t="s">
        <v>2937</v>
      </c>
      <c r="E324" s="0" t="s">
        <v>1822</v>
      </c>
      <c r="F324" s="0">
        <v>1</v>
      </c>
      <c r="G324" s="0" t="s">
        <v>293</v>
      </c>
      <c r="H324" s="0" t="s">
        <v>294</v>
      </c>
      <c r="I324" s="0" t="s">
        <v>295</v>
      </c>
      <c r="P324" s="0" t="s">
        <v>343</v>
      </c>
      <c r="Q324" s="0" t="s">
        <v>343</v>
      </c>
      <c r="U324" s="0" t="s">
        <v>3055</v>
      </c>
      <c r="X324" s="0" t="s">
        <v>347</v>
      </c>
      <c r="Y324" s="0" t="s">
        <v>181</v>
      </c>
      <c r="Z324" s="0" t="s">
        <v>1595</v>
      </c>
      <c r="AA324" s="0" t="s">
        <v>180</v>
      </c>
      <c r="AB324" s="0" t="s">
        <v>531</v>
      </c>
      <c r="AC324" s="0" t="s">
        <v>532</v>
      </c>
      <c r="AF324" s="0" t="s">
        <v>301</v>
      </c>
      <c r="AM324" s="0" t="s">
        <v>3056</v>
      </c>
      <c r="AN324" s="0" t="s">
        <v>2788</v>
      </c>
      <c r="AO324" s="0" t="s">
        <v>3057</v>
      </c>
      <c r="AP324" s="0" t="s">
        <v>305</v>
      </c>
      <c r="AQ324" s="0" t="s">
        <v>2790</v>
      </c>
      <c r="AR324" s="0" t="s">
        <v>883</v>
      </c>
      <c r="AS324" s="0">
        <v>288</v>
      </c>
      <c r="AT324" s="0">
        <v>604</v>
      </c>
      <c r="AU324" s="0">
        <v>702</v>
      </c>
      <c r="AV324" s="0" t="s">
        <v>332</v>
      </c>
      <c r="AX324" s="0" t="s">
        <v>392</v>
      </c>
      <c r="AY324" s="0" t="s">
        <v>3038</v>
      </c>
      <c r="AZ324" s="0" t="s">
        <v>475</v>
      </c>
      <c r="BA324" s="0">
        <v>474</v>
      </c>
      <c r="BB324" s="0" t="s">
        <v>232</v>
      </c>
      <c r="BC324" s="0">
        <v>2</v>
      </c>
      <c r="BD324" s="0">
        <v>38030</v>
      </c>
      <c r="BE324" s="0">
        <v>334</v>
      </c>
      <c r="BF324" s="0">
        <v>4</v>
      </c>
      <c r="BG324" s="0" t="s">
        <v>3058</v>
      </c>
      <c r="BI324" s="0">
        <v>3717</v>
      </c>
      <c r="BK324" s="0" t="s">
        <v>3059</v>
      </c>
    </row>
    <row r="325">
      <c r="A325" s="0">
        <v>5000</v>
      </c>
      <c r="B325" s="0" t="s">
        <v>3060</v>
      </c>
      <c r="C325" s="0" t="s">
        <v>315</v>
      </c>
      <c r="D325" s="0" t="s">
        <v>1538</v>
      </c>
      <c r="E325" s="0" t="s">
        <v>3061</v>
      </c>
      <c r="F325" s="0">
        <v>1</v>
      </c>
      <c r="G325" s="0" t="s">
        <v>319</v>
      </c>
      <c r="H325" s="0" t="s">
        <v>398</v>
      </c>
      <c r="I325" s="0" t="s">
        <v>948</v>
      </c>
      <c r="J325" s="0" t="s">
        <v>594</v>
      </c>
      <c r="L325" s="0" t="s">
        <v>549</v>
      </c>
      <c r="P325" s="0" t="s">
        <v>323</v>
      </c>
      <c r="Q325" s="0" t="s">
        <v>2766</v>
      </c>
      <c r="R325" s="0" t="s">
        <v>673</v>
      </c>
      <c r="T325" s="0" t="s">
        <v>3062</v>
      </c>
      <c r="U325" s="0" t="s">
        <v>3063</v>
      </c>
      <c r="X325" s="0" t="s">
        <v>529</v>
      </c>
      <c r="Y325" s="0" t="s">
        <v>181</v>
      </c>
      <c r="Z325" s="0" t="s">
        <v>1595</v>
      </c>
      <c r="AA325" s="0" t="s">
        <v>180</v>
      </c>
      <c r="AB325" s="0" t="s">
        <v>531</v>
      </c>
      <c r="AC325" s="0" t="s">
        <v>532</v>
      </c>
      <c r="AF325" s="0" t="s">
        <v>301</v>
      </c>
      <c r="AM325" s="0" t="s">
        <v>3064</v>
      </c>
      <c r="AN325" s="0" t="s">
        <v>3065</v>
      </c>
      <c r="AO325" s="0" t="s">
        <v>3066</v>
      </c>
      <c r="AP325" s="0" t="s">
        <v>305</v>
      </c>
      <c r="AQ325" s="0" t="s">
        <v>3067</v>
      </c>
      <c r="AR325" s="0" t="s">
        <v>3068</v>
      </c>
      <c r="AS325" s="0">
        <v>10</v>
      </c>
      <c r="AT325" s="0">
        <v>21</v>
      </c>
      <c r="AU325" s="0">
        <v>28</v>
      </c>
      <c r="AV325" s="0" t="s">
        <v>3069</v>
      </c>
      <c r="AW325" s="0" t="s">
        <v>977</v>
      </c>
      <c r="AX325" s="0" t="s">
        <v>3070</v>
      </c>
      <c r="AY325" s="0" t="s">
        <v>3071</v>
      </c>
      <c r="AZ325" s="0" t="s">
        <v>1236</v>
      </c>
      <c r="BA325" s="0">
        <v>474</v>
      </c>
      <c r="BB325" s="0" t="s">
        <v>232</v>
      </c>
      <c r="BC325" s="0">
        <v>2</v>
      </c>
      <c r="BD325" s="0">
        <v>374043</v>
      </c>
      <c r="BE325" s="0">
        <v>334</v>
      </c>
      <c r="BF325" s="0">
        <v>2</v>
      </c>
      <c r="BG325" s="0" t="s">
        <v>3072</v>
      </c>
      <c r="BI325" s="0">
        <v>4728</v>
      </c>
      <c r="BK325" s="0" t="s">
        <v>3073</v>
      </c>
    </row>
    <row r="326">
      <c r="A326" s="0">
        <v>4870</v>
      </c>
      <c r="B326" s="0" t="s">
        <v>3074</v>
      </c>
      <c r="C326" s="0" t="s">
        <v>656</v>
      </c>
      <c r="D326" s="0" t="s">
        <v>2937</v>
      </c>
      <c r="E326" s="0" t="s">
        <v>3075</v>
      </c>
      <c r="F326" s="0">
        <v>1</v>
      </c>
      <c r="G326" s="0" t="s">
        <v>293</v>
      </c>
      <c r="H326" s="0" t="s">
        <v>294</v>
      </c>
      <c r="I326" s="0" t="s">
        <v>918</v>
      </c>
      <c r="P326" s="0" t="s">
        <v>323</v>
      </c>
      <c r="Q326" s="0" t="s">
        <v>323</v>
      </c>
      <c r="R326" s="0" t="s">
        <v>1620</v>
      </c>
      <c r="U326" s="0" t="s">
        <v>3076</v>
      </c>
      <c r="X326" s="0" t="s">
        <v>347</v>
      </c>
      <c r="Y326" s="0" t="s">
        <v>181</v>
      </c>
      <c r="Z326" s="0" t="s">
        <v>1595</v>
      </c>
      <c r="AA326" s="0" t="s">
        <v>180</v>
      </c>
      <c r="AB326" s="0" t="s">
        <v>531</v>
      </c>
      <c r="AC326" s="0" t="s">
        <v>532</v>
      </c>
      <c r="AF326" s="0" t="s">
        <v>301</v>
      </c>
      <c r="AM326" s="0" t="s">
        <v>503</v>
      </c>
      <c r="AN326" s="0" t="s">
        <v>1066</v>
      </c>
      <c r="AO326" s="0" t="s">
        <v>391</v>
      </c>
      <c r="AP326" s="0" t="s">
        <v>305</v>
      </c>
      <c r="AQ326" s="0" t="s">
        <v>307</v>
      </c>
      <c r="AR326" s="0" t="s">
        <v>424</v>
      </c>
      <c r="AS326" s="0">
        <v>120</v>
      </c>
      <c r="AT326" s="0">
        <v>260</v>
      </c>
      <c r="AU326" s="0">
        <v>315</v>
      </c>
      <c r="AV326" s="0" t="s">
        <v>332</v>
      </c>
      <c r="AX326" s="0" t="s">
        <v>350</v>
      </c>
      <c r="AY326" s="0" t="s">
        <v>503</v>
      </c>
      <c r="AZ326" s="0" t="s">
        <v>1070</v>
      </c>
      <c r="BA326" s="0">
        <v>474</v>
      </c>
      <c r="BB326" s="0" t="s">
        <v>232</v>
      </c>
      <c r="BC326" s="0">
        <v>2</v>
      </c>
      <c r="BD326" s="0">
        <v>10</v>
      </c>
      <c r="BE326" s="0">
        <v>334</v>
      </c>
      <c r="BF326" s="0">
        <v>4</v>
      </c>
      <c r="BG326" s="0" t="s">
        <v>3077</v>
      </c>
      <c r="BI326" s="0">
        <v>1403</v>
      </c>
      <c r="BK326" s="0" t="s">
        <v>3078</v>
      </c>
    </row>
    <row r="327">
      <c r="A327" s="0">
        <v>4877</v>
      </c>
      <c r="B327" s="0" t="s">
        <v>3079</v>
      </c>
      <c r="C327" s="0" t="s">
        <v>1139</v>
      </c>
      <c r="D327" s="0" t="s">
        <v>2937</v>
      </c>
      <c r="E327" s="0" t="s">
        <v>3080</v>
      </c>
      <c r="F327" s="0">
        <v>1</v>
      </c>
      <c r="G327" s="0" t="s">
        <v>293</v>
      </c>
      <c r="H327" s="0" t="s">
        <v>294</v>
      </c>
      <c r="I327" s="0" t="s">
        <v>295</v>
      </c>
      <c r="P327" s="0" t="s">
        <v>343</v>
      </c>
      <c r="Q327" s="0" t="s">
        <v>343</v>
      </c>
      <c r="T327" s="0" t="s">
        <v>3081</v>
      </c>
      <c r="U327" s="0" t="s">
        <v>3082</v>
      </c>
      <c r="X327" s="0" t="s">
        <v>347</v>
      </c>
      <c r="Y327" s="0" t="s">
        <v>181</v>
      </c>
      <c r="Z327" s="0" t="s">
        <v>1595</v>
      </c>
      <c r="AA327" s="0" t="s">
        <v>180</v>
      </c>
      <c r="AB327" s="0" t="s">
        <v>531</v>
      </c>
      <c r="AC327" s="0" t="s">
        <v>532</v>
      </c>
      <c r="AF327" s="0" t="s">
        <v>301</v>
      </c>
      <c r="AM327" s="0" t="s">
        <v>387</v>
      </c>
      <c r="AN327" s="0" t="s">
        <v>387</v>
      </c>
      <c r="AO327" s="0" t="s">
        <v>1482</v>
      </c>
      <c r="AP327" s="0" t="s">
        <v>305</v>
      </c>
      <c r="AQ327" s="0" t="s">
        <v>423</v>
      </c>
      <c r="AR327" s="0" t="s">
        <v>1415</v>
      </c>
      <c r="AS327" s="0">
        <v>412</v>
      </c>
      <c r="AT327" s="0">
        <v>830</v>
      </c>
      <c r="AU327" s="0">
        <v>1029</v>
      </c>
      <c r="AV327" s="0" t="s">
        <v>332</v>
      </c>
      <c r="AX327" s="0" t="s">
        <v>443</v>
      </c>
      <c r="AY327" s="0" t="s">
        <v>598</v>
      </c>
      <c r="AZ327" s="0" t="s">
        <v>1182</v>
      </c>
      <c r="BA327" s="0">
        <v>474</v>
      </c>
      <c r="BB327" s="0" t="s">
        <v>232</v>
      </c>
      <c r="BC327" s="0">
        <v>2</v>
      </c>
      <c r="BD327" s="0">
        <v>38030</v>
      </c>
      <c r="BE327" s="0">
        <v>334</v>
      </c>
      <c r="BF327" s="0">
        <v>4</v>
      </c>
      <c r="BG327" s="0" t="s">
        <v>3083</v>
      </c>
      <c r="BI327" s="0">
        <v>3076</v>
      </c>
      <c r="BK327" s="0" t="s">
        <v>3084</v>
      </c>
    </row>
    <row r="328">
      <c r="A328" s="0">
        <v>4878</v>
      </c>
      <c r="B328" s="0" t="s">
        <v>2512</v>
      </c>
      <c r="C328" s="0" t="s">
        <v>1139</v>
      </c>
      <c r="D328" s="0" t="s">
        <v>2937</v>
      </c>
      <c r="E328" s="0" t="s">
        <v>2513</v>
      </c>
      <c r="F328" s="0">
        <v>1</v>
      </c>
      <c r="G328" s="0" t="s">
        <v>293</v>
      </c>
      <c r="H328" s="0" t="s">
        <v>294</v>
      </c>
      <c r="I328" s="0" t="s">
        <v>295</v>
      </c>
      <c r="P328" s="0" t="s">
        <v>343</v>
      </c>
      <c r="Q328" s="0" t="s">
        <v>343</v>
      </c>
      <c r="U328" s="0" t="s">
        <v>3085</v>
      </c>
      <c r="X328" s="0" t="s">
        <v>347</v>
      </c>
      <c r="Y328" s="0" t="s">
        <v>181</v>
      </c>
      <c r="Z328" s="0" t="s">
        <v>1595</v>
      </c>
      <c r="AA328" s="0" t="s">
        <v>180</v>
      </c>
      <c r="AB328" s="0" t="s">
        <v>531</v>
      </c>
      <c r="AC328" s="0" t="s">
        <v>532</v>
      </c>
      <c r="AF328" s="0" t="s">
        <v>301</v>
      </c>
      <c r="AM328" s="0" t="s">
        <v>387</v>
      </c>
      <c r="AN328" s="0" t="s">
        <v>387</v>
      </c>
      <c r="AO328" s="0" t="s">
        <v>763</v>
      </c>
      <c r="AP328" s="0" t="s">
        <v>305</v>
      </c>
      <c r="AQ328" s="0" t="s">
        <v>3086</v>
      </c>
      <c r="AR328" s="0" t="s">
        <v>3087</v>
      </c>
      <c r="AS328" s="0">
        <v>412</v>
      </c>
      <c r="AT328" s="0">
        <v>830</v>
      </c>
      <c r="AU328" s="0">
        <v>1029</v>
      </c>
      <c r="AV328" s="0" t="s">
        <v>332</v>
      </c>
      <c r="AW328" s="0" t="s">
        <v>332</v>
      </c>
      <c r="AX328" s="0" t="s">
        <v>443</v>
      </c>
      <c r="AY328" s="0" t="s">
        <v>598</v>
      </c>
      <c r="AZ328" s="0" t="s">
        <v>1182</v>
      </c>
      <c r="BA328" s="0">
        <v>474</v>
      </c>
      <c r="BB328" s="0" t="s">
        <v>232</v>
      </c>
      <c r="BC328" s="0">
        <v>2</v>
      </c>
      <c r="BD328" s="0">
        <v>38030</v>
      </c>
      <c r="BE328" s="0">
        <v>334</v>
      </c>
      <c r="BF328" s="0">
        <v>4</v>
      </c>
      <c r="BG328" s="0" t="s">
        <v>3088</v>
      </c>
      <c r="BI328" s="0">
        <v>2911</v>
      </c>
      <c r="BK328" s="0" t="s">
        <v>3089</v>
      </c>
    </row>
    <row r="329">
      <c r="A329" s="0">
        <v>4882</v>
      </c>
      <c r="B329" s="0" t="s">
        <v>3090</v>
      </c>
      <c r="C329" s="0" t="s">
        <v>1139</v>
      </c>
      <c r="D329" s="0" t="s">
        <v>2937</v>
      </c>
      <c r="E329" s="0" t="s">
        <v>3091</v>
      </c>
      <c r="F329" s="0">
        <v>1</v>
      </c>
      <c r="G329" s="0" t="s">
        <v>293</v>
      </c>
      <c r="H329" s="0" t="s">
        <v>294</v>
      </c>
      <c r="I329" s="0" t="s">
        <v>918</v>
      </c>
      <c r="P329" s="0" t="s">
        <v>343</v>
      </c>
      <c r="Q329" s="0" t="s">
        <v>343</v>
      </c>
      <c r="T329" s="0" t="s">
        <v>3092</v>
      </c>
      <c r="U329" s="0" t="s">
        <v>3093</v>
      </c>
      <c r="X329" s="0" t="s">
        <v>347</v>
      </c>
      <c r="Y329" s="0" t="s">
        <v>181</v>
      </c>
      <c r="Z329" s="0" t="s">
        <v>1595</v>
      </c>
      <c r="AA329" s="0" t="s">
        <v>180</v>
      </c>
      <c r="AB329" s="0" t="s">
        <v>531</v>
      </c>
      <c r="AC329" s="0" t="s">
        <v>532</v>
      </c>
      <c r="AF329" s="0" t="s">
        <v>301</v>
      </c>
      <c r="AM329" s="0" t="s">
        <v>1300</v>
      </c>
      <c r="AN329" s="0" t="s">
        <v>387</v>
      </c>
      <c r="AO329" s="0" t="s">
        <v>1069</v>
      </c>
      <c r="AP329" s="0" t="s">
        <v>305</v>
      </c>
      <c r="AQ329" s="0" t="s">
        <v>1828</v>
      </c>
      <c r="AR329" s="0" t="s">
        <v>1434</v>
      </c>
      <c r="AS329" s="0">
        <v>136</v>
      </c>
      <c r="AT329" s="0">
        <v>283</v>
      </c>
      <c r="AU329" s="0">
        <v>344</v>
      </c>
      <c r="AV329" s="0" t="s">
        <v>332</v>
      </c>
      <c r="AW329" s="0" t="s">
        <v>332</v>
      </c>
      <c r="AX329" s="0" t="s">
        <v>3094</v>
      </c>
      <c r="AY329" s="0" t="s">
        <v>335</v>
      </c>
      <c r="AZ329" s="0" t="s">
        <v>475</v>
      </c>
      <c r="BA329" s="0">
        <v>474</v>
      </c>
      <c r="BB329" s="0" t="s">
        <v>232</v>
      </c>
      <c r="BC329" s="0">
        <v>2</v>
      </c>
      <c r="BD329" s="0">
        <v>38030</v>
      </c>
      <c r="BE329" s="0">
        <v>334</v>
      </c>
      <c r="BF329" s="0">
        <v>4</v>
      </c>
      <c r="BG329" s="0" t="s">
        <v>3095</v>
      </c>
      <c r="BI329" s="0">
        <v>4075</v>
      </c>
      <c r="BK329" s="0" t="s">
        <v>3096</v>
      </c>
    </row>
    <row r="330">
      <c r="A330" s="0">
        <v>4868</v>
      </c>
      <c r="B330" s="0" t="s">
        <v>3097</v>
      </c>
      <c r="C330" s="0" t="s">
        <v>339</v>
      </c>
      <c r="D330" s="0" t="s">
        <v>2937</v>
      </c>
      <c r="E330" s="0" t="s">
        <v>3098</v>
      </c>
      <c r="F330" s="0">
        <v>1</v>
      </c>
      <c r="G330" s="0" t="s">
        <v>400</v>
      </c>
      <c r="H330" s="0" t="s">
        <v>400</v>
      </c>
      <c r="I330" s="0" t="s">
        <v>1133</v>
      </c>
      <c r="J330" s="0" t="s">
        <v>1590</v>
      </c>
      <c r="L330" s="0" t="s">
        <v>1591</v>
      </c>
      <c r="P330" s="0" t="s">
        <v>1592</v>
      </c>
      <c r="Q330" s="0" t="s">
        <v>1592</v>
      </c>
      <c r="R330" s="0" t="s">
        <v>556</v>
      </c>
      <c r="T330" s="0" t="s">
        <v>3099</v>
      </c>
      <c r="U330" s="0" t="s">
        <v>3100</v>
      </c>
      <c r="X330" s="0" t="s">
        <v>347</v>
      </c>
      <c r="Y330" s="0" t="s">
        <v>181</v>
      </c>
      <c r="Z330" s="0" t="s">
        <v>1595</v>
      </c>
      <c r="AA330" s="0" t="s">
        <v>180</v>
      </c>
      <c r="AB330" s="0" t="s">
        <v>531</v>
      </c>
      <c r="AC330" s="0" t="s">
        <v>532</v>
      </c>
      <c r="AF330" s="0" t="s">
        <v>301</v>
      </c>
      <c r="AM330" s="0" t="s">
        <v>1875</v>
      </c>
      <c r="AN330" s="0" t="s">
        <v>1320</v>
      </c>
      <c r="AO330" s="0" t="s">
        <v>3101</v>
      </c>
      <c r="AP330" s="0" t="s">
        <v>305</v>
      </c>
      <c r="AQ330" s="0" t="s">
        <v>1149</v>
      </c>
      <c r="AR330" s="0" t="s">
        <v>502</v>
      </c>
      <c r="AS330" s="0">
        <v>24</v>
      </c>
      <c r="AT330" s="0">
        <v>56</v>
      </c>
      <c r="AU330" s="0">
        <v>78</v>
      </c>
      <c r="AV330" s="0" t="s">
        <v>332</v>
      </c>
      <c r="AX330" s="0" t="s">
        <v>747</v>
      </c>
      <c r="AY330" s="0" t="s">
        <v>474</v>
      </c>
      <c r="AZ330" s="0" t="s">
        <v>353</v>
      </c>
      <c r="BA330" s="0">
        <v>474</v>
      </c>
      <c r="BB330" s="0" t="s">
        <v>232</v>
      </c>
      <c r="BC330" s="0">
        <v>2</v>
      </c>
      <c r="BD330" s="0">
        <v>8</v>
      </c>
      <c r="BE330" s="0">
        <v>334</v>
      </c>
      <c r="BF330" s="0">
        <v>4</v>
      </c>
      <c r="BG330" s="0" t="s">
        <v>3102</v>
      </c>
      <c r="BI330" s="0">
        <v>760</v>
      </c>
      <c r="BK330" s="0" t="s">
        <v>3103</v>
      </c>
    </row>
    <row r="331">
      <c r="A331" s="0">
        <v>4871</v>
      </c>
      <c r="B331" s="0" t="s">
        <v>3104</v>
      </c>
      <c r="C331" s="0" t="s">
        <v>339</v>
      </c>
      <c r="D331" s="0" t="s">
        <v>2937</v>
      </c>
      <c r="E331" s="0" t="s">
        <v>3105</v>
      </c>
      <c r="F331" s="0">
        <v>1</v>
      </c>
      <c r="G331" s="0" t="s">
        <v>594</v>
      </c>
      <c r="H331" s="0" t="s">
        <v>508</v>
      </c>
      <c r="I331" s="0" t="s">
        <v>1133</v>
      </c>
      <c r="J331" s="0" t="s">
        <v>1590</v>
      </c>
      <c r="L331" s="0" t="s">
        <v>1591</v>
      </c>
      <c r="P331" s="0" t="s">
        <v>323</v>
      </c>
      <c r="Q331" s="0" t="s">
        <v>343</v>
      </c>
      <c r="R331" s="0" t="s">
        <v>556</v>
      </c>
      <c r="T331" s="0" t="s">
        <v>3106</v>
      </c>
      <c r="U331" s="0" t="s">
        <v>3107</v>
      </c>
      <c r="X331" s="0" t="s">
        <v>347</v>
      </c>
      <c r="Y331" s="0" t="s">
        <v>181</v>
      </c>
      <c r="Z331" s="0" t="s">
        <v>1595</v>
      </c>
      <c r="AA331" s="0" t="s">
        <v>180</v>
      </c>
      <c r="AB331" s="0" t="s">
        <v>531</v>
      </c>
      <c r="AC331" s="0" t="s">
        <v>532</v>
      </c>
      <c r="AF331" s="0" t="s">
        <v>301</v>
      </c>
      <c r="AM331" s="0" t="s">
        <v>2372</v>
      </c>
      <c r="AN331" s="0" t="s">
        <v>348</v>
      </c>
      <c r="AO331" s="0" t="s">
        <v>2372</v>
      </c>
      <c r="AP331" s="0" t="s">
        <v>305</v>
      </c>
      <c r="AQ331" s="0" t="s">
        <v>2984</v>
      </c>
      <c r="AR331" s="0" t="s">
        <v>1077</v>
      </c>
      <c r="AS331" s="0">
        <v>180</v>
      </c>
      <c r="AT331" s="0">
        <v>400</v>
      </c>
      <c r="AU331" s="0">
        <v>442</v>
      </c>
      <c r="AV331" s="0" t="s">
        <v>332</v>
      </c>
      <c r="AX331" s="0" t="s">
        <v>2774</v>
      </c>
      <c r="AY331" s="0" t="s">
        <v>816</v>
      </c>
      <c r="AZ331" s="0" t="s">
        <v>2982</v>
      </c>
      <c r="BA331" s="0">
        <v>474</v>
      </c>
      <c r="BB331" s="0" t="s">
        <v>232</v>
      </c>
      <c r="BC331" s="0">
        <v>2</v>
      </c>
      <c r="BD331" s="0">
        <v>8</v>
      </c>
      <c r="BE331" s="0">
        <v>334</v>
      </c>
      <c r="BF331" s="0">
        <v>4</v>
      </c>
      <c r="BG331" s="0" t="s">
        <v>3108</v>
      </c>
      <c r="BI331" s="0">
        <v>1672</v>
      </c>
      <c r="BK331" s="0" t="s">
        <v>3109</v>
      </c>
    </row>
    <row r="332">
      <c r="A332" s="0">
        <v>4879</v>
      </c>
      <c r="B332" s="0" t="s">
        <v>3110</v>
      </c>
      <c r="C332" s="0" t="s">
        <v>339</v>
      </c>
      <c r="D332" s="0" t="s">
        <v>2937</v>
      </c>
      <c r="E332" s="0" t="s">
        <v>3111</v>
      </c>
      <c r="F332" s="0">
        <v>3</v>
      </c>
      <c r="G332" s="0" t="s">
        <v>543</v>
      </c>
      <c r="H332" s="0" t="s">
        <v>3112</v>
      </c>
      <c r="I332" s="0" t="s">
        <v>729</v>
      </c>
      <c r="J332" s="0" t="s">
        <v>594</v>
      </c>
      <c r="K332" s="0" t="s">
        <v>594</v>
      </c>
      <c r="L332" s="0" t="s">
        <v>729</v>
      </c>
      <c r="M332" s="0" t="s">
        <v>293</v>
      </c>
      <c r="N332" s="0" t="s">
        <v>3113</v>
      </c>
      <c r="O332" s="0" t="s">
        <v>3114</v>
      </c>
      <c r="P332" s="0" t="s">
        <v>323</v>
      </c>
      <c r="Q332" s="0" t="s">
        <v>323</v>
      </c>
      <c r="R332" s="0" t="s">
        <v>1791</v>
      </c>
      <c r="T332" s="0" t="s">
        <v>3115</v>
      </c>
      <c r="U332" s="0" t="s">
        <v>3116</v>
      </c>
      <c r="X332" s="0" t="s">
        <v>529</v>
      </c>
      <c r="Y332" s="0" t="s">
        <v>181</v>
      </c>
      <c r="Z332" s="0" t="s">
        <v>1595</v>
      </c>
      <c r="AA332" s="0" t="s">
        <v>180</v>
      </c>
      <c r="AB332" s="0" t="s">
        <v>531</v>
      </c>
      <c r="AC332" s="0" t="s">
        <v>532</v>
      </c>
      <c r="AF332" s="0" t="s">
        <v>301</v>
      </c>
      <c r="AM332" s="0" t="s">
        <v>387</v>
      </c>
      <c r="AN332" s="0" t="s">
        <v>387</v>
      </c>
      <c r="AO332" s="0" t="s">
        <v>304</v>
      </c>
      <c r="AP332" s="0" t="s">
        <v>305</v>
      </c>
      <c r="AQ332" s="0" t="s">
        <v>1415</v>
      </c>
      <c r="AR332" s="0" t="s">
        <v>489</v>
      </c>
      <c r="AS332" s="0">
        <v>56</v>
      </c>
      <c r="AT332" s="0">
        <v>120</v>
      </c>
      <c r="AU332" s="0">
        <v>147</v>
      </c>
      <c r="AV332" s="0" t="s">
        <v>332</v>
      </c>
      <c r="AW332" s="0" t="s">
        <v>332</v>
      </c>
      <c r="AX332" s="0" t="s">
        <v>350</v>
      </c>
      <c r="AY332" s="0" t="s">
        <v>491</v>
      </c>
      <c r="AZ332" s="0" t="s">
        <v>310</v>
      </c>
      <c r="BA332" s="0">
        <v>474</v>
      </c>
      <c r="BB332" s="0" t="s">
        <v>232</v>
      </c>
      <c r="BC332" s="0">
        <v>2</v>
      </c>
      <c r="BD332" s="0">
        <v>8</v>
      </c>
      <c r="BE332" s="0">
        <v>334</v>
      </c>
      <c r="BF332" s="0">
        <v>2</v>
      </c>
      <c r="BG332" s="0" t="s">
        <v>3117</v>
      </c>
      <c r="BI332" s="0">
        <v>3228</v>
      </c>
      <c r="BK332" s="0" t="s">
        <v>3118</v>
      </c>
    </row>
    <row r="333">
      <c r="A333" s="0">
        <v>4880</v>
      </c>
      <c r="B333" s="0" t="s">
        <v>3119</v>
      </c>
      <c r="C333" s="0" t="s">
        <v>339</v>
      </c>
      <c r="D333" s="0" t="s">
        <v>2937</v>
      </c>
      <c r="E333" s="0" t="s">
        <v>3120</v>
      </c>
      <c r="F333" s="0">
        <v>1</v>
      </c>
      <c r="G333" s="0" t="s">
        <v>319</v>
      </c>
      <c r="H333" s="0" t="s">
        <v>3121</v>
      </c>
      <c r="I333" s="0" t="s">
        <v>1683</v>
      </c>
      <c r="J333" s="0" t="s">
        <v>594</v>
      </c>
      <c r="L333" s="0" t="s">
        <v>1683</v>
      </c>
      <c r="P333" s="0" t="s">
        <v>323</v>
      </c>
      <c r="Q333" s="0" t="s">
        <v>323</v>
      </c>
      <c r="R333" s="0" t="s">
        <v>1783</v>
      </c>
      <c r="U333" s="0" t="s">
        <v>3122</v>
      </c>
      <c r="X333" s="0" t="s">
        <v>347</v>
      </c>
      <c r="Y333" s="0" t="s">
        <v>181</v>
      </c>
      <c r="Z333" s="0" t="s">
        <v>1595</v>
      </c>
      <c r="AA333" s="0" t="s">
        <v>180</v>
      </c>
      <c r="AB333" s="0" t="s">
        <v>531</v>
      </c>
      <c r="AC333" s="0" t="s">
        <v>532</v>
      </c>
      <c r="AF333" s="0" t="s">
        <v>301</v>
      </c>
      <c r="AM333" s="0" t="s">
        <v>353</v>
      </c>
      <c r="AN333" s="0" t="s">
        <v>626</v>
      </c>
      <c r="AO333" s="0" t="s">
        <v>912</v>
      </c>
      <c r="AP333" s="0" t="s">
        <v>305</v>
      </c>
      <c r="AQ333" s="0" t="s">
        <v>2982</v>
      </c>
      <c r="AR333" s="0" t="s">
        <v>924</v>
      </c>
      <c r="AS333" s="0">
        <v>12</v>
      </c>
      <c r="AT333" s="0">
        <v>24</v>
      </c>
      <c r="AU333" s="0">
        <v>36</v>
      </c>
      <c r="AV333" s="0" t="s">
        <v>332</v>
      </c>
      <c r="AX333" s="0" t="s">
        <v>392</v>
      </c>
      <c r="AY333" s="0" t="s">
        <v>3123</v>
      </c>
      <c r="AZ333" s="0" t="s">
        <v>1503</v>
      </c>
      <c r="BA333" s="0">
        <v>474</v>
      </c>
      <c r="BB333" s="0" t="s">
        <v>232</v>
      </c>
      <c r="BC333" s="0">
        <v>2</v>
      </c>
      <c r="BD333" s="0">
        <v>8</v>
      </c>
      <c r="BE333" s="0">
        <v>334</v>
      </c>
      <c r="BF333" s="0">
        <v>4</v>
      </c>
      <c r="BG333" s="0" t="s">
        <v>3124</v>
      </c>
      <c r="BI333" s="0">
        <v>3367</v>
      </c>
      <c r="BK333" s="0" t="s">
        <v>3125</v>
      </c>
    </row>
    <row r="334">
      <c r="A334" s="0">
        <v>4881</v>
      </c>
      <c r="B334" s="0" t="s">
        <v>3126</v>
      </c>
      <c r="C334" s="0" t="s">
        <v>339</v>
      </c>
      <c r="D334" s="0" t="s">
        <v>2937</v>
      </c>
      <c r="E334" s="0" t="s">
        <v>3127</v>
      </c>
      <c r="F334" s="0">
        <v>1</v>
      </c>
      <c r="G334" s="0" t="s">
        <v>319</v>
      </c>
      <c r="H334" s="0" t="s">
        <v>3121</v>
      </c>
      <c r="I334" s="0" t="s">
        <v>1683</v>
      </c>
      <c r="J334" s="0" t="s">
        <v>594</v>
      </c>
      <c r="L334" s="0" t="s">
        <v>1683</v>
      </c>
      <c r="P334" s="0" t="s">
        <v>323</v>
      </c>
      <c r="Q334" s="0" t="s">
        <v>323</v>
      </c>
      <c r="R334" s="0" t="s">
        <v>1783</v>
      </c>
      <c r="U334" s="0" t="s">
        <v>3128</v>
      </c>
      <c r="X334" s="0" t="s">
        <v>347</v>
      </c>
      <c r="Y334" s="0" t="s">
        <v>181</v>
      </c>
      <c r="Z334" s="0" t="s">
        <v>1595</v>
      </c>
      <c r="AA334" s="0" t="s">
        <v>180</v>
      </c>
      <c r="AB334" s="0" t="s">
        <v>531</v>
      </c>
      <c r="AC334" s="0" t="s">
        <v>532</v>
      </c>
      <c r="AF334" s="0" t="s">
        <v>301</v>
      </c>
      <c r="AM334" s="0" t="s">
        <v>353</v>
      </c>
      <c r="AN334" s="0" t="s">
        <v>781</v>
      </c>
      <c r="AO334" s="0" t="s">
        <v>912</v>
      </c>
      <c r="AP334" s="0" t="s">
        <v>305</v>
      </c>
      <c r="AQ334" s="0" t="s">
        <v>373</v>
      </c>
      <c r="AR334" s="0" t="s">
        <v>1432</v>
      </c>
      <c r="AS334" s="0">
        <v>36</v>
      </c>
      <c r="AT334" s="0">
        <v>72</v>
      </c>
      <c r="AU334" s="0">
        <v>86</v>
      </c>
      <c r="AV334" s="0" t="s">
        <v>332</v>
      </c>
      <c r="AX334" s="0" t="s">
        <v>392</v>
      </c>
      <c r="AY334" s="0" t="s">
        <v>1582</v>
      </c>
      <c r="AZ334" s="0" t="s">
        <v>1503</v>
      </c>
      <c r="BA334" s="0">
        <v>474</v>
      </c>
      <c r="BB334" s="0" t="s">
        <v>232</v>
      </c>
      <c r="BC334" s="0">
        <v>2</v>
      </c>
      <c r="BD334" s="0">
        <v>8</v>
      </c>
      <c r="BE334" s="0">
        <v>334</v>
      </c>
      <c r="BF334" s="0">
        <v>4</v>
      </c>
      <c r="BG334" s="0" t="s">
        <v>3129</v>
      </c>
      <c r="BI334" s="0">
        <v>3495</v>
      </c>
      <c r="BK334" s="0" t="s">
        <v>3130</v>
      </c>
    </row>
    <row r="335">
      <c r="A335" s="0">
        <v>4869</v>
      </c>
      <c r="B335" s="0" t="s">
        <v>3131</v>
      </c>
      <c r="C335" s="0" t="s">
        <v>656</v>
      </c>
      <c r="D335" s="0" t="s">
        <v>2937</v>
      </c>
      <c r="E335" s="0" t="s">
        <v>3132</v>
      </c>
      <c r="F335" s="0">
        <v>1</v>
      </c>
      <c r="G335" s="0" t="s">
        <v>293</v>
      </c>
      <c r="H335" s="0" t="s">
        <v>294</v>
      </c>
      <c r="I335" s="0" t="s">
        <v>3133</v>
      </c>
      <c r="P335" s="0" t="s">
        <v>343</v>
      </c>
      <c r="Q335" s="0" t="s">
        <v>343</v>
      </c>
      <c r="T335" s="0" t="s">
        <v>3134</v>
      </c>
      <c r="U335" s="0" t="s">
        <v>3135</v>
      </c>
      <c r="X335" s="0" t="s">
        <v>347</v>
      </c>
      <c r="Y335" s="0" t="s">
        <v>181</v>
      </c>
      <c r="Z335" s="0" t="s">
        <v>1595</v>
      </c>
      <c r="AA335" s="0" t="s">
        <v>180</v>
      </c>
      <c r="AB335" s="0" t="s">
        <v>531</v>
      </c>
      <c r="AC335" s="0" t="s">
        <v>532</v>
      </c>
      <c r="AF335" s="0" t="s">
        <v>301</v>
      </c>
      <c r="AM335" s="0" t="s">
        <v>349</v>
      </c>
      <c r="AN335" s="0" t="s">
        <v>746</v>
      </c>
      <c r="AO335" s="0" t="s">
        <v>503</v>
      </c>
      <c r="AP335" s="0" t="s">
        <v>305</v>
      </c>
      <c r="AQ335" s="0" t="s">
        <v>1105</v>
      </c>
      <c r="AR335" s="0" t="s">
        <v>1482</v>
      </c>
      <c r="AS335" s="0">
        <v>135</v>
      </c>
      <c r="AT335" s="0">
        <v>285</v>
      </c>
      <c r="AU335" s="0">
        <v>330</v>
      </c>
      <c r="AV335" s="0" t="s">
        <v>332</v>
      </c>
      <c r="AX335" s="0" t="s">
        <v>2214</v>
      </c>
      <c r="AY335" s="0" t="s">
        <v>964</v>
      </c>
      <c r="AZ335" s="0" t="s">
        <v>476</v>
      </c>
      <c r="BA335" s="0">
        <v>474</v>
      </c>
      <c r="BB335" s="0" t="s">
        <v>232</v>
      </c>
      <c r="BC335" s="0">
        <v>2</v>
      </c>
      <c r="BD335" s="0">
        <v>10</v>
      </c>
      <c r="BE335" s="0">
        <v>334</v>
      </c>
      <c r="BF335" s="0">
        <v>4</v>
      </c>
      <c r="BG335" s="0" t="s">
        <v>3136</v>
      </c>
      <c r="BI335" s="0">
        <v>1093</v>
      </c>
      <c r="BK335" s="0" t="s">
        <v>3137</v>
      </c>
    </row>
    <row r="336">
      <c r="A336" s="0">
        <v>4892</v>
      </c>
      <c r="B336" s="0" t="s">
        <v>3138</v>
      </c>
      <c r="C336" s="0" t="s">
        <v>579</v>
      </c>
      <c r="D336" s="0" t="s">
        <v>2937</v>
      </c>
      <c r="E336" s="0" t="s">
        <v>3139</v>
      </c>
      <c r="F336" s="0">
        <v>1</v>
      </c>
      <c r="G336" s="0" t="s">
        <v>293</v>
      </c>
      <c r="H336" s="0" t="s">
        <v>294</v>
      </c>
      <c r="I336" s="0" t="s">
        <v>295</v>
      </c>
      <c r="J336" s="0" t="s">
        <v>3140</v>
      </c>
      <c r="L336" s="0" t="s">
        <v>583</v>
      </c>
      <c r="P336" s="0" t="s">
        <v>343</v>
      </c>
      <c r="Q336" s="0" t="s">
        <v>343</v>
      </c>
      <c r="U336" s="0" t="s">
        <v>3141</v>
      </c>
      <c r="X336" s="0" t="s">
        <v>347</v>
      </c>
      <c r="Y336" s="0" t="s">
        <v>181</v>
      </c>
      <c r="Z336" s="0" t="s">
        <v>1595</v>
      </c>
      <c r="AA336" s="0" t="s">
        <v>180</v>
      </c>
      <c r="AB336" s="0" t="s">
        <v>531</v>
      </c>
      <c r="AC336" s="0" t="s">
        <v>532</v>
      </c>
      <c r="AF336" s="0" t="s">
        <v>301</v>
      </c>
      <c r="AM336" s="0" t="s">
        <v>763</v>
      </c>
      <c r="AN336" s="0" t="s">
        <v>763</v>
      </c>
      <c r="AO336" s="0" t="s">
        <v>303</v>
      </c>
      <c r="AP336" s="0" t="s">
        <v>305</v>
      </c>
      <c r="AQ336" s="0" t="s">
        <v>1850</v>
      </c>
      <c r="AR336" s="0" t="s">
        <v>1450</v>
      </c>
      <c r="AS336" s="0">
        <v>1070</v>
      </c>
      <c r="AT336" s="0">
        <v>2190</v>
      </c>
      <c r="AU336" s="0">
        <v>2420</v>
      </c>
      <c r="AV336" s="0" t="s">
        <v>332</v>
      </c>
      <c r="AW336" s="0" t="s">
        <v>332</v>
      </c>
      <c r="AX336" s="0" t="s">
        <v>2982</v>
      </c>
      <c r="AY336" s="0" t="s">
        <v>1096</v>
      </c>
      <c r="AZ336" s="0" t="s">
        <v>489</v>
      </c>
      <c r="BA336" s="0">
        <v>474</v>
      </c>
      <c r="BB336" s="0" t="s">
        <v>232</v>
      </c>
      <c r="BC336" s="0">
        <v>2</v>
      </c>
      <c r="BD336" s="0">
        <v>374046</v>
      </c>
      <c r="BE336" s="0">
        <v>334</v>
      </c>
      <c r="BF336" s="0">
        <v>4</v>
      </c>
      <c r="BG336" s="0" t="s">
        <v>3142</v>
      </c>
      <c r="BI336" s="0">
        <v>4406</v>
      </c>
      <c r="BK336" s="0" t="s">
        <v>3143</v>
      </c>
    </row>
    <row r="337">
      <c r="A337" s="0">
        <v>4891</v>
      </c>
      <c r="B337" s="0" t="s">
        <v>3144</v>
      </c>
      <c r="C337" s="0" t="s">
        <v>579</v>
      </c>
      <c r="D337" s="0" t="s">
        <v>2937</v>
      </c>
      <c r="E337" s="0" t="s">
        <v>3145</v>
      </c>
      <c r="F337" s="0">
        <v>1</v>
      </c>
      <c r="G337" s="0" t="s">
        <v>293</v>
      </c>
      <c r="H337" s="0" t="s">
        <v>294</v>
      </c>
      <c r="I337" s="0" t="s">
        <v>295</v>
      </c>
      <c r="J337" s="0" t="s">
        <v>3140</v>
      </c>
      <c r="L337" s="0" t="s">
        <v>583</v>
      </c>
      <c r="P337" s="0" t="s">
        <v>343</v>
      </c>
      <c r="Q337" s="0" t="s">
        <v>343</v>
      </c>
      <c r="U337" s="0" t="s">
        <v>3146</v>
      </c>
      <c r="X337" s="0" t="s">
        <v>347</v>
      </c>
      <c r="Y337" s="0" t="s">
        <v>181</v>
      </c>
      <c r="Z337" s="0" t="s">
        <v>1595</v>
      </c>
      <c r="AA337" s="0" t="s">
        <v>180</v>
      </c>
      <c r="AB337" s="0" t="s">
        <v>531</v>
      </c>
      <c r="AC337" s="0" t="s">
        <v>532</v>
      </c>
      <c r="AF337" s="0" t="s">
        <v>301</v>
      </c>
      <c r="AM337" s="0" t="s">
        <v>1473</v>
      </c>
      <c r="AN337" s="0" t="s">
        <v>1473</v>
      </c>
      <c r="AO337" s="0" t="s">
        <v>763</v>
      </c>
      <c r="AP337" s="0" t="s">
        <v>305</v>
      </c>
      <c r="AQ337" s="0" t="s">
        <v>1850</v>
      </c>
      <c r="AR337" s="0" t="s">
        <v>1450</v>
      </c>
      <c r="AS337" s="0">
        <v>770</v>
      </c>
      <c r="AT337" s="0">
        <v>1590</v>
      </c>
      <c r="AU337" s="0">
        <v>1790</v>
      </c>
      <c r="AV337" s="0" t="s">
        <v>332</v>
      </c>
      <c r="AW337" s="0" t="s">
        <v>332</v>
      </c>
      <c r="AX337" s="0" t="s">
        <v>517</v>
      </c>
      <c r="AY337" s="0" t="s">
        <v>517</v>
      </c>
      <c r="AZ337" s="0" t="s">
        <v>489</v>
      </c>
      <c r="BA337" s="0">
        <v>474</v>
      </c>
      <c r="BB337" s="0" t="s">
        <v>232</v>
      </c>
      <c r="BC337" s="0">
        <v>2</v>
      </c>
      <c r="BD337" s="0">
        <v>374046</v>
      </c>
      <c r="BE337" s="0">
        <v>334</v>
      </c>
      <c r="BF337" s="0">
        <v>4</v>
      </c>
      <c r="BG337" s="0" t="s">
        <v>3147</v>
      </c>
      <c r="BI337" s="0">
        <v>4348</v>
      </c>
      <c r="BK337" s="0" t="s">
        <v>3148</v>
      </c>
    </row>
    <row r="338">
      <c r="A338" s="0">
        <v>4867</v>
      </c>
      <c r="B338" s="0" t="s">
        <v>3149</v>
      </c>
      <c r="C338" s="0" t="s">
        <v>290</v>
      </c>
      <c r="D338" s="0" t="s">
        <v>2937</v>
      </c>
      <c r="E338" s="0" t="s">
        <v>1604</v>
      </c>
      <c r="F338" s="0">
        <v>1</v>
      </c>
      <c r="G338" s="0" t="s">
        <v>293</v>
      </c>
      <c r="H338" s="0" t="s">
        <v>294</v>
      </c>
      <c r="I338" s="0" t="s">
        <v>295</v>
      </c>
      <c r="P338" s="0" t="s">
        <v>343</v>
      </c>
      <c r="Q338" s="0" t="s">
        <v>343</v>
      </c>
      <c r="T338" s="0" t="s">
        <v>3150</v>
      </c>
      <c r="U338" s="0" t="s">
        <v>3151</v>
      </c>
      <c r="X338" s="0" t="s">
        <v>529</v>
      </c>
      <c r="Y338" s="0" t="s">
        <v>181</v>
      </c>
      <c r="Z338" s="0" t="s">
        <v>1595</v>
      </c>
      <c r="AA338" s="0" t="s">
        <v>180</v>
      </c>
      <c r="AB338" s="0" t="s">
        <v>531</v>
      </c>
      <c r="AC338" s="0" t="s">
        <v>532</v>
      </c>
      <c r="AF338" s="0" t="s">
        <v>301</v>
      </c>
      <c r="AP338" s="0" t="s">
        <v>305</v>
      </c>
      <c r="BA338" s="0">
        <v>474</v>
      </c>
      <c r="BB338" s="0" t="s">
        <v>232</v>
      </c>
      <c r="BC338" s="0">
        <v>2</v>
      </c>
      <c r="BD338" s="0">
        <v>374053</v>
      </c>
      <c r="BE338" s="0">
        <v>334</v>
      </c>
      <c r="BF338" s="0">
        <v>2</v>
      </c>
      <c r="BG338" s="0" t="s">
        <v>3152</v>
      </c>
      <c r="BI338" s="0">
        <v>358</v>
      </c>
      <c r="BK338" s="0" t="s">
        <v>3153</v>
      </c>
    </row>
    <row r="339">
      <c r="A339" s="0">
        <v>4874</v>
      </c>
      <c r="B339" s="0" t="s">
        <v>3154</v>
      </c>
      <c r="C339" s="0" t="s">
        <v>579</v>
      </c>
      <c r="D339" s="0" t="s">
        <v>2937</v>
      </c>
      <c r="E339" s="0" t="s">
        <v>3155</v>
      </c>
      <c r="F339" s="0">
        <v>1</v>
      </c>
      <c r="G339" s="0" t="s">
        <v>594</v>
      </c>
      <c r="H339" s="0" t="s">
        <v>508</v>
      </c>
      <c r="I339" s="0" t="s">
        <v>469</v>
      </c>
      <c r="J339" s="0" t="s">
        <v>3140</v>
      </c>
      <c r="L339" s="0" t="s">
        <v>549</v>
      </c>
      <c r="P339" s="0" t="s">
        <v>343</v>
      </c>
      <c r="Q339" s="0" t="s">
        <v>343</v>
      </c>
      <c r="U339" s="0" t="s">
        <v>3156</v>
      </c>
      <c r="X339" s="0" t="s">
        <v>347</v>
      </c>
      <c r="Y339" s="0" t="s">
        <v>181</v>
      </c>
      <c r="Z339" s="0" t="s">
        <v>1595</v>
      </c>
      <c r="AA339" s="0" t="s">
        <v>180</v>
      </c>
      <c r="AB339" s="0" t="s">
        <v>531</v>
      </c>
      <c r="AC339" s="0" t="s">
        <v>532</v>
      </c>
      <c r="AF339" s="0" t="s">
        <v>301</v>
      </c>
      <c r="AM339" s="0" t="s">
        <v>2982</v>
      </c>
      <c r="AN339" s="0" t="s">
        <v>2982</v>
      </c>
      <c r="AO339" s="0" t="s">
        <v>2372</v>
      </c>
      <c r="AP339" s="0" t="s">
        <v>305</v>
      </c>
      <c r="AQ339" s="0" t="s">
        <v>331</v>
      </c>
      <c r="AR339" s="0" t="s">
        <v>1149</v>
      </c>
      <c r="AS339" s="0">
        <v>690</v>
      </c>
      <c r="AT339" s="0">
        <v>1400</v>
      </c>
      <c r="AU339" s="0">
        <v>1580</v>
      </c>
      <c r="AV339" s="0" t="s">
        <v>332</v>
      </c>
      <c r="AW339" s="0" t="s">
        <v>332</v>
      </c>
      <c r="AX339" s="0" t="s">
        <v>500</v>
      </c>
      <c r="AY339" s="0" t="s">
        <v>500</v>
      </c>
      <c r="AZ339" s="0" t="s">
        <v>515</v>
      </c>
      <c r="BA339" s="0">
        <v>474</v>
      </c>
      <c r="BB339" s="0" t="s">
        <v>232</v>
      </c>
      <c r="BC339" s="0">
        <v>2</v>
      </c>
      <c r="BD339" s="0">
        <v>374046</v>
      </c>
      <c r="BE339" s="0">
        <v>334</v>
      </c>
      <c r="BF339" s="0">
        <v>4</v>
      </c>
      <c r="BG339" s="0" t="s">
        <v>3157</v>
      </c>
      <c r="BI339" s="0">
        <v>2366</v>
      </c>
      <c r="BK339" s="0" t="s">
        <v>3158</v>
      </c>
    </row>
    <row r="340">
      <c r="A340" s="0">
        <v>4872</v>
      </c>
      <c r="B340" s="0" t="s">
        <v>3159</v>
      </c>
      <c r="C340" s="0" t="s">
        <v>339</v>
      </c>
      <c r="D340" s="0" t="s">
        <v>2937</v>
      </c>
      <c r="E340" s="0" t="s">
        <v>3160</v>
      </c>
      <c r="F340" s="0">
        <v>1</v>
      </c>
      <c r="G340" s="0" t="s">
        <v>319</v>
      </c>
      <c r="H340" s="0" t="s">
        <v>523</v>
      </c>
      <c r="I340" s="0" t="s">
        <v>1268</v>
      </c>
      <c r="K340" s="0" t="s">
        <v>508</v>
      </c>
      <c r="L340" s="0" t="s">
        <v>1268</v>
      </c>
      <c r="N340" s="0" t="s">
        <v>400</v>
      </c>
      <c r="O340" s="0" t="s">
        <v>1133</v>
      </c>
      <c r="P340" s="0" t="s">
        <v>323</v>
      </c>
      <c r="Q340" s="0" t="s">
        <v>343</v>
      </c>
      <c r="R340" s="0" t="s">
        <v>1783</v>
      </c>
      <c r="U340" s="0" t="s">
        <v>3161</v>
      </c>
      <c r="X340" s="0" t="s">
        <v>347</v>
      </c>
      <c r="Y340" s="0" t="s">
        <v>181</v>
      </c>
      <c r="Z340" s="0" t="s">
        <v>1595</v>
      </c>
      <c r="AA340" s="0" t="s">
        <v>180</v>
      </c>
      <c r="AB340" s="0" t="s">
        <v>531</v>
      </c>
      <c r="AC340" s="0" t="s">
        <v>532</v>
      </c>
      <c r="AF340" s="0" t="s">
        <v>301</v>
      </c>
      <c r="AM340" s="0" t="s">
        <v>3162</v>
      </c>
      <c r="AN340" s="0" t="s">
        <v>3163</v>
      </c>
      <c r="AO340" s="0" t="s">
        <v>3164</v>
      </c>
      <c r="AP340" s="0" t="s">
        <v>305</v>
      </c>
      <c r="AQ340" s="0" t="s">
        <v>924</v>
      </c>
      <c r="AR340" s="0" t="s">
        <v>303</v>
      </c>
      <c r="AS340" s="0">
        <v>23</v>
      </c>
      <c r="AT340" s="0">
        <v>48</v>
      </c>
      <c r="AU340" s="0">
        <v>53</v>
      </c>
      <c r="AV340" s="0" t="s">
        <v>3165</v>
      </c>
      <c r="AW340" s="0" t="s">
        <v>977</v>
      </c>
      <c r="AX340" s="0" t="s">
        <v>3166</v>
      </c>
      <c r="AY340" s="0" t="s">
        <v>3167</v>
      </c>
      <c r="AZ340" s="0" t="s">
        <v>3168</v>
      </c>
      <c r="BA340" s="0">
        <v>474</v>
      </c>
      <c r="BB340" s="0" t="s">
        <v>232</v>
      </c>
      <c r="BC340" s="0">
        <v>2</v>
      </c>
      <c r="BD340" s="0">
        <v>8</v>
      </c>
      <c r="BE340" s="0">
        <v>334</v>
      </c>
      <c r="BF340" s="0">
        <v>4</v>
      </c>
      <c r="BG340" s="0" t="s">
        <v>3169</v>
      </c>
      <c r="BI340" s="0">
        <v>1918</v>
      </c>
      <c r="BK340" s="0" t="s">
        <v>3170</v>
      </c>
    </row>
    <row r="341">
      <c r="A341" s="0">
        <v>4918</v>
      </c>
      <c r="B341" s="0" t="s">
        <v>3171</v>
      </c>
      <c r="C341" s="0" t="s">
        <v>1855</v>
      </c>
      <c r="D341" s="0" t="s">
        <v>3172</v>
      </c>
      <c r="E341" s="0" t="s">
        <v>3173</v>
      </c>
      <c r="F341" s="0">
        <v>1</v>
      </c>
      <c r="G341" s="0" t="s">
        <v>400</v>
      </c>
      <c r="H341" s="0" t="s">
        <v>1190</v>
      </c>
      <c r="I341" s="0" t="s">
        <v>3174</v>
      </c>
      <c r="J341" s="0" t="s">
        <v>293</v>
      </c>
      <c r="K341" s="0" t="s">
        <v>294</v>
      </c>
      <c r="L341" s="0" t="s">
        <v>3175</v>
      </c>
      <c r="P341" s="0" t="s">
        <v>343</v>
      </c>
      <c r="Q341" s="0" t="s">
        <v>343</v>
      </c>
      <c r="R341" s="0" t="s">
        <v>343</v>
      </c>
      <c r="T341" s="0" t="s">
        <v>3176</v>
      </c>
      <c r="U341" s="0" t="s">
        <v>3177</v>
      </c>
      <c r="X341" s="0" t="s">
        <v>298</v>
      </c>
      <c r="Y341" s="0" t="s">
        <v>80</v>
      </c>
      <c r="Z341" s="0" t="s">
        <v>3178</v>
      </c>
      <c r="AA341" s="0" t="s">
        <v>175</v>
      </c>
      <c r="AB341" s="0" t="s">
        <v>300</v>
      </c>
      <c r="AF341" s="0" t="s">
        <v>1688</v>
      </c>
      <c r="AP341" s="0" t="s">
        <v>305</v>
      </c>
      <c r="BA341" s="0">
        <v>475</v>
      </c>
      <c r="BB341" s="0" t="s">
        <v>232</v>
      </c>
      <c r="BC341" s="0">
        <v>3</v>
      </c>
      <c r="BD341" s="0">
        <v>28</v>
      </c>
      <c r="BE341" s="0">
        <v>364</v>
      </c>
      <c r="BF341" s="0">
        <v>5</v>
      </c>
      <c r="BG341" s="0" t="s">
        <v>3179</v>
      </c>
      <c r="BI341" s="0">
        <v>3818</v>
      </c>
      <c r="BK341" s="0" t="s">
        <v>3180</v>
      </c>
    </row>
    <row r="342">
      <c r="A342" s="0">
        <v>4902</v>
      </c>
      <c r="B342" s="0" t="s">
        <v>3181</v>
      </c>
      <c r="C342" s="0" t="s">
        <v>315</v>
      </c>
      <c r="D342" s="0" t="s">
        <v>3172</v>
      </c>
      <c r="E342" s="0" t="s">
        <v>3182</v>
      </c>
      <c r="F342" s="0">
        <v>1</v>
      </c>
      <c r="G342" s="0" t="s">
        <v>319</v>
      </c>
      <c r="H342" s="0" t="s">
        <v>483</v>
      </c>
      <c r="I342" s="0" t="s">
        <v>3183</v>
      </c>
      <c r="J342" s="0" t="s">
        <v>293</v>
      </c>
      <c r="K342" s="0" t="s">
        <v>3113</v>
      </c>
      <c r="L342" s="0" t="s">
        <v>1284</v>
      </c>
      <c r="M342" s="0" t="s">
        <v>525</v>
      </c>
      <c r="N342" s="0" t="s">
        <v>508</v>
      </c>
      <c r="P342" s="0" t="s">
        <v>323</v>
      </c>
      <c r="Q342" s="0" t="s">
        <v>343</v>
      </c>
      <c r="R342" s="0" t="s">
        <v>324</v>
      </c>
      <c r="T342" s="0" t="s">
        <v>3184</v>
      </c>
      <c r="U342" s="0" t="s">
        <v>3185</v>
      </c>
      <c r="X342" s="0" t="s">
        <v>298</v>
      </c>
      <c r="Y342" s="0" t="s">
        <v>80</v>
      </c>
      <c r="Z342" s="0" t="s">
        <v>3178</v>
      </c>
      <c r="AA342" s="0" t="s">
        <v>175</v>
      </c>
      <c r="AB342" s="0" t="s">
        <v>300</v>
      </c>
      <c r="AF342" s="0" t="s">
        <v>1688</v>
      </c>
      <c r="AP342" s="0" t="s">
        <v>305</v>
      </c>
      <c r="BA342" s="0">
        <v>475</v>
      </c>
      <c r="BB342" s="0" t="s">
        <v>232</v>
      </c>
      <c r="BC342" s="0">
        <v>3</v>
      </c>
      <c r="BD342" s="0">
        <v>374043</v>
      </c>
      <c r="BE342" s="0">
        <v>364</v>
      </c>
      <c r="BF342" s="0">
        <v>5</v>
      </c>
      <c r="BG342" s="0" t="s">
        <v>3186</v>
      </c>
      <c r="BI342" s="0">
        <v>765</v>
      </c>
      <c r="BK342" s="0" t="s">
        <v>3187</v>
      </c>
    </row>
    <row r="343">
      <c r="A343" s="0">
        <v>4935</v>
      </c>
      <c r="B343" s="0" t="s">
        <v>3188</v>
      </c>
      <c r="C343" s="0" t="s">
        <v>2620</v>
      </c>
      <c r="D343" s="0" t="s">
        <v>3172</v>
      </c>
      <c r="E343" s="0" t="s">
        <v>3189</v>
      </c>
      <c r="F343" s="0">
        <v>1</v>
      </c>
      <c r="G343" s="0" t="s">
        <v>594</v>
      </c>
      <c r="H343" s="0" t="s">
        <v>1190</v>
      </c>
      <c r="I343" s="0" t="s">
        <v>3174</v>
      </c>
      <c r="J343" s="0" t="s">
        <v>293</v>
      </c>
      <c r="K343" s="0" t="s">
        <v>3113</v>
      </c>
      <c r="L343" s="0" t="s">
        <v>1284</v>
      </c>
      <c r="P343" s="0" t="s">
        <v>323</v>
      </c>
      <c r="Q343" s="0" t="s">
        <v>323</v>
      </c>
      <c r="R343" s="0" t="s">
        <v>971</v>
      </c>
      <c r="T343" s="0" t="s">
        <v>3190</v>
      </c>
      <c r="X343" s="0" t="s">
        <v>298</v>
      </c>
      <c r="Y343" s="0" t="s">
        <v>80</v>
      </c>
      <c r="Z343" s="0" t="s">
        <v>3178</v>
      </c>
      <c r="AA343" s="0" t="s">
        <v>175</v>
      </c>
      <c r="AB343" s="0" t="s">
        <v>300</v>
      </c>
      <c r="AF343" s="0" t="s">
        <v>1688</v>
      </c>
      <c r="AP343" s="0" t="s">
        <v>305</v>
      </c>
      <c r="BA343" s="0">
        <v>475</v>
      </c>
      <c r="BB343" s="0" t="s">
        <v>232</v>
      </c>
      <c r="BC343" s="0">
        <v>3</v>
      </c>
      <c r="BD343" s="0">
        <v>34</v>
      </c>
      <c r="BE343" s="0">
        <v>364</v>
      </c>
      <c r="BF343" s="0">
        <v>5</v>
      </c>
      <c r="BG343" s="0" t="s">
        <v>3191</v>
      </c>
      <c r="BI343" s="0">
        <v>4750</v>
      </c>
      <c r="BK343" s="0" t="s">
        <v>3192</v>
      </c>
    </row>
    <row r="344">
      <c r="A344" s="0">
        <v>4921</v>
      </c>
      <c r="B344" s="0" t="s">
        <v>3193</v>
      </c>
      <c r="C344" s="0" t="s">
        <v>339</v>
      </c>
      <c r="D344" s="0" t="s">
        <v>3172</v>
      </c>
      <c r="E344" s="0" t="s">
        <v>2960</v>
      </c>
      <c r="F344" s="0">
        <v>1</v>
      </c>
      <c r="G344" s="0" t="s">
        <v>319</v>
      </c>
      <c r="H344" s="0" t="s">
        <v>3194</v>
      </c>
      <c r="I344" s="0" t="s">
        <v>3195</v>
      </c>
      <c r="J344" s="0" t="s">
        <v>400</v>
      </c>
      <c r="K344" s="0" t="s">
        <v>1190</v>
      </c>
      <c r="L344" s="0" t="s">
        <v>469</v>
      </c>
      <c r="P344" s="0" t="s">
        <v>323</v>
      </c>
      <c r="Q344" s="0" t="s">
        <v>343</v>
      </c>
      <c r="R344" s="0" t="s">
        <v>3196</v>
      </c>
      <c r="T344" s="0" t="s">
        <v>3197</v>
      </c>
      <c r="U344" s="0" t="s">
        <v>3198</v>
      </c>
      <c r="X344" s="0" t="s">
        <v>347</v>
      </c>
      <c r="Y344" s="0" t="s">
        <v>80</v>
      </c>
      <c r="Z344" s="0" t="s">
        <v>3178</v>
      </c>
      <c r="AA344" s="0" t="s">
        <v>175</v>
      </c>
      <c r="AB344" s="0" t="s">
        <v>300</v>
      </c>
      <c r="AF344" s="0" t="s">
        <v>1688</v>
      </c>
      <c r="AM344" s="0" t="s">
        <v>585</v>
      </c>
      <c r="AN344" s="0" t="s">
        <v>1066</v>
      </c>
      <c r="AO344" s="0" t="s">
        <v>611</v>
      </c>
      <c r="AP344" s="0" t="s">
        <v>305</v>
      </c>
      <c r="AS344" s="0">
        <v>69</v>
      </c>
      <c r="AT344" s="0">
        <v>147</v>
      </c>
      <c r="AU344" s="0">
        <v>147</v>
      </c>
      <c r="AV344" s="0" t="s">
        <v>332</v>
      </c>
      <c r="AX344" s="0" t="s">
        <v>611</v>
      </c>
      <c r="AY344" s="0" t="s">
        <v>611</v>
      </c>
      <c r="AZ344" s="0" t="s">
        <v>513</v>
      </c>
      <c r="BA344" s="0">
        <v>475</v>
      </c>
      <c r="BB344" s="0" t="s">
        <v>232</v>
      </c>
      <c r="BC344" s="0">
        <v>3</v>
      </c>
      <c r="BD344" s="0">
        <v>8</v>
      </c>
      <c r="BE344" s="0">
        <v>364</v>
      </c>
      <c r="BF344" s="0">
        <v>4</v>
      </c>
      <c r="BG344" s="0" t="s">
        <v>3199</v>
      </c>
      <c r="BI344" s="0">
        <v>4078</v>
      </c>
      <c r="BK344" s="0" t="s">
        <v>3200</v>
      </c>
    </row>
    <row r="345">
      <c r="A345" s="0">
        <v>4908</v>
      </c>
      <c r="B345" s="0" t="s">
        <v>3201</v>
      </c>
      <c r="C345" s="0" t="s">
        <v>339</v>
      </c>
      <c r="D345" s="0" t="s">
        <v>3172</v>
      </c>
      <c r="E345" s="0" t="s">
        <v>3202</v>
      </c>
      <c r="F345" s="0">
        <v>1</v>
      </c>
      <c r="G345" s="0" t="s">
        <v>319</v>
      </c>
      <c r="H345" s="0" t="s">
        <v>3203</v>
      </c>
      <c r="I345" s="0" t="s">
        <v>524</v>
      </c>
      <c r="J345" s="0" t="s">
        <v>594</v>
      </c>
      <c r="K345" s="0" t="s">
        <v>1190</v>
      </c>
      <c r="L345" s="0" t="s">
        <v>3204</v>
      </c>
      <c r="M345" s="0" t="s">
        <v>293</v>
      </c>
      <c r="N345" s="0" t="s">
        <v>294</v>
      </c>
      <c r="O345" s="0" t="s">
        <v>295</v>
      </c>
      <c r="P345" s="0" t="s">
        <v>323</v>
      </c>
      <c r="Q345" s="0" t="s">
        <v>323</v>
      </c>
      <c r="R345" s="0" t="s">
        <v>526</v>
      </c>
      <c r="T345" s="0" t="s">
        <v>3205</v>
      </c>
      <c r="U345" s="0" t="s">
        <v>3206</v>
      </c>
      <c r="X345" s="0" t="s">
        <v>347</v>
      </c>
      <c r="Y345" s="0" t="s">
        <v>80</v>
      </c>
      <c r="Z345" s="0" t="s">
        <v>3178</v>
      </c>
      <c r="AA345" s="0" t="s">
        <v>175</v>
      </c>
      <c r="AB345" s="0" t="s">
        <v>300</v>
      </c>
      <c r="AF345" s="0" t="s">
        <v>1688</v>
      </c>
      <c r="AM345" s="0" t="s">
        <v>3207</v>
      </c>
      <c r="AN345" s="0" t="s">
        <v>3208</v>
      </c>
      <c r="AO345" s="0" t="s">
        <v>3209</v>
      </c>
      <c r="AP345" s="0" t="s">
        <v>305</v>
      </c>
      <c r="AQ345" s="0" t="s">
        <v>3210</v>
      </c>
      <c r="AS345" s="0">
        <v>9</v>
      </c>
      <c r="AT345" s="0">
        <v>19</v>
      </c>
      <c r="AU345" s="0">
        <v>19</v>
      </c>
      <c r="AV345" s="0" t="s">
        <v>332</v>
      </c>
      <c r="AW345" s="0" t="s">
        <v>977</v>
      </c>
      <c r="AX345" s="0" t="s">
        <v>3211</v>
      </c>
      <c r="AY345" s="0" t="s">
        <v>3212</v>
      </c>
      <c r="AZ345" s="0" t="s">
        <v>3213</v>
      </c>
      <c r="BA345" s="0">
        <v>475</v>
      </c>
      <c r="BB345" s="0" t="s">
        <v>232</v>
      </c>
      <c r="BC345" s="0">
        <v>3</v>
      </c>
      <c r="BD345" s="0">
        <v>8</v>
      </c>
      <c r="BE345" s="0">
        <v>364</v>
      </c>
      <c r="BF345" s="0">
        <v>4</v>
      </c>
      <c r="BG345" s="0" t="s">
        <v>3214</v>
      </c>
      <c r="BI345" s="0">
        <v>2368</v>
      </c>
      <c r="BK345" s="0" t="s">
        <v>3215</v>
      </c>
    </row>
    <row r="346">
      <c r="A346" s="0">
        <v>4913</v>
      </c>
      <c r="B346" s="0" t="s">
        <v>3216</v>
      </c>
      <c r="C346" s="0" t="s">
        <v>945</v>
      </c>
      <c r="D346" s="0" t="s">
        <v>3172</v>
      </c>
      <c r="E346" s="0" t="s">
        <v>3217</v>
      </c>
      <c r="F346" s="0">
        <v>1</v>
      </c>
      <c r="G346" s="0" t="s">
        <v>319</v>
      </c>
      <c r="H346" s="0" t="s">
        <v>3194</v>
      </c>
      <c r="I346" s="0" t="s">
        <v>1268</v>
      </c>
      <c r="J346" s="0" t="s">
        <v>508</v>
      </c>
      <c r="K346" s="0" t="s">
        <v>3204</v>
      </c>
      <c r="L346" s="0" t="s">
        <v>1268</v>
      </c>
      <c r="M346" s="0" t="s">
        <v>400</v>
      </c>
      <c r="N346" s="0" t="s">
        <v>1190</v>
      </c>
      <c r="O346" s="0" t="s">
        <v>469</v>
      </c>
      <c r="P346" s="0" t="s">
        <v>323</v>
      </c>
      <c r="Q346" s="0" t="s">
        <v>343</v>
      </c>
      <c r="R346" s="0" t="s">
        <v>1253</v>
      </c>
      <c r="T346" s="0" t="s">
        <v>3218</v>
      </c>
      <c r="U346" s="0" t="s">
        <v>3219</v>
      </c>
      <c r="X346" s="0" t="s">
        <v>529</v>
      </c>
      <c r="Y346" s="0" t="s">
        <v>80</v>
      </c>
      <c r="Z346" s="0" t="s">
        <v>3178</v>
      </c>
      <c r="AA346" s="0" t="s">
        <v>175</v>
      </c>
      <c r="AB346" s="0" t="s">
        <v>300</v>
      </c>
      <c r="AF346" s="0" t="s">
        <v>1688</v>
      </c>
      <c r="AM346" s="0" t="s">
        <v>3220</v>
      </c>
      <c r="AN346" s="0" t="s">
        <v>3221</v>
      </c>
      <c r="AO346" s="0" t="s">
        <v>3222</v>
      </c>
      <c r="AP346" s="0" t="s">
        <v>305</v>
      </c>
      <c r="AQ346" s="0" t="s">
        <v>516</v>
      </c>
      <c r="AR346" s="0" t="s">
        <v>1300</v>
      </c>
      <c r="AS346" s="0">
        <v>36</v>
      </c>
      <c r="AT346" s="0">
        <v>81</v>
      </c>
      <c r="AU346" s="0">
        <v>90</v>
      </c>
      <c r="AV346" s="0" t="s">
        <v>3223</v>
      </c>
      <c r="AW346" s="0" t="s">
        <v>332</v>
      </c>
      <c r="AX346" s="0" t="s">
        <v>351</v>
      </c>
      <c r="AY346" s="0" t="s">
        <v>607</v>
      </c>
      <c r="AZ346" s="0" t="s">
        <v>304</v>
      </c>
      <c r="BA346" s="0">
        <v>475</v>
      </c>
      <c r="BB346" s="0" t="s">
        <v>232</v>
      </c>
      <c r="BC346" s="0">
        <v>3</v>
      </c>
      <c r="BD346" s="0">
        <v>14</v>
      </c>
      <c r="BE346" s="0">
        <v>364</v>
      </c>
      <c r="BF346" s="0">
        <v>2</v>
      </c>
      <c r="BG346" s="0" t="s">
        <v>3224</v>
      </c>
      <c r="BI346" s="0">
        <v>3232</v>
      </c>
      <c r="BK346" s="0" t="s">
        <v>3225</v>
      </c>
    </row>
    <row r="347">
      <c r="A347" s="0">
        <v>4933</v>
      </c>
      <c r="B347" s="0" t="s">
        <v>3226</v>
      </c>
      <c r="C347" s="0" t="s">
        <v>945</v>
      </c>
      <c r="D347" s="0" t="s">
        <v>3172</v>
      </c>
      <c r="E347" s="0" t="s">
        <v>2413</v>
      </c>
      <c r="F347" s="0">
        <v>1</v>
      </c>
      <c r="G347" s="0" t="s">
        <v>555</v>
      </c>
      <c r="H347" s="0" t="s">
        <v>3227</v>
      </c>
      <c r="I347" s="0" t="s">
        <v>2947</v>
      </c>
      <c r="J347" s="0" t="s">
        <v>293</v>
      </c>
      <c r="K347" s="0" t="s">
        <v>294</v>
      </c>
      <c r="L347" s="0" t="s">
        <v>295</v>
      </c>
      <c r="M347" s="0" t="s">
        <v>594</v>
      </c>
      <c r="N347" s="0" t="s">
        <v>1190</v>
      </c>
      <c r="O347" s="0" t="s">
        <v>2947</v>
      </c>
      <c r="P347" s="0" t="s">
        <v>323</v>
      </c>
      <c r="Q347" s="0" t="s">
        <v>323</v>
      </c>
      <c r="R347" s="0" t="s">
        <v>344</v>
      </c>
      <c r="T347" s="0" t="s">
        <v>3228</v>
      </c>
      <c r="U347" s="0" t="s">
        <v>3229</v>
      </c>
      <c r="X347" s="0" t="s">
        <v>529</v>
      </c>
      <c r="Y347" s="0" t="s">
        <v>80</v>
      </c>
      <c r="Z347" s="0" t="s">
        <v>3178</v>
      </c>
      <c r="AA347" s="0" t="s">
        <v>175</v>
      </c>
      <c r="AB347" s="0" t="s">
        <v>300</v>
      </c>
      <c r="AF347" s="0" t="s">
        <v>1688</v>
      </c>
      <c r="AM347" s="0" t="s">
        <v>491</v>
      </c>
      <c r="AN347" s="0" t="s">
        <v>598</v>
      </c>
      <c r="AO347" s="0" t="s">
        <v>387</v>
      </c>
      <c r="AP347" s="0" t="s">
        <v>305</v>
      </c>
      <c r="AQ347" s="0" t="s">
        <v>1084</v>
      </c>
      <c r="AR347" s="0" t="s">
        <v>1763</v>
      </c>
      <c r="AS347" s="0">
        <v>60</v>
      </c>
      <c r="AT347" s="0">
        <v>136</v>
      </c>
      <c r="AU347" s="0">
        <v>166</v>
      </c>
      <c r="AV347" s="0" t="s">
        <v>332</v>
      </c>
      <c r="AW347" s="0" t="s">
        <v>332</v>
      </c>
      <c r="AX347" s="0" t="s">
        <v>514</v>
      </c>
      <c r="AY347" s="0" t="s">
        <v>491</v>
      </c>
      <c r="AZ347" s="0" t="s">
        <v>366</v>
      </c>
      <c r="BA347" s="0">
        <v>475</v>
      </c>
      <c r="BB347" s="0" t="s">
        <v>232</v>
      </c>
      <c r="BC347" s="0">
        <v>3</v>
      </c>
      <c r="BD347" s="0">
        <v>14</v>
      </c>
      <c r="BE347" s="0">
        <v>364</v>
      </c>
      <c r="BF347" s="0">
        <v>2</v>
      </c>
      <c r="BG347" s="0" t="s">
        <v>3230</v>
      </c>
      <c r="BI347" s="0">
        <v>4704</v>
      </c>
      <c r="BK347" s="0" t="s">
        <v>3231</v>
      </c>
    </row>
    <row r="348">
      <c r="A348" s="0">
        <v>4912</v>
      </c>
      <c r="B348" s="0" t="s">
        <v>3232</v>
      </c>
      <c r="C348" s="0" t="s">
        <v>315</v>
      </c>
      <c r="D348" s="0" t="s">
        <v>3172</v>
      </c>
      <c r="E348" s="0" t="s">
        <v>3233</v>
      </c>
      <c r="F348" s="0">
        <v>1</v>
      </c>
      <c r="G348" s="0" t="s">
        <v>293</v>
      </c>
      <c r="H348" s="0" t="s">
        <v>294</v>
      </c>
      <c r="I348" s="0" t="s">
        <v>3234</v>
      </c>
      <c r="J348" s="0" t="s">
        <v>543</v>
      </c>
      <c r="K348" s="0" t="s">
        <v>3227</v>
      </c>
      <c r="L348" s="0" t="s">
        <v>549</v>
      </c>
      <c r="P348" s="0" t="s">
        <v>343</v>
      </c>
      <c r="Q348" s="0" t="s">
        <v>343</v>
      </c>
      <c r="R348" s="0" t="s">
        <v>343</v>
      </c>
      <c r="T348" s="0" t="s">
        <v>3235</v>
      </c>
      <c r="U348" s="0" t="s">
        <v>3236</v>
      </c>
      <c r="X348" s="0" t="s">
        <v>298</v>
      </c>
      <c r="Y348" s="0" t="s">
        <v>80</v>
      </c>
      <c r="Z348" s="0" t="s">
        <v>3178</v>
      </c>
      <c r="AA348" s="0" t="s">
        <v>175</v>
      </c>
      <c r="AB348" s="0" t="s">
        <v>300</v>
      </c>
      <c r="AF348" s="0" t="s">
        <v>1688</v>
      </c>
      <c r="AP348" s="0" t="s">
        <v>305</v>
      </c>
      <c r="BA348" s="0">
        <v>475</v>
      </c>
      <c r="BB348" s="0" t="s">
        <v>232</v>
      </c>
      <c r="BC348" s="0">
        <v>3</v>
      </c>
      <c r="BD348" s="0">
        <v>374043</v>
      </c>
      <c r="BE348" s="0">
        <v>364</v>
      </c>
      <c r="BF348" s="0">
        <v>5</v>
      </c>
      <c r="BG348" s="0" t="s">
        <v>3237</v>
      </c>
      <c r="BI348" s="0">
        <v>3081</v>
      </c>
      <c r="BK348" s="0" t="s">
        <v>3238</v>
      </c>
    </row>
    <row r="349">
      <c r="A349" s="0">
        <v>4927</v>
      </c>
      <c r="B349" s="0" t="s">
        <v>3239</v>
      </c>
      <c r="C349" s="0" t="s">
        <v>315</v>
      </c>
      <c r="D349" s="0" t="s">
        <v>3172</v>
      </c>
      <c r="E349" s="0" t="s">
        <v>3240</v>
      </c>
      <c r="F349" s="0">
        <v>1</v>
      </c>
      <c r="G349" s="0" t="s">
        <v>319</v>
      </c>
      <c r="H349" s="0" t="s">
        <v>3241</v>
      </c>
      <c r="I349" s="0" t="s">
        <v>471</v>
      </c>
      <c r="J349" s="0" t="s">
        <v>400</v>
      </c>
      <c r="K349" s="0" t="s">
        <v>1190</v>
      </c>
      <c r="L349" s="0" t="s">
        <v>469</v>
      </c>
      <c r="P349" s="0" t="s">
        <v>323</v>
      </c>
      <c r="Q349" s="0" t="s">
        <v>323</v>
      </c>
      <c r="R349" s="0" t="s">
        <v>3242</v>
      </c>
      <c r="T349" s="0" t="s">
        <v>3243</v>
      </c>
      <c r="U349" s="0" t="s">
        <v>3244</v>
      </c>
      <c r="X349" s="0" t="s">
        <v>529</v>
      </c>
      <c r="Y349" s="0" t="s">
        <v>80</v>
      </c>
      <c r="Z349" s="0" t="s">
        <v>3178</v>
      </c>
      <c r="AA349" s="0" t="s">
        <v>175</v>
      </c>
      <c r="AB349" s="0" t="s">
        <v>300</v>
      </c>
      <c r="AF349" s="0" t="s">
        <v>1688</v>
      </c>
      <c r="AP349" s="0" t="s">
        <v>305</v>
      </c>
      <c r="BA349" s="0">
        <v>475</v>
      </c>
      <c r="BB349" s="0" t="s">
        <v>232</v>
      </c>
      <c r="BC349" s="0">
        <v>3</v>
      </c>
      <c r="BD349" s="0">
        <v>374043</v>
      </c>
      <c r="BE349" s="0">
        <v>364</v>
      </c>
      <c r="BF349" s="0">
        <v>2</v>
      </c>
      <c r="BG349" s="0" t="s">
        <v>3245</v>
      </c>
      <c r="BI349" s="0">
        <v>4460</v>
      </c>
      <c r="BK349" s="0" t="s">
        <v>3246</v>
      </c>
    </row>
    <row r="350">
      <c r="A350" s="0">
        <v>4914</v>
      </c>
      <c r="B350" s="0" t="s">
        <v>3247</v>
      </c>
      <c r="C350" s="0" t="s">
        <v>315</v>
      </c>
      <c r="D350" s="0" t="s">
        <v>3172</v>
      </c>
      <c r="E350" s="0" t="s">
        <v>3248</v>
      </c>
      <c r="F350" s="0">
        <v>1</v>
      </c>
      <c r="G350" s="0" t="s">
        <v>293</v>
      </c>
      <c r="H350" s="0" t="s">
        <v>3113</v>
      </c>
      <c r="I350" s="0" t="s">
        <v>3249</v>
      </c>
      <c r="J350" s="0" t="s">
        <v>594</v>
      </c>
      <c r="K350" s="0" t="s">
        <v>1190</v>
      </c>
      <c r="L350" s="0" t="s">
        <v>3174</v>
      </c>
      <c r="P350" s="0" t="s">
        <v>343</v>
      </c>
      <c r="Q350" s="0" t="s">
        <v>343</v>
      </c>
      <c r="R350" s="0" t="s">
        <v>343</v>
      </c>
      <c r="T350" s="0" t="s">
        <v>3250</v>
      </c>
      <c r="U350" s="0" t="s">
        <v>3251</v>
      </c>
      <c r="V350" s="0" t="s">
        <v>3252</v>
      </c>
      <c r="X350" s="0" t="s">
        <v>298</v>
      </c>
      <c r="Y350" s="0" t="s">
        <v>80</v>
      </c>
      <c r="Z350" s="0" t="s">
        <v>3178</v>
      </c>
      <c r="AA350" s="0" t="s">
        <v>175</v>
      </c>
      <c r="AB350" s="0" t="s">
        <v>300</v>
      </c>
      <c r="AF350" s="0" t="s">
        <v>1688</v>
      </c>
      <c r="AP350" s="0" t="s">
        <v>305</v>
      </c>
      <c r="BA350" s="0">
        <v>475</v>
      </c>
      <c r="BB350" s="0" t="s">
        <v>232</v>
      </c>
      <c r="BC350" s="0">
        <v>3</v>
      </c>
      <c r="BD350" s="0">
        <v>374043</v>
      </c>
      <c r="BE350" s="0">
        <v>364</v>
      </c>
      <c r="BF350" s="0">
        <v>5</v>
      </c>
      <c r="BG350" s="0" t="s">
        <v>3253</v>
      </c>
      <c r="BI350" s="0">
        <v>3371</v>
      </c>
      <c r="BK350" s="0" t="s">
        <v>3254</v>
      </c>
    </row>
    <row r="351">
      <c r="A351" s="0">
        <v>5038</v>
      </c>
      <c r="B351" s="0" t="s">
        <v>1810</v>
      </c>
      <c r="C351" s="0" t="s">
        <v>315</v>
      </c>
      <c r="D351" s="0" t="s">
        <v>3255</v>
      </c>
      <c r="E351" s="0" t="s">
        <v>1811</v>
      </c>
      <c r="F351" s="0">
        <v>1</v>
      </c>
      <c r="G351" s="0" t="s">
        <v>319</v>
      </c>
      <c r="H351" s="0" t="s">
        <v>3256</v>
      </c>
      <c r="I351" s="0" t="s">
        <v>3257</v>
      </c>
      <c r="J351" s="0" t="s">
        <v>525</v>
      </c>
      <c r="K351" s="0" t="s">
        <v>400</v>
      </c>
      <c r="L351" s="0" t="s">
        <v>1133</v>
      </c>
      <c r="P351" s="0" t="s">
        <v>323</v>
      </c>
      <c r="Q351" s="0" t="s">
        <v>323</v>
      </c>
      <c r="R351" s="0" t="s">
        <v>2007</v>
      </c>
      <c r="T351" s="0" t="s">
        <v>3258</v>
      </c>
      <c r="U351" s="0" t="s">
        <v>3259</v>
      </c>
      <c r="X351" s="0" t="s">
        <v>529</v>
      </c>
      <c r="Y351" s="0" t="s">
        <v>80</v>
      </c>
      <c r="Z351" s="0" t="s">
        <v>3178</v>
      </c>
      <c r="AA351" s="0" t="s">
        <v>175</v>
      </c>
      <c r="AB351" s="0" t="s">
        <v>300</v>
      </c>
      <c r="AF351" s="0" t="s">
        <v>1688</v>
      </c>
      <c r="AP351" s="0" t="s">
        <v>305</v>
      </c>
      <c r="BA351" s="0">
        <v>475</v>
      </c>
      <c r="BB351" s="0" t="s">
        <v>232</v>
      </c>
      <c r="BC351" s="0">
        <v>3</v>
      </c>
      <c r="BD351" s="0">
        <v>374043</v>
      </c>
      <c r="BE351" s="0">
        <v>364</v>
      </c>
      <c r="BF351" s="0">
        <v>2</v>
      </c>
      <c r="BG351" s="0" t="s">
        <v>3260</v>
      </c>
      <c r="BI351" s="0">
        <v>4805</v>
      </c>
      <c r="BK351" s="0" t="s">
        <v>3261</v>
      </c>
    </row>
    <row r="352">
      <c r="A352" s="0">
        <v>4910</v>
      </c>
      <c r="B352" s="0" t="s">
        <v>3262</v>
      </c>
      <c r="C352" s="0" t="s">
        <v>656</v>
      </c>
      <c r="D352" s="0" t="s">
        <v>3172</v>
      </c>
      <c r="E352" s="0" t="s">
        <v>3263</v>
      </c>
      <c r="F352" s="0">
        <v>1</v>
      </c>
      <c r="G352" s="0" t="s">
        <v>293</v>
      </c>
      <c r="H352" s="0" t="s">
        <v>294</v>
      </c>
      <c r="I352" s="0" t="s">
        <v>3234</v>
      </c>
      <c r="J352" s="0" t="s">
        <v>543</v>
      </c>
      <c r="K352" s="0" t="s">
        <v>3227</v>
      </c>
      <c r="L352" s="0" t="s">
        <v>729</v>
      </c>
      <c r="P352" s="0" t="s">
        <v>323</v>
      </c>
      <c r="Q352" s="0" t="s">
        <v>323</v>
      </c>
      <c r="R352" s="0" t="s">
        <v>3264</v>
      </c>
      <c r="T352" s="0" t="s">
        <v>3265</v>
      </c>
      <c r="U352" s="0" t="s">
        <v>3266</v>
      </c>
      <c r="X352" s="0" t="s">
        <v>529</v>
      </c>
      <c r="Y352" s="0" t="s">
        <v>80</v>
      </c>
      <c r="Z352" s="0" t="s">
        <v>3178</v>
      </c>
      <c r="AA352" s="0" t="s">
        <v>175</v>
      </c>
      <c r="AB352" s="0" t="s">
        <v>300</v>
      </c>
      <c r="AF352" s="0" t="s">
        <v>1688</v>
      </c>
      <c r="AM352" s="0" t="s">
        <v>3267</v>
      </c>
      <c r="AN352" s="0" t="s">
        <v>599</v>
      </c>
      <c r="AO352" s="0" t="s">
        <v>352</v>
      </c>
      <c r="AP352" s="0" t="s">
        <v>305</v>
      </c>
      <c r="AU352" s="0">
        <v>39</v>
      </c>
      <c r="AX352" s="0" t="s">
        <v>3268</v>
      </c>
      <c r="AY352" s="0" t="s">
        <v>3269</v>
      </c>
      <c r="AZ352" s="0" t="s">
        <v>3270</v>
      </c>
      <c r="BA352" s="0">
        <v>475</v>
      </c>
      <c r="BB352" s="0" t="s">
        <v>232</v>
      </c>
      <c r="BC352" s="0">
        <v>3</v>
      </c>
      <c r="BD352" s="0">
        <v>10</v>
      </c>
      <c r="BE352" s="0">
        <v>364</v>
      </c>
      <c r="BF352" s="0">
        <v>2</v>
      </c>
      <c r="BG352" s="0" t="s">
        <v>3271</v>
      </c>
      <c r="BI352" s="0">
        <v>2740</v>
      </c>
      <c r="BK352" s="0" t="s">
        <v>3272</v>
      </c>
    </row>
    <row r="353">
      <c r="A353" s="0">
        <v>4911</v>
      </c>
      <c r="B353" s="0" t="s">
        <v>3273</v>
      </c>
      <c r="C353" s="0" t="s">
        <v>656</v>
      </c>
      <c r="D353" s="0" t="s">
        <v>3172</v>
      </c>
      <c r="E353" s="0" t="s">
        <v>3274</v>
      </c>
      <c r="F353" s="0">
        <v>1</v>
      </c>
      <c r="G353" s="0" t="s">
        <v>293</v>
      </c>
      <c r="H353" s="0" t="s">
        <v>294</v>
      </c>
      <c r="I353" s="0" t="s">
        <v>3234</v>
      </c>
      <c r="J353" s="0" t="s">
        <v>543</v>
      </c>
      <c r="K353" s="0" t="s">
        <v>3227</v>
      </c>
      <c r="L353" s="0" t="s">
        <v>549</v>
      </c>
      <c r="P353" s="0" t="s">
        <v>343</v>
      </c>
      <c r="Q353" s="0" t="s">
        <v>343</v>
      </c>
      <c r="R353" s="0" t="s">
        <v>343</v>
      </c>
      <c r="T353" s="0" t="s">
        <v>3235</v>
      </c>
      <c r="U353" s="0" t="s">
        <v>3275</v>
      </c>
      <c r="X353" s="0" t="s">
        <v>298</v>
      </c>
      <c r="Y353" s="0" t="s">
        <v>80</v>
      </c>
      <c r="Z353" s="0" t="s">
        <v>3178</v>
      </c>
      <c r="AA353" s="0" t="s">
        <v>175</v>
      </c>
      <c r="AB353" s="0" t="s">
        <v>300</v>
      </c>
      <c r="AF353" s="0" t="s">
        <v>1688</v>
      </c>
      <c r="AM353" s="0" t="s">
        <v>350</v>
      </c>
      <c r="AN353" s="0" t="s">
        <v>350</v>
      </c>
      <c r="AO353" s="0" t="s">
        <v>1108</v>
      </c>
      <c r="AP353" s="0" t="s">
        <v>305</v>
      </c>
      <c r="AU353" s="0">
        <v>180</v>
      </c>
      <c r="AV353" s="0" t="s">
        <v>332</v>
      </c>
      <c r="AX353" s="0" t="s">
        <v>2950</v>
      </c>
      <c r="AY353" s="0" t="s">
        <v>2950</v>
      </c>
      <c r="AZ353" s="0" t="s">
        <v>808</v>
      </c>
      <c r="BA353" s="0">
        <v>475</v>
      </c>
      <c r="BB353" s="0" t="s">
        <v>232</v>
      </c>
      <c r="BC353" s="0">
        <v>3</v>
      </c>
      <c r="BD353" s="0">
        <v>10</v>
      </c>
      <c r="BE353" s="0">
        <v>364</v>
      </c>
      <c r="BF353" s="0">
        <v>5</v>
      </c>
      <c r="BG353" s="0" t="s">
        <v>3276</v>
      </c>
      <c r="BI353" s="0">
        <v>2915</v>
      </c>
      <c r="BK353" s="0" t="s">
        <v>3277</v>
      </c>
    </row>
    <row r="354">
      <c r="A354" s="0">
        <v>4920</v>
      </c>
      <c r="B354" s="0" t="s">
        <v>3278</v>
      </c>
      <c r="C354" s="0" t="s">
        <v>2620</v>
      </c>
      <c r="D354" s="0" t="s">
        <v>3172</v>
      </c>
      <c r="E354" s="0" t="s">
        <v>3279</v>
      </c>
      <c r="F354" s="0">
        <v>1</v>
      </c>
      <c r="G354" s="0" t="s">
        <v>319</v>
      </c>
      <c r="H354" s="0" t="s">
        <v>3280</v>
      </c>
      <c r="I354" s="0" t="s">
        <v>471</v>
      </c>
      <c r="J354" s="0" t="s">
        <v>594</v>
      </c>
      <c r="K354" s="0" t="s">
        <v>1190</v>
      </c>
      <c r="L354" s="0" t="s">
        <v>469</v>
      </c>
      <c r="P354" s="0" t="s">
        <v>323</v>
      </c>
      <c r="Q354" s="0" t="s">
        <v>323</v>
      </c>
      <c r="R354" s="0" t="s">
        <v>2007</v>
      </c>
      <c r="T354" s="0" t="s">
        <v>3281</v>
      </c>
      <c r="U354" s="0" t="s">
        <v>3282</v>
      </c>
      <c r="X354" s="0" t="s">
        <v>298</v>
      </c>
      <c r="Y354" s="0" t="s">
        <v>80</v>
      </c>
      <c r="Z354" s="0" t="s">
        <v>3178</v>
      </c>
      <c r="AA354" s="0" t="s">
        <v>175</v>
      </c>
      <c r="AB354" s="0" t="s">
        <v>300</v>
      </c>
      <c r="AF354" s="0" t="s">
        <v>1688</v>
      </c>
      <c r="AP354" s="0" t="s">
        <v>305</v>
      </c>
      <c r="BA354" s="0">
        <v>475</v>
      </c>
      <c r="BB354" s="0" t="s">
        <v>232</v>
      </c>
      <c r="BC354" s="0">
        <v>3</v>
      </c>
      <c r="BD354" s="0">
        <v>34</v>
      </c>
      <c r="BE354" s="0">
        <v>364</v>
      </c>
      <c r="BF354" s="0">
        <v>5</v>
      </c>
      <c r="BG354" s="0" t="s">
        <v>3283</v>
      </c>
      <c r="BI354" s="0">
        <v>3996</v>
      </c>
      <c r="BK354" s="0" t="s">
        <v>3284</v>
      </c>
    </row>
    <row r="355">
      <c r="A355" s="0">
        <v>4926</v>
      </c>
      <c r="B355" s="0" t="s">
        <v>3285</v>
      </c>
      <c r="C355" s="0" t="s">
        <v>290</v>
      </c>
      <c r="D355" s="0" t="s">
        <v>3172</v>
      </c>
      <c r="E355" s="0" t="s">
        <v>3286</v>
      </c>
      <c r="F355" s="0">
        <v>1</v>
      </c>
      <c r="G355" s="0" t="s">
        <v>293</v>
      </c>
      <c r="H355" s="0" t="s">
        <v>294</v>
      </c>
      <c r="I355" s="0" t="s">
        <v>295</v>
      </c>
      <c r="J355" s="0" t="s">
        <v>319</v>
      </c>
      <c r="K355" s="0" t="s">
        <v>470</v>
      </c>
      <c r="L355" s="0" t="s">
        <v>1204</v>
      </c>
      <c r="P355" s="0" t="s">
        <v>343</v>
      </c>
      <c r="Q355" s="0" t="s">
        <v>343</v>
      </c>
      <c r="R355" s="0" t="s">
        <v>343</v>
      </c>
      <c r="T355" s="0" t="s">
        <v>3287</v>
      </c>
      <c r="U355" s="0" t="s">
        <v>3288</v>
      </c>
      <c r="V355" s="0" t="s">
        <v>315</v>
      </c>
      <c r="X355" s="0" t="s">
        <v>298</v>
      </c>
      <c r="Y355" s="0" t="s">
        <v>80</v>
      </c>
      <c r="Z355" s="0" t="s">
        <v>3178</v>
      </c>
      <c r="AA355" s="0" t="s">
        <v>175</v>
      </c>
      <c r="AB355" s="0" t="s">
        <v>300</v>
      </c>
      <c r="AF355" s="0" t="s">
        <v>1688</v>
      </c>
      <c r="AP355" s="0" t="s">
        <v>305</v>
      </c>
      <c r="BA355" s="0">
        <v>475</v>
      </c>
      <c r="BB355" s="0" t="s">
        <v>232</v>
      </c>
      <c r="BC355" s="0">
        <v>3</v>
      </c>
      <c r="BD355" s="0">
        <v>374053</v>
      </c>
      <c r="BE355" s="0">
        <v>364</v>
      </c>
      <c r="BF355" s="0">
        <v>5</v>
      </c>
      <c r="BG355" s="0" t="s">
        <v>3289</v>
      </c>
      <c r="BI355" s="0">
        <v>4408</v>
      </c>
      <c r="BK355" s="0" t="s">
        <v>3290</v>
      </c>
    </row>
    <row r="356">
      <c r="A356" s="0">
        <v>4931</v>
      </c>
      <c r="B356" s="0" t="s">
        <v>3291</v>
      </c>
      <c r="C356" s="0" t="s">
        <v>290</v>
      </c>
      <c r="D356" s="0" t="s">
        <v>3172</v>
      </c>
      <c r="E356" s="0" t="s">
        <v>3292</v>
      </c>
      <c r="F356" s="0">
        <v>1</v>
      </c>
      <c r="G356" s="0" t="s">
        <v>293</v>
      </c>
      <c r="H356" s="0" t="s">
        <v>294</v>
      </c>
      <c r="I356" s="0" t="s">
        <v>295</v>
      </c>
      <c r="P356" s="0" t="s">
        <v>343</v>
      </c>
      <c r="Q356" s="0" t="s">
        <v>343</v>
      </c>
      <c r="R356" s="0" t="s">
        <v>343</v>
      </c>
      <c r="T356" s="0" t="s">
        <v>3293</v>
      </c>
      <c r="U356" s="0" t="s">
        <v>3294</v>
      </c>
      <c r="X356" s="0" t="s">
        <v>529</v>
      </c>
      <c r="Y356" s="0" t="s">
        <v>80</v>
      </c>
      <c r="Z356" s="0" t="s">
        <v>3178</v>
      </c>
      <c r="AA356" s="0" t="s">
        <v>175</v>
      </c>
      <c r="AB356" s="0" t="s">
        <v>300</v>
      </c>
      <c r="AF356" s="0" t="s">
        <v>1688</v>
      </c>
      <c r="AP356" s="0" t="s">
        <v>305</v>
      </c>
      <c r="BA356" s="0">
        <v>475</v>
      </c>
      <c r="BB356" s="0" t="s">
        <v>232</v>
      </c>
      <c r="BC356" s="0">
        <v>3</v>
      </c>
      <c r="BD356" s="0">
        <v>374053</v>
      </c>
      <c r="BE356" s="0">
        <v>364</v>
      </c>
      <c r="BF356" s="0">
        <v>2</v>
      </c>
      <c r="BG356" s="0" t="s">
        <v>3295</v>
      </c>
      <c r="BI356" s="0">
        <v>4641</v>
      </c>
      <c r="BK356" s="0" t="s">
        <v>3296</v>
      </c>
    </row>
    <row r="357">
      <c r="A357" s="0">
        <v>4909</v>
      </c>
      <c r="B357" s="0" t="s">
        <v>3297</v>
      </c>
      <c r="C357" s="0" t="s">
        <v>315</v>
      </c>
      <c r="D357" s="0" t="s">
        <v>3172</v>
      </c>
      <c r="E357" s="0" t="s">
        <v>3298</v>
      </c>
      <c r="F357" s="0">
        <v>1</v>
      </c>
      <c r="G357" s="0" t="s">
        <v>293</v>
      </c>
      <c r="H357" s="0" t="s">
        <v>3113</v>
      </c>
      <c r="I357" s="0" t="s">
        <v>3249</v>
      </c>
      <c r="J357" s="0" t="s">
        <v>594</v>
      </c>
      <c r="K357" s="0" t="s">
        <v>1190</v>
      </c>
      <c r="L357" s="0" t="s">
        <v>3174</v>
      </c>
      <c r="M357" s="0" t="s">
        <v>581</v>
      </c>
      <c r="N357" s="0" t="s">
        <v>581</v>
      </c>
      <c r="O357" s="0" t="s">
        <v>583</v>
      </c>
      <c r="P357" s="0" t="s">
        <v>323</v>
      </c>
      <c r="Q357" s="0" t="s">
        <v>323</v>
      </c>
      <c r="R357" s="0" t="s">
        <v>2034</v>
      </c>
      <c r="T357" s="0" t="s">
        <v>3299</v>
      </c>
      <c r="U357" s="0" t="s">
        <v>3300</v>
      </c>
      <c r="X357" s="0" t="s">
        <v>529</v>
      </c>
      <c r="Y357" s="0" t="s">
        <v>80</v>
      </c>
      <c r="Z357" s="0" t="s">
        <v>3178</v>
      </c>
      <c r="AA357" s="0" t="s">
        <v>175</v>
      </c>
      <c r="AB357" s="0" t="s">
        <v>300</v>
      </c>
      <c r="AF357" s="0" t="s">
        <v>1688</v>
      </c>
      <c r="AP357" s="0" t="s">
        <v>305</v>
      </c>
      <c r="BA357" s="0">
        <v>475</v>
      </c>
      <c r="BB357" s="0" t="s">
        <v>232</v>
      </c>
      <c r="BC357" s="0">
        <v>3</v>
      </c>
      <c r="BD357" s="0">
        <v>374043</v>
      </c>
      <c r="BE357" s="0">
        <v>364</v>
      </c>
      <c r="BF357" s="0">
        <v>2</v>
      </c>
      <c r="BG357" s="0" t="s">
        <v>3301</v>
      </c>
      <c r="BI357" s="0">
        <v>2565</v>
      </c>
      <c r="BK357" s="0" t="s">
        <v>3302</v>
      </c>
    </row>
    <row r="358">
      <c r="A358" s="0">
        <v>5037</v>
      </c>
      <c r="B358" s="0" t="s">
        <v>3303</v>
      </c>
      <c r="C358" s="0" t="s">
        <v>945</v>
      </c>
      <c r="D358" s="0" t="s">
        <v>3255</v>
      </c>
      <c r="E358" s="0" t="s">
        <v>3304</v>
      </c>
      <c r="F358" s="0">
        <v>1</v>
      </c>
      <c r="G358" s="0" t="s">
        <v>319</v>
      </c>
      <c r="H358" s="0" t="s">
        <v>658</v>
      </c>
      <c r="I358" s="0" t="s">
        <v>948</v>
      </c>
      <c r="J358" s="0" t="s">
        <v>525</v>
      </c>
      <c r="K358" s="0" t="s">
        <v>508</v>
      </c>
      <c r="L358" s="0" t="s">
        <v>2442</v>
      </c>
      <c r="P358" s="0" t="s">
        <v>323</v>
      </c>
      <c r="Q358" s="0" t="s">
        <v>868</v>
      </c>
      <c r="R358" s="0" t="s">
        <v>2007</v>
      </c>
      <c r="T358" s="0" t="s">
        <v>3305</v>
      </c>
      <c r="U358" s="0" t="s">
        <v>3306</v>
      </c>
      <c r="X358" s="0" t="s">
        <v>529</v>
      </c>
      <c r="Y358" s="0" t="s">
        <v>80</v>
      </c>
      <c r="Z358" s="0" t="s">
        <v>3178</v>
      </c>
      <c r="AA358" s="0" t="s">
        <v>175</v>
      </c>
      <c r="AB358" s="0" t="s">
        <v>300</v>
      </c>
      <c r="AF358" s="0" t="s">
        <v>1688</v>
      </c>
      <c r="AM358" s="0" t="s">
        <v>3307</v>
      </c>
      <c r="AN358" s="0" t="s">
        <v>3308</v>
      </c>
      <c r="AO358" s="0" t="s">
        <v>3309</v>
      </c>
      <c r="AP358" s="0" t="s">
        <v>305</v>
      </c>
      <c r="AQ358" s="0" t="s">
        <v>391</v>
      </c>
      <c r="AR358" s="0" t="s">
        <v>491</v>
      </c>
      <c r="AS358" s="0">
        <v>11</v>
      </c>
      <c r="AT358" s="0">
        <v>22</v>
      </c>
      <c r="AU358" s="0">
        <v>29</v>
      </c>
      <c r="AV358" s="0" t="s">
        <v>3310</v>
      </c>
      <c r="AW358" s="0" t="s">
        <v>331</v>
      </c>
      <c r="AX358" s="0" t="s">
        <v>3311</v>
      </c>
      <c r="AY358" s="0" t="s">
        <v>3312</v>
      </c>
      <c r="AZ358" s="0" t="s">
        <v>3313</v>
      </c>
      <c r="BA358" s="0">
        <v>475</v>
      </c>
      <c r="BB358" s="0" t="s">
        <v>232</v>
      </c>
      <c r="BC358" s="0">
        <v>3</v>
      </c>
      <c r="BD358" s="0">
        <v>14</v>
      </c>
      <c r="BE358" s="0">
        <v>364</v>
      </c>
      <c r="BF358" s="0">
        <v>2</v>
      </c>
      <c r="BG358" s="0" t="s">
        <v>3314</v>
      </c>
      <c r="BI358" s="0">
        <v>4824</v>
      </c>
      <c r="BK358" s="0" t="s">
        <v>3315</v>
      </c>
    </row>
    <row r="359">
      <c r="A359" s="0">
        <v>4917</v>
      </c>
      <c r="B359" s="0" t="s">
        <v>3316</v>
      </c>
      <c r="C359" s="0" t="s">
        <v>579</v>
      </c>
      <c r="D359" s="0" t="s">
        <v>3172</v>
      </c>
      <c r="E359" s="0" t="s">
        <v>3317</v>
      </c>
      <c r="F359" s="0">
        <v>1</v>
      </c>
      <c r="G359" s="0" t="s">
        <v>293</v>
      </c>
      <c r="H359" s="0" t="s">
        <v>294</v>
      </c>
      <c r="I359" s="0" t="s">
        <v>295</v>
      </c>
      <c r="J359" s="0" t="s">
        <v>581</v>
      </c>
      <c r="K359" s="0" t="s">
        <v>581</v>
      </c>
      <c r="L359" s="0" t="s">
        <v>583</v>
      </c>
      <c r="P359" s="0" t="s">
        <v>343</v>
      </c>
      <c r="Q359" s="0" t="s">
        <v>343</v>
      </c>
      <c r="R359" s="0" t="s">
        <v>343</v>
      </c>
      <c r="T359" s="0" t="s">
        <v>3318</v>
      </c>
      <c r="U359" s="0" t="s">
        <v>3319</v>
      </c>
      <c r="X359" s="0" t="s">
        <v>529</v>
      </c>
      <c r="Y359" s="0" t="s">
        <v>80</v>
      </c>
      <c r="Z359" s="0" t="s">
        <v>3178</v>
      </c>
      <c r="AA359" s="0" t="s">
        <v>175</v>
      </c>
      <c r="AB359" s="0" t="s">
        <v>300</v>
      </c>
      <c r="AF359" s="0" t="s">
        <v>1688</v>
      </c>
      <c r="AP359" s="0" t="s">
        <v>305</v>
      </c>
      <c r="BA359" s="0">
        <v>475</v>
      </c>
      <c r="BB359" s="0" t="s">
        <v>232</v>
      </c>
      <c r="BC359" s="0">
        <v>3</v>
      </c>
      <c r="BD359" s="0">
        <v>374046</v>
      </c>
      <c r="BE359" s="0">
        <v>364</v>
      </c>
      <c r="BF359" s="0">
        <v>2</v>
      </c>
      <c r="BG359" s="0" t="s">
        <v>3320</v>
      </c>
      <c r="BI359" s="0">
        <v>3720</v>
      </c>
      <c r="BK359" s="0" t="s">
        <v>3321</v>
      </c>
    </row>
    <row r="360">
      <c r="A360" s="0">
        <v>4915</v>
      </c>
      <c r="B360" s="0" t="s">
        <v>3322</v>
      </c>
      <c r="C360" s="0" t="s">
        <v>315</v>
      </c>
      <c r="D360" s="0" t="s">
        <v>3172</v>
      </c>
      <c r="E360" s="0" t="s">
        <v>3323</v>
      </c>
      <c r="F360" s="0">
        <v>1</v>
      </c>
      <c r="G360" s="0" t="s">
        <v>293</v>
      </c>
      <c r="H360" s="0" t="s">
        <v>3113</v>
      </c>
      <c r="I360" s="0" t="s">
        <v>3249</v>
      </c>
      <c r="J360" s="0" t="s">
        <v>594</v>
      </c>
      <c r="K360" s="0" t="s">
        <v>1190</v>
      </c>
      <c r="L360" s="0" t="s">
        <v>3174</v>
      </c>
      <c r="P360" s="0" t="s">
        <v>343</v>
      </c>
      <c r="Q360" s="0" t="s">
        <v>343</v>
      </c>
      <c r="R360" s="0" t="s">
        <v>343</v>
      </c>
      <c r="T360" s="0" t="s">
        <v>3324</v>
      </c>
      <c r="U360" s="0" t="s">
        <v>3325</v>
      </c>
      <c r="V360" s="0" t="s">
        <v>3252</v>
      </c>
      <c r="X360" s="0" t="s">
        <v>298</v>
      </c>
      <c r="Y360" s="0" t="s">
        <v>80</v>
      </c>
      <c r="Z360" s="0" t="s">
        <v>3178</v>
      </c>
      <c r="AA360" s="0" t="s">
        <v>175</v>
      </c>
      <c r="AB360" s="0" t="s">
        <v>300</v>
      </c>
      <c r="AF360" s="0" t="s">
        <v>1688</v>
      </c>
      <c r="AP360" s="0" t="s">
        <v>305</v>
      </c>
      <c r="BA360" s="0">
        <v>475</v>
      </c>
      <c r="BB360" s="0" t="s">
        <v>232</v>
      </c>
      <c r="BC360" s="0">
        <v>3</v>
      </c>
      <c r="BD360" s="0">
        <v>374043</v>
      </c>
      <c r="BE360" s="0">
        <v>364</v>
      </c>
      <c r="BF360" s="0">
        <v>5</v>
      </c>
      <c r="BG360" s="0" t="s">
        <v>3326</v>
      </c>
      <c r="BI360" s="0">
        <v>3498</v>
      </c>
      <c r="BK360" s="0" t="s">
        <v>3327</v>
      </c>
    </row>
    <row r="361">
      <c r="A361" s="0">
        <v>4928</v>
      </c>
      <c r="B361" s="0" t="s">
        <v>3328</v>
      </c>
      <c r="C361" s="0" t="s">
        <v>290</v>
      </c>
      <c r="D361" s="0" t="s">
        <v>3172</v>
      </c>
      <c r="E361" s="0" t="s">
        <v>3329</v>
      </c>
      <c r="F361" s="0">
        <v>1</v>
      </c>
      <c r="G361" s="0" t="s">
        <v>293</v>
      </c>
      <c r="H361" s="0" t="s">
        <v>294</v>
      </c>
      <c r="I361" s="0" t="s">
        <v>295</v>
      </c>
      <c r="P361" s="0" t="s">
        <v>323</v>
      </c>
      <c r="Q361" s="0" t="s">
        <v>323</v>
      </c>
      <c r="R361" s="0" t="s">
        <v>1021</v>
      </c>
      <c r="T361" s="0" t="s">
        <v>3330</v>
      </c>
      <c r="U361" s="0" t="s">
        <v>3331</v>
      </c>
      <c r="X361" s="0" t="s">
        <v>529</v>
      </c>
      <c r="Y361" s="0" t="s">
        <v>80</v>
      </c>
      <c r="Z361" s="0" t="s">
        <v>3178</v>
      </c>
      <c r="AA361" s="0" t="s">
        <v>175</v>
      </c>
      <c r="AB361" s="0" t="s">
        <v>300</v>
      </c>
      <c r="AF361" s="0" t="s">
        <v>1688</v>
      </c>
      <c r="AP361" s="0" t="s">
        <v>305</v>
      </c>
      <c r="BA361" s="0">
        <v>475</v>
      </c>
      <c r="BB361" s="0" t="s">
        <v>232</v>
      </c>
      <c r="BC361" s="0">
        <v>3</v>
      </c>
      <c r="BD361" s="0">
        <v>374053</v>
      </c>
      <c r="BE361" s="0">
        <v>364</v>
      </c>
      <c r="BF361" s="0">
        <v>2</v>
      </c>
      <c r="BG361" s="0" t="s">
        <v>3332</v>
      </c>
      <c r="BI361" s="0">
        <v>4509</v>
      </c>
      <c r="BK361" s="0" t="s">
        <v>3333</v>
      </c>
    </row>
    <row r="362">
      <c r="A362" s="0">
        <v>4919</v>
      </c>
      <c r="B362" s="0" t="s">
        <v>3334</v>
      </c>
      <c r="C362" s="0" t="s">
        <v>315</v>
      </c>
      <c r="D362" s="0" t="s">
        <v>3172</v>
      </c>
      <c r="E362" s="0" t="s">
        <v>3335</v>
      </c>
      <c r="F362" s="0">
        <v>1</v>
      </c>
      <c r="G362" s="0" t="s">
        <v>400</v>
      </c>
      <c r="H362" s="0" t="s">
        <v>1190</v>
      </c>
      <c r="I362" s="0" t="s">
        <v>3174</v>
      </c>
      <c r="J362" s="0" t="s">
        <v>555</v>
      </c>
      <c r="K362" s="0" t="s">
        <v>3227</v>
      </c>
      <c r="L362" s="0" t="s">
        <v>549</v>
      </c>
      <c r="M362" s="0" t="s">
        <v>293</v>
      </c>
      <c r="N362" s="0" t="s">
        <v>294</v>
      </c>
      <c r="O362" s="0" t="s">
        <v>295</v>
      </c>
      <c r="P362" s="0" t="s">
        <v>343</v>
      </c>
      <c r="Q362" s="0" t="s">
        <v>343</v>
      </c>
      <c r="R362" s="0" t="s">
        <v>343</v>
      </c>
      <c r="T362" s="0" t="s">
        <v>3336</v>
      </c>
      <c r="U362" s="0" t="s">
        <v>3337</v>
      </c>
      <c r="X362" s="0" t="s">
        <v>529</v>
      </c>
      <c r="Y362" s="0" t="s">
        <v>80</v>
      </c>
      <c r="Z362" s="0" t="s">
        <v>3178</v>
      </c>
      <c r="AA362" s="0" t="s">
        <v>175</v>
      </c>
      <c r="AB362" s="0" t="s">
        <v>300</v>
      </c>
      <c r="AF362" s="0" t="s">
        <v>1688</v>
      </c>
      <c r="AP362" s="0" t="s">
        <v>305</v>
      </c>
      <c r="BA362" s="0">
        <v>475</v>
      </c>
      <c r="BB362" s="0" t="s">
        <v>232</v>
      </c>
      <c r="BC362" s="0">
        <v>3</v>
      </c>
      <c r="BD362" s="0">
        <v>374043</v>
      </c>
      <c r="BE362" s="0">
        <v>364</v>
      </c>
      <c r="BF362" s="0">
        <v>2</v>
      </c>
      <c r="BG362" s="0" t="s">
        <v>3338</v>
      </c>
      <c r="BI362" s="0">
        <v>3908</v>
      </c>
      <c r="BK362" s="0" t="s">
        <v>3339</v>
      </c>
    </row>
    <row r="363">
      <c r="A363" s="0">
        <v>5186</v>
      </c>
      <c r="C363" s="0" t="s">
        <v>315</v>
      </c>
      <c r="D363" s="0" t="s">
        <v>3340</v>
      </c>
      <c r="E363" s="0" t="s">
        <v>3341</v>
      </c>
      <c r="F363" s="0">
        <v>1</v>
      </c>
      <c r="G363" s="0" t="s">
        <v>293</v>
      </c>
      <c r="H363" s="0" t="s">
        <v>294</v>
      </c>
      <c r="I363" s="0" t="s">
        <v>295</v>
      </c>
      <c r="J363" s="0" t="s">
        <v>400</v>
      </c>
      <c r="K363" s="0" t="s">
        <v>1190</v>
      </c>
      <c r="L363" s="0" t="s">
        <v>3342</v>
      </c>
      <c r="P363" s="0" t="s">
        <v>343</v>
      </c>
      <c r="Q363" s="0" t="s">
        <v>343</v>
      </c>
      <c r="T363" s="0" t="s">
        <v>3343</v>
      </c>
      <c r="X363" s="0" t="s">
        <v>529</v>
      </c>
      <c r="Y363" s="0" t="s">
        <v>80</v>
      </c>
      <c r="Z363" s="0" t="s">
        <v>3178</v>
      </c>
      <c r="AA363" s="0" t="s">
        <v>175</v>
      </c>
      <c r="AB363" s="0" t="s">
        <v>300</v>
      </c>
      <c r="AF363" s="0" t="s">
        <v>1688</v>
      </c>
      <c r="AP363" s="0" t="s">
        <v>305</v>
      </c>
      <c r="BA363" s="0">
        <v>475</v>
      </c>
      <c r="BB363" s="0" t="s">
        <v>232</v>
      </c>
      <c r="BC363" s="0">
        <v>3</v>
      </c>
      <c r="BD363" s="0">
        <v>374043</v>
      </c>
      <c r="BE363" s="0">
        <v>364</v>
      </c>
      <c r="BF363" s="0">
        <v>2</v>
      </c>
      <c r="BG363" s="0" t="s">
        <v>3344</v>
      </c>
      <c r="BI363" s="0">
        <v>4862</v>
      </c>
      <c r="BK363" s="0" t="s">
        <v>3345</v>
      </c>
    </row>
    <row r="364">
      <c r="A364" s="0">
        <v>4930</v>
      </c>
      <c r="B364" s="0" t="s">
        <v>3346</v>
      </c>
      <c r="C364" s="0" t="s">
        <v>315</v>
      </c>
      <c r="D364" s="0" t="s">
        <v>3172</v>
      </c>
      <c r="E364" s="0" t="s">
        <v>3347</v>
      </c>
      <c r="F364" s="0">
        <v>1</v>
      </c>
      <c r="G364" s="0" t="s">
        <v>555</v>
      </c>
      <c r="H364" s="0" t="s">
        <v>3227</v>
      </c>
      <c r="I364" s="0" t="s">
        <v>417</v>
      </c>
      <c r="J364" s="0" t="s">
        <v>594</v>
      </c>
      <c r="K364" s="0" t="s">
        <v>1190</v>
      </c>
      <c r="L364" s="0" t="s">
        <v>549</v>
      </c>
      <c r="M364" s="0" t="s">
        <v>293</v>
      </c>
      <c r="N364" s="0" t="s">
        <v>294</v>
      </c>
      <c r="O364" s="0" t="s">
        <v>295</v>
      </c>
      <c r="P364" s="0" t="s">
        <v>323</v>
      </c>
      <c r="Q364" s="0" t="s">
        <v>323</v>
      </c>
      <c r="R364" s="0" t="s">
        <v>2007</v>
      </c>
      <c r="T364" s="0" t="s">
        <v>3348</v>
      </c>
      <c r="U364" s="0" t="s">
        <v>3349</v>
      </c>
      <c r="X364" s="0" t="s">
        <v>529</v>
      </c>
      <c r="Y364" s="0" t="s">
        <v>80</v>
      </c>
      <c r="Z364" s="0" t="s">
        <v>3178</v>
      </c>
      <c r="AA364" s="0" t="s">
        <v>175</v>
      </c>
      <c r="AB364" s="0" t="s">
        <v>300</v>
      </c>
      <c r="AF364" s="0" t="s">
        <v>1688</v>
      </c>
      <c r="AP364" s="0" t="s">
        <v>305</v>
      </c>
      <c r="BA364" s="0">
        <v>475</v>
      </c>
      <c r="BB364" s="0" t="s">
        <v>232</v>
      </c>
      <c r="BC364" s="0">
        <v>3</v>
      </c>
      <c r="BD364" s="0">
        <v>374043</v>
      </c>
      <c r="BE364" s="0">
        <v>364</v>
      </c>
      <c r="BF364" s="0">
        <v>2</v>
      </c>
      <c r="BG364" s="0" t="s">
        <v>3350</v>
      </c>
      <c r="BI364" s="0">
        <v>4603</v>
      </c>
      <c r="BK364" s="0" t="s">
        <v>3351</v>
      </c>
    </row>
    <row r="365">
      <c r="A365" s="0">
        <v>4901</v>
      </c>
      <c r="B365" s="0" t="s">
        <v>3352</v>
      </c>
      <c r="C365" s="0" t="s">
        <v>945</v>
      </c>
      <c r="D365" s="0" t="s">
        <v>3172</v>
      </c>
      <c r="E365" s="0" t="s">
        <v>3353</v>
      </c>
      <c r="F365" s="0">
        <v>1</v>
      </c>
      <c r="G365" s="0" t="s">
        <v>543</v>
      </c>
      <c r="H365" s="0" t="s">
        <v>1112</v>
      </c>
      <c r="I365" s="0" t="s">
        <v>3195</v>
      </c>
      <c r="J365" s="0" t="s">
        <v>594</v>
      </c>
      <c r="K365" s="0" t="s">
        <v>1190</v>
      </c>
      <c r="L365" s="0" t="s">
        <v>3195</v>
      </c>
      <c r="P365" s="0" t="s">
        <v>323</v>
      </c>
      <c r="Q365" s="0" t="s">
        <v>343</v>
      </c>
      <c r="R365" s="0" t="s">
        <v>3196</v>
      </c>
      <c r="T365" s="0" t="s">
        <v>3354</v>
      </c>
      <c r="U365" s="0" t="s">
        <v>3355</v>
      </c>
      <c r="X365" s="0" t="s">
        <v>529</v>
      </c>
      <c r="Y365" s="0" t="s">
        <v>80</v>
      </c>
      <c r="Z365" s="0" t="s">
        <v>3178</v>
      </c>
      <c r="AA365" s="0" t="s">
        <v>175</v>
      </c>
      <c r="AB365" s="0" t="s">
        <v>300</v>
      </c>
      <c r="AF365" s="0" t="s">
        <v>1688</v>
      </c>
      <c r="AM365" s="0" t="s">
        <v>2900</v>
      </c>
      <c r="AN365" s="0" t="s">
        <v>309</v>
      </c>
      <c r="AO365" s="0" t="s">
        <v>487</v>
      </c>
      <c r="AP365" s="0" t="s">
        <v>305</v>
      </c>
      <c r="AQ365" s="0" t="s">
        <v>1077</v>
      </c>
      <c r="AR365" s="0" t="s">
        <v>1450</v>
      </c>
      <c r="AS365" s="0">
        <v>99</v>
      </c>
      <c r="AT365" s="0">
        <v>200</v>
      </c>
      <c r="AU365" s="0">
        <v>256</v>
      </c>
      <c r="AV365" s="0" t="s">
        <v>3356</v>
      </c>
      <c r="AW365" s="0" t="s">
        <v>332</v>
      </c>
      <c r="AX365" s="0" t="s">
        <v>352</v>
      </c>
      <c r="AY365" s="0" t="s">
        <v>349</v>
      </c>
      <c r="AZ365" s="0" t="s">
        <v>311</v>
      </c>
      <c r="BA365" s="0">
        <v>475</v>
      </c>
      <c r="BB365" s="0" t="s">
        <v>232</v>
      </c>
      <c r="BC365" s="0">
        <v>3</v>
      </c>
      <c r="BD365" s="0">
        <v>14</v>
      </c>
      <c r="BE365" s="0">
        <v>364</v>
      </c>
      <c r="BF365" s="0">
        <v>2</v>
      </c>
      <c r="BG365" s="0" t="s">
        <v>3357</v>
      </c>
      <c r="BI365" s="0">
        <v>362</v>
      </c>
      <c r="BK365" s="0" t="s">
        <v>3358</v>
      </c>
    </row>
    <row r="366">
      <c r="A366" s="0">
        <v>4922</v>
      </c>
      <c r="B366" s="0" t="s">
        <v>3359</v>
      </c>
      <c r="C366" s="0" t="s">
        <v>339</v>
      </c>
      <c r="D366" s="0" t="s">
        <v>3172</v>
      </c>
      <c r="E366" s="0" t="s">
        <v>3360</v>
      </c>
      <c r="F366" s="0">
        <v>1</v>
      </c>
      <c r="G366" s="0" t="s">
        <v>594</v>
      </c>
      <c r="H366" s="0" t="s">
        <v>1190</v>
      </c>
      <c r="I366" s="0" t="s">
        <v>3174</v>
      </c>
      <c r="J366" s="0" t="s">
        <v>319</v>
      </c>
      <c r="K366" s="0" t="s">
        <v>3256</v>
      </c>
      <c r="L366" s="0" t="s">
        <v>3361</v>
      </c>
      <c r="P366" s="0" t="s">
        <v>323</v>
      </c>
      <c r="Q366" s="0" t="s">
        <v>323</v>
      </c>
      <c r="R366" s="0" t="s">
        <v>2034</v>
      </c>
      <c r="T366" s="0" t="s">
        <v>3362</v>
      </c>
      <c r="U366" s="0" t="s">
        <v>3363</v>
      </c>
      <c r="X366" s="0" t="s">
        <v>347</v>
      </c>
      <c r="Y366" s="0" t="s">
        <v>80</v>
      </c>
      <c r="Z366" s="0" t="s">
        <v>3178</v>
      </c>
      <c r="AA366" s="0" t="s">
        <v>175</v>
      </c>
      <c r="AB366" s="0" t="s">
        <v>300</v>
      </c>
      <c r="AF366" s="0" t="s">
        <v>1688</v>
      </c>
      <c r="AM366" s="0" t="s">
        <v>1181</v>
      </c>
      <c r="AN366" s="0" t="s">
        <v>3364</v>
      </c>
      <c r="AO366" s="0" t="s">
        <v>512</v>
      </c>
      <c r="AP366" s="0" t="s">
        <v>305</v>
      </c>
      <c r="AS366" s="0">
        <v>20</v>
      </c>
      <c r="AT366" s="0">
        <v>44</v>
      </c>
      <c r="AU366" s="0">
        <v>44</v>
      </c>
      <c r="AX366" s="0" t="s">
        <v>3365</v>
      </c>
      <c r="AY366" s="0" t="s">
        <v>3366</v>
      </c>
      <c r="AZ366" s="0" t="s">
        <v>3367</v>
      </c>
      <c r="BA366" s="0">
        <v>475</v>
      </c>
      <c r="BB366" s="0" t="s">
        <v>232</v>
      </c>
      <c r="BC366" s="0">
        <v>3</v>
      </c>
      <c r="BD366" s="0">
        <v>8</v>
      </c>
      <c r="BE366" s="0">
        <v>364</v>
      </c>
      <c r="BF366" s="0">
        <v>4</v>
      </c>
      <c r="BG366" s="0" t="s">
        <v>3368</v>
      </c>
      <c r="BI366" s="0">
        <v>4151</v>
      </c>
      <c r="BK366" s="0" t="s">
        <v>3369</v>
      </c>
    </row>
    <row r="367">
      <c r="A367" s="0">
        <v>4923</v>
      </c>
      <c r="B367" s="0" t="s">
        <v>3370</v>
      </c>
      <c r="C367" s="0" t="s">
        <v>339</v>
      </c>
      <c r="D367" s="0" t="s">
        <v>3172</v>
      </c>
      <c r="E367" s="0" t="s">
        <v>3371</v>
      </c>
      <c r="F367" s="0">
        <v>1</v>
      </c>
      <c r="G367" s="0" t="s">
        <v>594</v>
      </c>
      <c r="H367" s="0" t="s">
        <v>1190</v>
      </c>
      <c r="I367" s="0" t="s">
        <v>3174</v>
      </c>
      <c r="J367" s="0" t="s">
        <v>319</v>
      </c>
      <c r="K367" s="0" t="s">
        <v>3256</v>
      </c>
      <c r="L367" s="0" t="s">
        <v>3361</v>
      </c>
      <c r="P367" s="0" t="s">
        <v>323</v>
      </c>
      <c r="Q367" s="0" t="s">
        <v>323</v>
      </c>
      <c r="R367" s="0" t="s">
        <v>2034</v>
      </c>
      <c r="T367" s="0" t="s">
        <v>3372</v>
      </c>
      <c r="U367" s="0" t="s">
        <v>3373</v>
      </c>
      <c r="X367" s="0" t="s">
        <v>347</v>
      </c>
      <c r="Y367" s="0" t="s">
        <v>80</v>
      </c>
      <c r="Z367" s="0" t="s">
        <v>3178</v>
      </c>
      <c r="AA367" s="0" t="s">
        <v>175</v>
      </c>
      <c r="AB367" s="0" t="s">
        <v>300</v>
      </c>
      <c r="AF367" s="0" t="s">
        <v>1688</v>
      </c>
      <c r="AM367" s="0" t="s">
        <v>1181</v>
      </c>
      <c r="AN367" s="0" t="s">
        <v>2940</v>
      </c>
      <c r="AO367" s="0" t="s">
        <v>512</v>
      </c>
      <c r="AP367" s="0" t="s">
        <v>305</v>
      </c>
      <c r="AS367" s="0">
        <v>40</v>
      </c>
      <c r="AT367" s="0">
        <v>88</v>
      </c>
      <c r="AU367" s="0">
        <v>88</v>
      </c>
      <c r="AX367" s="0" t="s">
        <v>3365</v>
      </c>
      <c r="AY367" s="0" t="s">
        <v>3374</v>
      </c>
      <c r="AZ367" s="0" t="s">
        <v>3367</v>
      </c>
      <c r="BA367" s="0">
        <v>475</v>
      </c>
      <c r="BB367" s="0" t="s">
        <v>232</v>
      </c>
      <c r="BC367" s="0">
        <v>3</v>
      </c>
      <c r="BD367" s="0">
        <v>8</v>
      </c>
      <c r="BE367" s="0">
        <v>364</v>
      </c>
      <c r="BF367" s="0">
        <v>4</v>
      </c>
      <c r="BG367" s="0" t="s">
        <v>3375</v>
      </c>
      <c r="BI367" s="0">
        <v>4221</v>
      </c>
      <c r="BK367" s="0" t="s">
        <v>3376</v>
      </c>
    </row>
    <row r="368">
      <c r="A368" s="0">
        <v>4906</v>
      </c>
      <c r="B368" s="0" t="s">
        <v>3377</v>
      </c>
      <c r="C368" s="0" t="s">
        <v>945</v>
      </c>
      <c r="D368" s="0" t="s">
        <v>3172</v>
      </c>
      <c r="E368" s="0" t="s">
        <v>3378</v>
      </c>
      <c r="F368" s="0">
        <v>1</v>
      </c>
      <c r="G368" s="0" t="s">
        <v>543</v>
      </c>
      <c r="H368" s="0" t="s">
        <v>3227</v>
      </c>
      <c r="I368" s="0" t="s">
        <v>3195</v>
      </c>
      <c r="J368" s="0" t="s">
        <v>400</v>
      </c>
      <c r="K368" s="0" t="s">
        <v>1190</v>
      </c>
      <c r="L368" s="0" t="s">
        <v>3379</v>
      </c>
      <c r="P368" s="0" t="s">
        <v>323</v>
      </c>
      <c r="Q368" s="0" t="s">
        <v>323</v>
      </c>
      <c r="R368" s="0" t="s">
        <v>3380</v>
      </c>
      <c r="T368" s="0" t="s">
        <v>3381</v>
      </c>
      <c r="U368" s="0" t="s">
        <v>3382</v>
      </c>
      <c r="X368" s="0" t="s">
        <v>529</v>
      </c>
      <c r="Y368" s="0" t="s">
        <v>80</v>
      </c>
      <c r="Z368" s="0" t="s">
        <v>3178</v>
      </c>
      <c r="AA368" s="0" t="s">
        <v>175</v>
      </c>
      <c r="AB368" s="0" t="s">
        <v>300</v>
      </c>
      <c r="AF368" s="0" t="s">
        <v>1688</v>
      </c>
      <c r="AM368" s="0" t="s">
        <v>425</v>
      </c>
      <c r="AN368" s="0" t="s">
        <v>422</v>
      </c>
      <c r="AO368" s="0" t="s">
        <v>491</v>
      </c>
      <c r="AP368" s="0" t="s">
        <v>305</v>
      </c>
      <c r="AQ368" s="0" t="s">
        <v>423</v>
      </c>
      <c r="AR368" s="0" t="s">
        <v>1807</v>
      </c>
      <c r="AS368" s="0">
        <v>117</v>
      </c>
      <c r="AT368" s="0">
        <v>252</v>
      </c>
      <c r="AU368" s="0">
        <v>288</v>
      </c>
      <c r="AV368" s="0" t="s">
        <v>332</v>
      </c>
      <c r="AW368" s="0" t="s">
        <v>332</v>
      </c>
      <c r="AX368" s="0" t="s">
        <v>3045</v>
      </c>
      <c r="AY368" s="0" t="s">
        <v>3383</v>
      </c>
      <c r="AZ368" s="0" t="s">
        <v>1473</v>
      </c>
      <c r="BA368" s="0">
        <v>475</v>
      </c>
      <c r="BB368" s="0" t="s">
        <v>232</v>
      </c>
      <c r="BC368" s="0">
        <v>3</v>
      </c>
      <c r="BD368" s="0">
        <v>14</v>
      </c>
      <c r="BE368" s="0">
        <v>364</v>
      </c>
      <c r="BF368" s="0">
        <v>2</v>
      </c>
      <c r="BG368" s="0" t="s">
        <v>3384</v>
      </c>
      <c r="BI368" s="0">
        <v>1921</v>
      </c>
      <c r="BK368" s="0" t="s">
        <v>3385</v>
      </c>
    </row>
    <row r="369">
      <c r="A369" s="0">
        <v>5185</v>
      </c>
      <c r="C369" s="0" t="s">
        <v>945</v>
      </c>
      <c r="D369" s="0" t="s">
        <v>3340</v>
      </c>
      <c r="E369" s="0" t="s">
        <v>3386</v>
      </c>
      <c r="F369" s="0">
        <v>1</v>
      </c>
      <c r="G369" s="0" t="s">
        <v>543</v>
      </c>
      <c r="H369" s="0" t="s">
        <v>593</v>
      </c>
      <c r="I369" s="0" t="s">
        <v>3387</v>
      </c>
      <c r="J369" s="0" t="s">
        <v>400</v>
      </c>
      <c r="K369" s="0" t="s">
        <v>1190</v>
      </c>
      <c r="L369" s="0" t="s">
        <v>3379</v>
      </c>
      <c r="P369" s="0" t="s">
        <v>1191</v>
      </c>
      <c r="Q369" s="0" t="s">
        <v>343</v>
      </c>
      <c r="R369" s="0" t="s">
        <v>3379</v>
      </c>
      <c r="T369" s="0" t="s">
        <v>3388</v>
      </c>
      <c r="X369" s="0" t="s">
        <v>529</v>
      </c>
      <c r="Y369" s="0" t="s">
        <v>80</v>
      </c>
      <c r="Z369" s="0" t="s">
        <v>3178</v>
      </c>
      <c r="AA369" s="0" t="s">
        <v>175</v>
      </c>
      <c r="AB369" s="0" t="s">
        <v>300</v>
      </c>
      <c r="AF369" s="0" t="s">
        <v>1688</v>
      </c>
      <c r="AP369" s="0" t="s">
        <v>305</v>
      </c>
      <c r="BA369" s="0">
        <v>475</v>
      </c>
      <c r="BB369" s="0" t="s">
        <v>232</v>
      </c>
      <c r="BC369" s="0">
        <v>3</v>
      </c>
      <c r="BD369" s="0">
        <v>14</v>
      </c>
      <c r="BE369" s="0">
        <v>364</v>
      </c>
      <c r="BF369" s="0">
        <v>2</v>
      </c>
      <c r="BG369" s="0" t="s">
        <v>3389</v>
      </c>
      <c r="BI369" s="0">
        <v>4843</v>
      </c>
      <c r="BK369" s="0" t="s">
        <v>3390</v>
      </c>
    </row>
    <row r="370">
      <c r="A370" s="0">
        <v>4905</v>
      </c>
      <c r="B370" s="0" t="s">
        <v>3391</v>
      </c>
      <c r="C370" s="0" t="s">
        <v>945</v>
      </c>
      <c r="D370" s="0" t="s">
        <v>3172</v>
      </c>
      <c r="E370" s="0" t="s">
        <v>3392</v>
      </c>
      <c r="F370" s="0">
        <v>1</v>
      </c>
      <c r="G370" s="0" t="s">
        <v>543</v>
      </c>
      <c r="H370" s="0" t="s">
        <v>3227</v>
      </c>
      <c r="I370" s="0" t="s">
        <v>3195</v>
      </c>
      <c r="J370" s="0" t="s">
        <v>400</v>
      </c>
      <c r="K370" s="0" t="s">
        <v>1190</v>
      </c>
      <c r="L370" s="0" t="s">
        <v>469</v>
      </c>
      <c r="P370" s="0" t="s">
        <v>323</v>
      </c>
      <c r="Q370" s="0" t="s">
        <v>323</v>
      </c>
      <c r="R370" s="0" t="s">
        <v>3196</v>
      </c>
      <c r="T370" s="0" t="s">
        <v>3393</v>
      </c>
      <c r="U370" s="0" t="s">
        <v>3394</v>
      </c>
      <c r="X370" s="0" t="s">
        <v>529</v>
      </c>
      <c r="Y370" s="0" t="s">
        <v>80</v>
      </c>
      <c r="Z370" s="0" t="s">
        <v>3178</v>
      </c>
      <c r="AA370" s="0" t="s">
        <v>175</v>
      </c>
      <c r="AB370" s="0" t="s">
        <v>300</v>
      </c>
      <c r="AF370" s="0" t="s">
        <v>1688</v>
      </c>
      <c r="AM370" s="0" t="s">
        <v>598</v>
      </c>
      <c r="AN370" s="0" t="s">
        <v>1425</v>
      </c>
      <c r="AO370" s="0" t="s">
        <v>598</v>
      </c>
      <c r="AP370" s="0" t="s">
        <v>305</v>
      </c>
      <c r="AQ370" s="0" t="s">
        <v>1772</v>
      </c>
      <c r="AR370" s="0" t="s">
        <v>1070</v>
      </c>
      <c r="AS370" s="0">
        <v>24</v>
      </c>
      <c r="AT370" s="0">
        <v>48</v>
      </c>
      <c r="AU370" s="0">
        <v>56</v>
      </c>
      <c r="AV370" s="0" t="s">
        <v>332</v>
      </c>
      <c r="AW370" s="0" t="s">
        <v>332</v>
      </c>
      <c r="AX370" s="0" t="s">
        <v>781</v>
      </c>
      <c r="AY370" s="0" t="s">
        <v>3395</v>
      </c>
      <c r="AZ370" s="0" t="s">
        <v>3367</v>
      </c>
      <c r="BA370" s="0">
        <v>475</v>
      </c>
      <c r="BB370" s="0" t="s">
        <v>232</v>
      </c>
      <c r="BC370" s="0">
        <v>3</v>
      </c>
      <c r="BD370" s="0">
        <v>14</v>
      </c>
      <c r="BE370" s="0">
        <v>364</v>
      </c>
      <c r="BF370" s="0">
        <v>2</v>
      </c>
      <c r="BG370" s="0" t="s">
        <v>3396</v>
      </c>
      <c r="BI370" s="0">
        <v>1674</v>
      </c>
      <c r="BK370" s="0" t="s">
        <v>3397</v>
      </c>
    </row>
    <row r="371">
      <c r="A371" s="0">
        <v>4904</v>
      </c>
      <c r="B371" s="0" t="s">
        <v>3398</v>
      </c>
      <c r="C371" s="0" t="s">
        <v>945</v>
      </c>
      <c r="D371" s="0" t="s">
        <v>3172</v>
      </c>
      <c r="E371" s="0" t="s">
        <v>3399</v>
      </c>
      <c r="F371" s="0">
        <v>1</v>
      </c>
      <c r="G371" s="0" t="s">
        <v>543</v>
      </c>
      <c r="H371" s="0" t="s">
        <v>1112</v>
      </c>
      <c r="I371" s="0" t="s">
        <v>3195</v>
      </c>
      <c r="J371" s="0" t="s">
        <v>400</v>
      </c>
      <c r="K371" s="0" t="s">
        <v>1190</v>
      </c>
      <c r="L371" s="0" t="s">
        <v>3379</v>
      </c>
      <c r="P371" s="0" t="s">
        <v>323</v>
      </c>
      <c r="Q371" s="0" t="s">
        <v>323</v>
      </c>
      <c r="R371" s="0" t="s">
        <v>3196</v>
      </c>
      <c r="T371" s="0" t="s">
        <v>3400</v>
      </c>
      <c r="U371" s="0" t="s">
        <v>3401</v>
      </c>
      <c r="X371" s="0" t="s">
        <v>529</v>
      </c>
      <c r="Y371" s="0" t="s">
        <v>80</v>
      </c>
      <c r="Z371" s="0" t="s">
        <v>3178</v>
      </c>
      <c r="AA371" s="0" t="s">
        <v>175</v>
      </c>
      <c r="AB371" s="0" t="s">
        <v>300</v>
      </c>
      <c r="AF371" s="0" t="s">
        <v>1688</v>
      </c>
      <c r="AM371" s="0" t="s">
        <v>311</v>
      </c>
      <c r="AN371" s="0" t="s">
        <v>1066</v>
      </c>
      <c r="AO371" s="0" t="s">
        <v>598</v>
      </c>
      <c r="AP371" s="0" t="s">
        <v>305</v>
      </c>
      <c r="AQ371" s="0" t="s">
        <v>3402</v>
      </c>
      <c r="AR371" s="0" t="s">
        <v>475</v>
      </c>
      <c r="AS371" s="0">
        <v>66</v>
      </c>
      <c r="AT371" s="0">
        <v>138</v>
      </c>
      <c r="AU371" s="0">
        <v>165</v>
      </c>
      <c r="AV371" s="0" t="s">
        <v>332</v>
      </c>
      <c r="AW371" s="0" t="s">
        <v>332</v>
      </c>
      <c r="AX371" s="0" t="s">
        <v>781</v>
      </c>
      <c r="AY371" s="0" t="s">
        <v>627</v>
      </c>
      <c r="AZ371" s="0" t="s">
        <v>3367</v>
      </c>
      <c r="BA371" s="0">
        <v>475</v>
      </c>
      <c r="BB371" s="0" t="s">
        <v>232</v>
      </c>
      <c r="BC371" s="0">
        <v>3</v>
      </c>
      <c r="BD371" s="0">
        <v>14</v>
      </c>
      <c r="BE371" s="0">
        <v>364</v>
      </c>
      <c r="BF371" s="0">
        <v>2</v>
      </c>
      <c r="BG371" s="0" t="s">
        <v>3403</v>
      </c>
      <c r="BI371" s="0">
        <v>1407</v>
      </c>
      <c r="BK371" s="0" t="s">
        <v>3404</v>
      </c>
    </row>
    <row r="372">
      <c r="A372" s="0">
        <v>4903</v>
      </c>
      <c r="B372" s="0" t="s">
        <v>3405</v>
      </c>
      <c r="C372" s="0" t="s">
        <v>945</v>
      </c>
      <c r="D372" s="0" t="s">
        <v>3172</v>
      </c>
      <c r="E372" s="0" t="s">
        <v>3406</v>
      </c>
      <c r="F372" s="0">
        <v>1</v>
      </c>
      <c r="G372" s="0" t="s">
        <v>543</v>
      </c>
      <c r="H372" s="0" t="s">
        <v>3227</v>
      </c>
      <c r="I372" s="0" t="s">
        <v>3195</v>
      </c>
      <c r="J372" s="0" t="s">
        <v>400</v>
      </c>
      <c r="K372" s="0" t="s">
        <v>1190</v>
      </c>
      <c r="L372" s="0" t="s">
        <v>3379</v>
      </c>
      <c r="P372" s="0" t="s">
        <v>323</v>
      </c>
      <c r="Q372" s="0" t="s">
        <v>323</v>
      </c>
      <c r="R372" s="0" t="s">
        <v>3196</v>
      </c>
      <c r="T372" s="0" t="s">
        <v>3407</v>
      </c>
      <c r="U372" s="0" t="s">
        <v>3408</v>
      </c>
      <c r="X372" s="0" t="s">
        <v>298</v>
      </c>
      <c r="Y372" s="0" t="s">
        <v>80</v>
      </c>
      <c r="Z372" s="0" t="s">
        <v>3178</v>
      </c>
      <c r="AA372" s="0" t="s">
        <v>175</v>
      </c>
      <c r="AB372" s="0" t="s">
        <v>300</v>
      </c>
      <c r="AF372" s="0" t="s">
        <v>1688</v>
      </c>
      <c r="AM372" s="0" t="s">
        <v>3409</v>
      </c>
      <c r="AN372" s="0" t="s">
        <v>3410</v>
      </c>
      <c r="AO372" s="0" t="s">
        <v>3411</v>
      </c>
      <c r="AP372" s="0" t="s">
        <v>305</v>
      </c>
      <c r="AQ372" s="0" t="s">
        <v>3412</v>
      </c>
      <c r="AR372" s="0" t="s">
        <v>389</v>
      </c>
      <c r="AS372" s="0">
        <v>48</v>
      </c>
      <c r="AT372" s="0">
        <v>102</v>
      </c>
      <c r="AU372" s="0">
        <v>117</v>
      </c>
      <c r="AV372" s="0" t="s">
        <v>308</v>
      </c>
      <c r="AW372" s="0" t="s">
        <v>332</v>
      </c>
      <c r="AX372" s="0" t="s">
        <v>1583</v>
      </c>
      <c r="AY372" s="0" t="s">
        <v>388</v>
      </c>
      <c r="AZ372" s="0" t="s">
        <v>462</v>
      </c>
      <c r="BA372" s="0">
        <v>475</v>
      </c>
      <c r="BB372" s="0" t="s">
        <v>232</v>
      </c>
      <c r="BC372" s="0">
        <v>3</v>
      </c>
      <c r="BD372" s="0">
        <v>14</v>
      </c>
      <c r="BE372" s="0">
        <v>364</v>
      </c>
      <c r="BF372" s="0">
        <v>5</v>
      </c>
      <c r="BG372" s="0" t="s">
        <v>3413</v>
      </c>
      <c r="BI372" s="0">
        <v>1098</v>
      </c>
      <c r="BK372" s="0" t="s">
        <v>3414</v>
      </c>
    </row>
    <row r="373">
      <c r="A373" s="0">
        <v>4924</v>
      </c>
      <c r="B373" s="0" t="s">
        <v>3415</v>
      </c>
      <c r="C373" s="0" t="s">
        <v>339</v>
      </c>
      <c r="D373" s="0" t="s">
        <v>3172</v>
      </c>
      <c r="E373" s="0" t="s">
        <v>3416</v>
      </c>
      <c r="F373" s="0">
        <v>1</v>
      </c>
      <c r="G373" s="0" t="s">
        <v>543</v>
      </c>
      <c r="H373" s="0" t="s">
        <v>3227</v>
      </c>
      <c r="I373" s="0" t="s">
        <v>544</v>
      </c>
      <c r="J373" s="0" t="s">
        <v>293</v>
      </c>
      <c r="K373" s="0" t="s">
        <v>294</v>
      </c>
      <c r="L373" s="0" t="s">
        <v>295</v>
      </c>
      <c r="P373" s="0" t="s">
        <v>323</v>
      </c>
      <c r="Q373" s="0" t="s">
        <v>323</v>
      </c>
      <c r="R373" s="0" t="s">
        <v>324</v>
      </c>
      <c r="T373" s="0" t="s">
        <v>3417</v>
      </c>
      <c r="U373" s="0" t="s">
        <v>3418</v>
      </c>
      <c r="X373" s="0" t="s">
        <v>529</v>
      </c>
      <c r="Y373" s="0" t="s">
        <v>80</v>
      </c>
      <c r="Z373" s="0" t="s">
        <v>3178</v>
      </c>
      <c r="AA373" s="0" t="s">
        <v>175</v>
      </c>
      <c r="AB373" s="0" t="s">
        <v>300</v>
      </c>
      <c r="AF373" s="0" t="s">
        <v>1688</v>
      </c>
      <c r="AM373" s="0" t="s">
        <v>3419</v>
      </c>
      <c r="AN373" s="0" t="s">
        <v>3420</v>
      </c>
      <c r="AO373" s="0" t="s">
        <v>3419</v>
      </c>
      <c r="AP373" s="0" t="s">
        <v>305</v>
      </c>
      <c r="AQ373" s="0" t="s">
        <v>3421</v>
      </c>
      <c r="AX373" s="0" t="s">
        <v>3422</v>
      </c>
      <c r="AY373" s="0" t="s">
        <v>3423</v>
      </c>
      <c r="AZ373" s="0" t="s">
        <v>3424</v>
      </c>
      <c r="BA373" s="0">
        <v>475</v>
      </c>
      <c r="BB373" s="0" t="s">
        <v>232</v>
      </c>
      <c r="BC373" s="0">
        <v>3</v>
      </c>
      <c r="BD373" s="0">
        <v>8</v>
      </c>
      <c r="BE373" s="0">
        <v>364</v>
      </c>
      <c r="BF373" s="0">
        <v>2</v>
      </c>
      <c r="BG373" s="0" t="s">
        <v>3425</v>
      </c>
      <c r="BI373" s="0">
        <v>4288</v>
      </c>
      <c r="BK373" s="0" t="s">
        <v>3426</v>
      </c>
    </row>
    <row r="374">
      <c r="A374" s="0">
        <v>4934</v>
      </c>
      <c r="B374" s="0" t="s">
        <v>3427</v>
      </c>
      <c r="D374" s="0" t="s">
        <v>3172</v>
      </c>
      <c r="E374" s="0" t="s">
        <v>3428</v>
      </c>
      <c r="F374" s="0">
        <v>1</v>
      </c>
      <c r="G374" s="0" t="s">
        <v>400</v>
      </c>
      <c r="H374" s="0" t="s">
        <v>1190</v>
      </c>
      <c r="I374" s="0" t="s">
        <v>3174</v>
      </c>
      <c r="J374" s="0" t="s">
        <v>293</v>
      </c>
      <c r="K374" s="0" t="s">
        <v>294</v>
      </c>
      <c r="L374" s="0" t="s">
        <v>295</v>
      </c>
      <c r="P374" s="0" t="s">
        <v>323</v>
      </c>
      <c r="Q374" s="0" t="s">
        <v>323</v>
      </c>
      <c r="R374" s="0" t="s">
        <v>324</v>
      </c>
      <c r="T374" s="0" t="s">
        <v>3429</v>
      </c>
      <c r="X374" s="0" t="s">
        <v>1116</v>
      </c>
      <c r="Y374" s="0" t="s">
        <v>80</v>
      </c>
      <c r="Z374" s="0" t="s">
        <v>3178</v>
      </c>
      <c r="AA374" s="0" t="s">
        <v>175</v>
      </c>
      <c r="AB374" s="0" t="s">
        <v>300</v>
      </c>
      <c r="AF374" s="0" t="s">
        <v>1688</v>
      </c>
      <c r="AP374" s="0" t="s">
        <v>305</v>
      </c>
      <c r="BA374" s="0">
        <v>475</v>
      </c>
      <c r="BB374" s="0" t="s">
        <v>232</v>
      </c>
      <c r="BC374" s="0">
        <v>3</v>
      </c>
      <c r="BE374" s="0">
        <v>364</v>
      </c>
      <c r="BF374" s="0">
        <v>1</v>
      </c>
      <c r="BG374" s="0" t="s">
        <v>3430</v>
      </c>
      <c r="BI374" s="0">
        <v>4729</v>
      </c>
      <c r="BK374" s="0" t="s">
        <v>3431</v>
      </c>
    </row>
    <row r="375">
      <c r="A375" s="0">
        <v>4916</v>
      </c>
      <c r="B375" s="0" t="s">
        <v>3432</v>
      </c>
      <c r="C375" s="0" t="s">
        <v>315</v>
      </c>
      <c r="D375" s="0" t="s">
        <v>3172</v>
      </c>
      <c r="E375" s="0" t="s">
        <v>3433</v>
      </c>
      <c r="F375" s="0">
        <v>1</v>
      </c>
      <c r="G375" s="0" t="s">
        <v>293</v>
      </c>
      <c r="H375" s="0" t="s">
        <v>3113</v>
      </c>
      <c r="I375" s="0" t="s">
        <v>3249</v>
      </c>
      <c r="J375" s="0" t="s">
        <v>594</v>
      </c>
      <c r="K375" s="0" t="s">
        <v>1190</v>
      </c>
      <c r="L375" s="0" t="s">
        <v>3174</v>
      </c>
      <c r="P375" s="0" t="s">
        <v>343</v>
      </c>
      <c r="Q375" s="0" t="s">
        <v>343</v>
      </c>
      <c r="R375" s="0" t="s">
        <v>343</v>
      </c>
      <c r="T375" s="0" t="s">
        <v>3434</v>
      </c>
      <c r="U375" s="0" t="s">
        <v>3435</v>
      </c>
      <c r="V375" s="0" t="s">
        <v>3252</v>
      </c>
      <c r="X375" s="0" t="s">
        <v>298</v>
      </c>
      <c r="Y375" s="0" t="s">
        <v>80</v>
      </c>
      <c r="Z375" s="0" t="s">
        <v>3178</v>
      </c>
      <c r="AA375" s="0" t="s">
        <v>175</v>
      </c>
      <c r="AB375" s="0" t="s">
        <v>300</v>
      </c>
      <c r="AF375" s="0" t="s">
        <v>1688</v>
      </c>
      <c r="AP375" s="0" t="s">
        <v>305</v>
      </c>
      <c r="BA375" s="0">
        <v>475</v>
      </c>
      <c r="BB375" s="0" t="s">
        <v>232</v>
      </c>
      <c r="BC375" s="0">
        <v>3</v>
      </c>
      <c r="BD375" s="0">
        <v>374043</v>
      </c>
      <c r="BE375" s="0">
        <v>364</v>
      </c>
      <c r="BF375" s="0">
        <v>5</v>
      </c>
      <c r="BG375" s="0" t="s">
        <v>3436</v>
      </c>
      <c r="BI375" s="0">
        <v>3612</v>
      </c>
      <c r="BK375" s="0" t="s">
        <v>3437</v>
      </c>
    </row>
    <row r="376">
      <c r="A376" s="0">
        <v>5035</v>
      </c>
      <c r="B376" s="0" t="s">
        <v>3438</v>
      </c>
      <c r="C376" s="0" t="s">
        <v>315</v>
      </c>
      <c r="D376" s="0" t="s">
        <v>3172</v>
      </c>
      <c r="E376" s="0" t="s">
        <v>3439</v>
      </c>
      <c r="F376" s="0">
        <v>1</v>
      </c>
      <c r="G376" s="0" t="s">
        <v>594</v>
      </c>
      <c r="H376" s="0" t="s">
        <v>1190</v>
      </c>
      <c r="I376" s="0" t="s">
        <v>2947</v>
      </c>
      <c r="J376" s="0" t="s">
        <v>555</v>
      </c>
      <c r="K376" s="0" t="s">
        <v>1112</v>
      </c>
      <c r="L376" s="0" t="s">
        <v>2947</v>
      </c>
      <c r="P376" s="0" t="s">
        <v>323</v>
      </c>
      <c r="Q376" s="0" t="s">
        <v>343</v>
      </c>
      <c r="R376" s="0" t="s">
        <v>1253</v>
      </c>
      <c r="T376" s="0" t="s">
        <v>3440</v>
      </c>
      <c r="U376" s="0" t="s">
        <v>3441</v>
      </c>
      <c r="X376" s="0" t="s">
        <v>298</v>
      </c>
      <c r="Y376" s="0" t="s">
        <v>80</v>
      </c>
      <c r="Z376" s="0" t="s">
        <v>3178</v>
      </c>
      <c r="AA376" s="0" t="s">
        <v>175</v>
      </c>
      <c r="AB376" s="0" t="s">
        <v>300</v>
      </c>
      <c r="AF376" s="0" t="s">
        <v>1688</v>
      </c>
      <c r="AP376" s="0" t="s">
        <v>305</v>
      </c>
      <c r="BA376" s="0">
        <v>475</v>
      </c>
      <c r="BB376" s="0" t="s">
        <v>232</v>
      </c>
      <c r="BC376" s="0">
        <v>3</v>
      </c>
      <c r="BD376" s="0">
        <v>374043</v>
      </c>
      <c r="BE376" s="0">
        <v>364</v>
      </c>
      <c r="BF376" s="0">
        <v>5</v>
      </c>
      <c r="BG376" s="0" t="s">
        <v>3442</v>
      </c>
      <c r="BI376" s="0">
        <v>4787</v>
      </c>
      <c r="BK376" s="0" t="s">
        <v>3443</v>
      </c>
    </row>
    <row r="377">
      <c r="A377" s="0">
        <v>4929</v>
      </c>
      <c r="B377" s="0" t="s">
        <v>3444</v>
      </c>
      <c r="C377" s="0" t="s">
        <v>315</v>
      </c>
      <c r="D377" s="0" t="s">
        <v>3172</v>
      </c>
      <c r="E377" s="0" t="s">
        <v>3445</v>
      </c>
      <c r="F377" s="0">
        <v>1</v>
      </c>
      <c r="G377" s="0" t="s">
        <v>594</v>
      </c>
      <c r="H377" s="0" t="s">
        <v>1190</v>
      </c>
      <c r="I377" s="0" t="s">
        <v>2947</v>
      </c>
      <c r="J377" s="0" t="s">
        <v>555</v>
      </c>
      <c r="K377" s="0" t="s">
        <v>593</v>
      </c>
      <c r="L377" s="0" t="s">
        <v>2947</v>
      </c>
      <c r="P377" s="0" t="s">
        <v>323</v>
      </c>
      <c r="Q377" s="0" t="s">
        <v>323</v>
      </c>
      <c r="R377" s="0" t="s">
        <v>1253</v>
      </c>
      <c r="T377" s="0" t="s">
        <v>3446</v>
      </c>
      <c r="U377" s="0" t="s">
        <v>3447</v>
      </c>
      <c r="X377" s="0" t="s">
        <v>298</v>
      </c>
      <c r="Y377" s="0" t="s">
        <v>80</v>
      </c>
      <c r="Z377" s="0" t="s">
        <v>3178</v>
      </c>
      <c r="AA377" s="0" t="s">
        <v>175</v>
      </c>
      <c r="AB377" s="0" t="s">
        <v>300</v>
      </c>
      <c r="AF377" s="0" t="s">
        <v>1688</v>
      </c>
      <c r="AP377" s="0" t="s">
        <v>305</v>
      </c>
      <c r="BA377" s="0">
        <v>475</v>
      </c>
      <c r="BB377" s="0" t="s">
        <v>232</v>
      </c>
      <c r="BC377" s="0">
        <v>3</v>
      </c>
      <c r="BD377" s="0">
        <v>374043</v>
      </c>
      <c r="BE377" s="0">
        <v>364</v>
      </c>
      <c r="BF377" s="0">
        <v>5</v>
      </c>
      <c r="BG377" s="0" t="s">
        <v>3448</v>
      </c>
      <c r="BI377" s="0">
        <v>4557</v>
      </c>
      <c r="BK377" s="0" t="s">
        <v>3449</v>
      </c>
    </row>
    <row r="378">
      <c r="A378" s="0">
        <v>4925</v>
      </c>
      <c r="B378" s="0" t="s">
        <v>3450</v>
      </c>
      <c r="C378" s="0" t="s">
        <v>315</v>
      </c>
      <c r="D378" s="0" t="s">
        <v>3172</v>
      </c>
      <c r="E378" s="0" t="s">
        <v>3451</v>
      </c>
      <c r="F378" s="0">
        <v>1</v>
      </c>
      <c r="G378" s="0" t="s">
        <v>594</v>
      </c>
      <c r="H378" s="0" t="s">
        <v>1190</v>
      </c>
      <c r="I378" s="0" t="s">
        <v>3174</v>
      </c>
      <c r="J378" s="0" t="s">
        <v>496</v>
      </c>
      <c r="L378" s="0" t="s">
        <v>469</v>
      </c>
      <c r="P378" s="0" t="s">
        <v>323</v>
      </c>
      <c r="Q378" s="0" t="s">
        <v>323</v>
      </c>
      <c r="R378" s="0" t="s">
        <v>2034</v>
      </c>
      <c r="T378" s="0" t="s">
        <v>3452</v>
      </c>
      <c r="U378" s="0" t="s">
        <v>3453</v>
      </c>
      <c r="V378" s="0" t="s">
        <v>3252</v>
      </c>
      <c r="X378" s="0" t="s">
        <v>529</v>
      </c>
      <c r="Y378" s="0" t="s">
        <v>80</v>
      </c>
      <c r="Z378" s="0" t="s">
        <v>3178</v>
      </c>
      <c r="AA378" s="0" t="s">
        <v>175</v>
      </c>
      <c r="AB378" s="0" t="s">
        <v>300</v>
      </c>
      <c r="AF378" s="0" t="s">
        <v>1688</v>
      </c>
      <c r="AP378" s="0" t="s">
        <v>305</v>
      </c>
      <c r="BA378" s="0">
        <v>475</v>
      </c>
      <c r="BB378" s="0" t="s">
        <v>232</v>
      </c>
      <c r="BC378" s="0">
        <v>3</v>
      </c>
      <c r="BD378" s="0">
        <v>374043</v>
      </c>
      <c r="BE378" s="0">
        <v>364</v>
      </c>
      <c r="BF378" s="0">
        <v>2</v>
      </c>
      <c r="BG378" s="0" t="s">
        <v>3454</v>
      </c>
      <c r="BI378" s="0">
        <v>4351</v>
      </c>
      <c r="BK378" s="0" t="s">
        <v>3455</v>
      </c>
    </row>
    <row r="379">
      <c r="A379" s="0">
        <v>4907</v>
      </c>
      <c r="B379" s="0" t="s">
        <v>3456</v>
      </c>
      <c r="C379" s="0" t="s">
        <v>315</v>
      </c>
      <c r="D379" s="0" t="s">
        <v>3172</v>
      </c>
      <c r="E379" s="0" t="s">
        <v>3457</v>
      </c>
      <c r="F379" s="0">
        <v>1</v>
      </c>
      <c r="G379" s="0" t="s">
        <v>594</v>
      </c>
      <c r="H379" s="0" t="s">
        <v>1190</v>
      </c>
      <c r="I379" s="0" t="s">
        <v>3174</v>
      </c>
      <c r="J379" s="0" t="s">
        <v>293</v>
      </c>
      <c r="K379" s="0" t="s">
        <v>3113</v>
      </c>
      <c r="L379" s="0" t="s">
        <v>3249</v>
      </c>
      <c r="P379" s="0" t="s">
        <v>343</v>
      </c>
      <c r="Q379" s="0" t="s">
        <v>343</v>
      </c>
      <c r="R379" s="0" t="s">
        <v>343</v>
      </c>
      <c r="T379" s="0" t="s">
        <v>3458</v>
      </c>
      <c r="U379" s="0" t="s">
        <v>3459</v>
      </c>
      <c r="V379" s="0" t="s">
        <v>3252</v>
      </c>
      <c r="X379" s="0" t="s">
        <v>298</v>
      </c>
      <c r="Y379" s="0" t="s">
        <v>80</v>
      </c>
      <c r="Z379" s="0" t="s">
        <v>3178</v>
      </c>
      <c r="AA379" s="0" t="s">
        <v>175</v>
      </c>
      <c r="AB379" s="0" t="s">
        <v>300</v>
      </c>
      <c r="AF379" s="0" t="s">
        <v>1688</v>
      </c>
      <c r="AP379" s="0" t="s">
        <v>305</v>
      </c>
      <c r="BA379" s="0">
        <v>475</v>
      </c>
      <c r="BB379" s="0" t="s">
        <v>232</v>
      </c>
      <c r="BC379" s="0">
        <v>3</v>
      </c>
      <c r="BD379" s="0">
        <v>374043</v>
      </c>
      <c r="BE379" s="0">
        <v>364</v>
      </c>
      <c r="BF379" s="0">
        <v>5</v>
      </c>
      <c r="BG379" s="0" t="s">
        <v>3460</v>
      </c>
      <c r="BI379" s="0">
        <v>2152</v>
      </c>
      <c r="BK379" s="0" t="s">
        <v>3461</v>
      </c>
    </row>
    <row r="380">
      <c r="A380" s="0">
        <v>4968</v>
      </c>
      <c r="B380" s="0" t="s">
        <v>3462</v>
      </c>
      <c r="C380" s="0" t="s">
        <v>339</v>
      </c>
      <c r="D380" s="0" t="s">
        <v>3463</v>
      </c>
      <c r="E380" s="0" t="s">
        <v>1994</v>
      </c>
      <c r="F380" s="0">
        <v>2</v>
      </c>
      <c r="G380" s="0" t="s">
        <v>1995</v>
      </c>
      <c r="H380" s="0" t="s">
        <v>1996</v>
      </c>
      <c r="J380" s="0" t="s">
        <v>319</v>
      </c>
      <c r="K380" s="0" t="s">
        <v>1997</v>
      </c>
      <c r="L380" s="0" t="s">
        <v>3464</v>
      </c>
      <c r="P380" s="0" t="s">
        <v>343</v>
      </c>
      <c r="Q380" s="0" t="s">
        <v>343</v>
      </c>
      <c r="T380" s="0" t="s">
        <v>3465</v>
      </c>
      <c r="U380" s="0" t="s">
        <v>3466</v>
      </c>
      <c r="W380" s="0" t="s">
        <v>1538</v>
      </c>
      <c r="X380" s="0" t="s">
        <v>529</v>
      </c>
      <c r="Y380" s="0" t="s">
        <v>94</v>
      </c>
      <c r="Z380" s="0" t="s">
        <v>1972</v>
      </c>
      <c r="AA380" s="0" t="s">
        <v>179</v>
      </c>
      <c r="AB380" s="0" t="s">
        <v>531</v>
      </c>
      <c r="AC380" s="0" t="s">
        <v>571</v>
      </c>
      <c r="AD380" s="0" t="s">
        <v>3467</v>
      </c>
      <c r="AF380" s="0" t="s">
        <v>301</v>
      </c>
      <c r="AM380" s="0" t="s">
        <v>372</v>
      </c>
      <c r="AN380" s="0" t="s">
        <v>366</v>
      </c>
      <c r="AO380" s="0" t="s">
        <v>598</v>
      </c>
      <c r="AP380" s="0" t="s">
        <v>305</v>
      </c>
      <c r="AQ380" s="0" t="s">
        <v>1575</v>
      </c>
      <c r="AR380" s="0" t="s">
        <v>1012</v>
      </c>
      <c r="AS380" s="0">
        <v>147</v>
      </c>
      <c r="AT380" s="0">
        <v>315</v>
      </c>
      <c r="AU380" s="0">
        <v>355</v>
      </c>
      <c r="AV380" s="0" t="s">
        <v>332</v>
      </c>
      <c r="AW380" s="0" t="s">
        <v>332</v>
      </c>
      <c r="AX380" s="0" t="s">
        <v>352</v>
      </c>
      <c r="AY380" s="0" t="s">
        <v>1472</v>
      </c>
      <c r="AZ380" s="0" t="s">
        <v>2774</v>
      </c>
      <c r="BA380" s="0">
        <v>477</v>
      </c>
      <c r="BB380" s="0" t="s">
        <v>232</v>
      </c>
      <c r="BC380" s="0">
        <v>2</v>
      </c>
      <c r="BD380" s="0">
        <v>8</v>
      </c>
      <c r="BE380" s="0">
        <v>112779</v>
      </c>
      <c r="BF380" s="0">
        <v>2</v>
      </c>
      <c r="BG380" s="0" t="s">
        <v>3468</v>
      </c>
      <c r="BI380" s="0">
        <v>3496</v>
      </c>
      <c r="BK380" s="0" t="s">
        <v>3469</v>
      </c>
    </row>
    <row r="381">
      <c r="A381" s="0">
        <v>4951</v>
      </c>
      <c r="B381" s="0" t="s">
        <v>3470</v>
      </c>
      <c r="C381" s="0" t="s">
        <v>290</v>
      </c>
      <c r="D381" s="0" t="s">
        <v>3463</v>
      </c>
      <c r="E381" s="0" t="s">
        <v>3471</v>
      </c>
      <c r="F381" s="0">
        <v>2</v>
      </c>
      <c r="G381" s="0" t="s">
        <v>293</v>
      </c>
      <c r="H381" s="0" t="s">
        <v>294</v>
      </c>
      <c r="I381" s="0" t="s">
        <v>918</v>
      </c>
      <c r="T381" s="0" t="s">
        <v>3472</v>
      </c>
      <c r="U381" s="0" t="s">
        <v>3473</v>
      </c>
      <c r="W381" s="0" t="s">
        <v>1538</v>
      </c>
      <c r="X381" s="0" t="s">
        <v>529</v>
      </c>
      <c r="Y381" s="0" t="s">
        <v>94</v>
      </c>
      <c r="Z381" s="0" t="s">
        <v>1972</v>
      </c>
      <c r="AA381" s="0" t="s">
        <v>179</v>
      </c>
      <c r="AB381" s="0" t="s">
        <v>531</v>
      </c>
      <c r="AC381" s="0" t="s">
        <v>571</v>
      </c>
      <c r="AD381" s="0" t="s">
        <v>3467</v>
      </c>
      <c r="AF381" s="0" t="s">
        <v>301</v>
      </c>
      <c r="AP381" s="0" t="s">
        <v>305</v>
      </c>
      <c r="BA381" s="0">
        <v>477</v>
      </c>
      <c r="BB381" s="0" t="s">
        <v>232</v>
      </c>
      <c r="BC381" s="0">
        <v>2</v>
      </c>
      <c r="BD381" s="0">
        <v>374053</v>
      </c>
      <c r="BE381" s="0">
        <v>112779</v>
      </c>
      <c r="BF381" s="0">
        <v>2</v>
      </c>
      <c r="BG381" s="0" t="s">
        <v>3474</v>
      </c>
      <c r="BI381" s="0">
        <v>2912</v>
      </c>
      <c r="BK381" s="0" t="s">
        <v>3475</v>
      </c>
    </row>
    <row r="382">
      <c r="A382" s="0">
        <v>4974</v>
      </c>
      <c r="B382" s="0" t="s">
        <v>3476</v>
      </c>
      <c r="C382" s="0" t="s">
        <v>315</v>
      </c>
      <c r="D382" s="0" t="s">
        <v>3463</v>
      </c>
      <c r="E382" s="0" t="s">
        <v>3477</v>
      </c>
      <c r="F382" s="0">
        <v>2</v>
      </c>
      <c r="G382" s="0" t="s">
        <v>318</v>
      </c>
      <c r="J382" s="0" t="s">
        <v>319</v>
      </c>
      <c r="K382" s="0" t="s">
        <v>320</v>
      </c>
      <c r="L382" s="0" t="s">
        <v>524</v>
      </c>
      <c r="P382" s="0" t="s">
        <v>323</v>
      </c>
      <c r="Q382" s="0" t="s">
        <v>323</v>
      </c>
      <c r="R382" s="0" t="s">
        <v>324</v>
      </c>
      <c r="U382" s="0" t="s">
        <v>3478</v>
      </c>
      <c r="W382" s="0" t="s">
        <v>1538</v>
      </c>
      <c r="X382" s="0" t="s">
        <v>529</v>
      </c>
      <c r="Y382" s="0" t="s">
        <v>94</v>
      </c>
      <c r="Z382" s="0" t="s">
        <v>1972</v>
      </c>
      <c r="AA382" s="0" t="s">
        <v>179</v>
      </c>
      <c r="AB382" s="0" t="s">
        <v>531</v>
      </c>
      <c r="AC382" s="0" t="s">
        <v>571</v>
      </c>
      <c r="AD382" s="0" t="s">
        <v>3467</v>
      </c>
      <c r="AF382" s="0" t="s">
        <v>301</v>
      </c>
      <c r="AP382" s="0" t="s">
        <v>305</v>
      </c>
      <c r="BA382" s="0">
        <v>477</v>
      </c>
      <c r="BB382" s="0" t="s">
        <v>232</v>
      </c>
      <c r="BC382" s="0">
        <v>2</v>
      </c>
      <c r="BD382" s="0">
        <v>374043</v>
      </c>
      <c r="BE382" s="0">
        <v>112779</v>
      </c>
      <c r="BF382" s="0">
        <v>2</v>
      </c>
      <c r="BG382" s="0" t="s">
        <v>3479</v>
      </c>
      <c r="BI382" s="0">
        <v>4076</v>
      </c>
      <c r="BK382" s="0" t="s">
        <v>3480</v>
      </c>
    </row>
    <row r="383">
      <c r="A383" s="0">
        <v>4972</v>
      </c>
      <c r="B383" s="0" t="s">
        <v>3481</v>
      </c>
      <c r="C383" s="0" t="s">
        <v>315</v>
      </c>
      <c r="D383" s="0" t="s">
        <v>3463</v>
      </c>
      <c r="E383" s="0" t="s">
        <v>3482</v>
      </c>
      <c r="F383" s="0">
        <v>4</v>
      </c>
      <c r="G383" s="0" t="s">
        <v>318</v>
      </c>
      <c r="J383" s="0" t="s">
        <v>319</v>
      </c>
      <c r="K383" s="0" t="s">
        <v>3483</v>
      </c>
      <c r="L383" s="0" t="s">
        <v>524</v>
      </c>
      <c r="M383" s="0" t="s">
        <v>293</v>
      </c>
      <c r="N383" s="0" t="s">
        <v>294</v>
      </c>
      <c r="O383" s="0" t="s">
        <v>918</v>
      </c>
      <c r="T383" s="0" t="s">
        <v>3484</v>
      </c>
      <c r="U383" s="0" t="s">
        <v>3485</v>
      </c>
      <c r="W383" s="0" t="s">
        <v>1538</v>
      </c>
      <c r="X383" s="0" t="s">
        <v>529</v>
      </c>
      <c r="Y383" s="0" t="s">
        <v>94</v>
      </c>
      <c r="Z383" s="0" t="s">
        <v>1972</v>
      </c>
      <c r="AA383" s="0" t="s">
        <v>179</v>
      </c>
      <c r="AB383" s="0" t="s">
        <v>531</v>
      </c>
      <c r="AC383" s="0" t="s">
        <v>571</v>
      </c>
      <c r="AD383" s="0" t="s">
        <v>3467</v>
      </c>
      <c r="AF383" s="0" t="s">
        <v>301</v>
      </c>
      <c r="AP383" s="0" t="s">
        <v>305</v>
      </c>
      <c r="BA383" s="0">
        <v>477</v>
      </c>
      <c r="BB383" s="0" t="s">
        <v>232</v>
      </c>
      <c r="BC383" s="0">
        <v>2</v>
      </c>
      <c r="BD383" s="0">
        <v>374043</v>
      </c>
      <c r="BE383" s="0">
        <v>112779</v>
      </c>
      <c r="BF383" s="0">
        <v>2</v>
      </c>
      <c r="BG383" s="0" t="s">
        <v>3486</v>
      </c>
      <c r="BI383" s="0">
        <v>3907</v>
      </c>
      <c r="BK383" s="0" t="s">
        <v>3487</v>
      </c>
    </row>
    <row r="384">
      <c r="A384" s="0">
        <v>4973</v>
      </c>
      <c r="B384" s="0" t="s">
        <v>3488</v>
      </c>
      <c r="C384" s="0" t="s">
        <v>315</v>
      </c>
      <c r="D384" s="0" t="s">
        <v>3463</v>
      </c>
      <c r="E384" s="0" t="s">
        <v>3489</v>
      </c>
      <c r="F384" s="0">
        <v>2</v>
      </c>
      <c r="G384" s="0" t="s">
        <v>318</v>
      </c>
      <c r="J384" s="0" t="s">
        <v>319</v>
      </c>
      <c r="K384" s="0" t="s">
        <v>320</v>
      </c>
      <c r="L384" s="0" t="s">
        <v>524</v>
      </c>
      <c r="P384" s="0" t="s">
        <v>323</v>
      </c>
      <c r="Q384" s="0" t="s">
        <v>323</v>
      </c>
      <c r="R384" s="0" t="s">
        <v>324</v>
      </c>
      <c r="U384" s="0" t="s">
        <v>3490</v>
      </c>
      <c r="W384" s="0" t="s">
        <v>1538</v>
      </c>
      <c r="X384" s="0" t="s">
        <v>529</v>
      </c>
      <c r="Y384" s="0" t="s">
        <v>94</v>
      </c>
      <c r="Z384" s="0" t="s">
        <v>1972</v>
      </c>
      <c r="AA384" s="0" t="s">
        <v>179</v>
      </c>
      <c r="AB384" s="0" t="s">
        <v>531</v>
      </c>
      <c r="AC384" s="0" t="s">
        <v>571</v>
      </c>
      <c r="AD384" s="0" t="s">
        <v>3467</v>
      </c>
      <c r="AF384" s="0" t="s">
        <v>301</v>
      </c>
      <c r="AP384" s="0" t="s">
        <v>305</v>
      </c>
      <c r="BA384" s="0">
        <v>477</v>
      </c>
      <c r="BB384" s="0" t="s">
        <v>232</v>
      </c>
      <c r="BC384" s="0">
        <v>2</v>
      </c>
      <c r="BD384" s="0">
        <v>374043</v>
      </c>
      <c r="BE384" s="0">
        <v>112779</v>
      </c>
      <c r="BF384" s="0">
        <v>2</v>
      </c>
      <c r="BG384" s="0" t="s">
        <v>3491</v>
      </c>
      <c r="BI384" s="0">
        <v>3995</v>
      </c>
      <c r="BK384" s="0" t="s">
        <v>3492</v>
      </c>
    </row>
    <row r="385">
      <c r="A385" s="0">
        <v>4986</v>
      </c>
      <c r="B385" s="0" t="s">
        <v>3493</v>
      </c>
      <c r="C385" s="0" t="s">
        <v>339</v>
      </c>
      <c r="D385" s="0" t="s">
        <v>3463</v>
      </c>
      <c r="E385" s="0" t="s">
        <v>3494</v>
      </c>
      <c r="F385" s="0">
        <v>2</v>
      </c>
      <c r="G385" s="0" t="s">
        <v>400</v>
      </c>
      <c r="J385" s="0" t="s">
        <v>319</v>
      </c>
      <c r="K385" s="0" t="s">
        <v>398</v>
      </c>
      <c r="L385" s="0" t="s">
        <v>948</v>
      </c>
      <c r="P385" s="0" t="s">
        <v>323</v>
      </c>
      <c r="Q385" s="0" t="s">
        <v>3495</v>
      </c>
      <c r="R385" s="0" t="s">
        <v>2034</v>
      </c>
      <c r="T385" s="0" t="s">
        <v>3496</v>
      </c>
      <c r="U385" s="0" t="s">
        <v>3497</v>
      </c>
      <c r="W385" s="0" t="s">
        <v>1538</v>
      </c>
      <c r="X385" s="0" t="s">
        <v>347</v>
      </c>
      <c r="Y385" s="0" t="s">
        <v>94</v>
      </c>
      <c r="Z385" s="0" t="s">
        <v>1972</v>
      </c>
      <c r="AA385" s="0" t="s">
        <v>179</v>
      </c>
      <c r="AB385" s="0" t="s">
        <v>531</v>
      </c>
      <c r="AC385" s="0" t="s">
        <v>571</v>
      </c>
      <c r="AD385" s="0" t="s">
        <v>3467</v>
      </c>
      <c r="AF385" s="0" t="s">
        <v>301</v>
      </c>
      <c r="AM385" s="0" t="s">
        <v>353</v>
      </c>
      <c r="AN385" s="0" t="s">
        <v>353</v>
      </c>
      <c r="AO385" s="0" t="s">
        <v>1066</v>
      </c>
      <c r="AP385" s="0" t="s">
        <v>305</v>
      </c>
      <c r="AQ385" s="0" t="s">
        <v>2307</v>
      </c>
      <c r="AR385" s="0" t="s">
        <v>1300</v>
      </c>
      <c r="AU385" s="0">
        <v>78</v>
      </c>
      <c r="AV385" s="0" t="s">
        <v>332</v>
      </c>
      <c r="AW385" s="0" t="s">
        <v>332</v>
      </c>
      <c r="AX385" s="0" t="s">
        <v>1584</v>
      </c>
      <c r="AY385" s="0" t="s">
        <v>1584</v>
      </c>
      <c r="AZ385" s="0" t="s">
        <v>611</v>
      </c>
      <c r="BA385" s="0">
        <v>477</v>
      </c>
      <c r="BB385" s="0" t="s">
        <v>232</v>
      </c>
      <c r="BC385" s="0">
        <v>2</v>
      </c>
      <c r="BD385" s="0">
        <v>8</v>
      </c>
      <c r="BE385" s="0">
        <v>112779</v>
      </c>
      <c r="BF385" s="0">
        <v>4</v>
      </c>
      <c r="BG385" s="0" t="s">
        <v>3498</v>
      </c>
      <c r="BI385" s="0">
        <v>4077</v>
      </c>
      <c r="BK385" s="0" t="s">
        <v>3499</v>
      </c>
    </row>
    <row r="386">
      <c r="A386" s="0">
        <v>4990</v>
      </c>
      <c r="B386" s="0" t="s">
        <v>3500</v>
      </c>
      <c r="C386" s="0" t="s">
        <v>339</v>
      </c>
      <c r="D386" s="0" t="s">
        <v>3463</v>
      </c>
      <c r="E386" s="0" t="s">
        <v>3501</v>
      </c>
      <c r="F386" s="0">
        <v>2</v>
      </c>
      <c r="G386" s="0" t="s">
        <v>400</v>
      </c>
      <c r="J386" s="0" t="s">
        <v>319</v>
      </c>
      <c r="K386" s="0" t="s">
        <v>398</v>
      </c>
      <c r="L386" s="0" t="s">
        <v>948</v>
      </c>
      <c r="P386" s="0" t="s">
        <v>323</v>
      </c>
      <c r="Q386" s="0" t="s">
        <v>323</v>
      </c>
      <c r="R386" s="0" t="s">
        <v>2034</v>
      </c>
      <c r="T386" s="0" t="s">
        <v>3502</v>
      </c>
      <c r="U386" s="0" t="s">
        <v>3503</v>
      </c>
      <c r="W386" s="0" t="s">
        <v>1538</v>
      </c>
      <c r="X386" s="0" t="s">
        <v>347</v>
      </c>
      <c r="Y386" s="0" t="s">
        <v>94</v>
      </c>
      <c r="Z386" s="0" t="s">
        <v>1972</v>
      </c>
      <c r="AA386" s="0" t="s">
        <v>179</v>
      </c>
      <c r="AB386" s="0" t="s">
        <v>531</v>
      </c>
      <c r="AC386" s="0" t="s">
        <v>571</v>
      </c>
      <c r="AD386" s="0" t="s">
        <v>3467</v>
      </c>
      <c r="AF386" s="0" t="s">
        <v>301</v>
      </c>
      <c r="AM386" s="0" t="s">
        <v>367</v>
      </c>
      <c r="AN386" s="0" t="s">
        <v>367</v>
      </c>
      <c r="AO386" s="0" t="s">
        <v>1482</v>
      </c>
      <c r="AP386" s="0" t="s">
        <v>305</v>
      </c>
      <c r="AQ386" s="0" t="s">
        <v>882</v>
      </c>
      <c r="AR386" s="0" t="s">
        <v>883</v>
      </c>
      <c r="AU386" s="0">
        <v>232</v>
      </c>
      <c r="AV386" s="0" t="s">
        <v>332</v>
      </c>
      <c r="AW386" s="0" t="s">
        <v>332</v>
      </c>
      <c r="AX386" s="0" t="s">
        <v>304</v>
      </c>
      <c r="AY386" s="0" t="s">
        <v>304</v>
      </c>
      <c r="AZ386" s="0" t="s">
        <v>1473</v>
      </c>
      <c r="BA386" s="0">
        <v>477</v>
      </c>
      <c r="BB386" s="0" t="s">
        <v>232</v>
      </c>
      <c r="BC386" s="0">
        <v>2</v>
      </c>
      <c r="BD386" s="0">
        <v>8</v>
      </c>
      <c r="BE386" s="0">
        <v>112779</v>
      </c>
      <c r="BF386" s="0">
        <v>4</v>
      </c>
      <c r="BG386" s="0" t="s">
        <v>3504</v>
      </c>
      <c r="BI386" s="0">
        <v>4287</v>
      </c>
      <c r="BK386" s="0" t="s">
        <v>3505</v>
      </c>
    </row>
    <row r="387">
      <c r="A387" s="0">
        <v>4991</v>
      </c>
      <c r="B387" s="0" t="s">
        <v>3506</v>
      </c>
      <c r="C387" s="0" t="s">
        <v>339</v>
      </c>
      <c r="D387" s="0" t="s">
        <v>3463</v>
      </c>
      <c r="E387" s="0" t="s">
        <v>3507</v>
      </c>
      <c r="F387" s="0">
        <v>2</v>
      </c>
      <c r="G387" s="0" t="s">
        <v>400</v>
      </c>
      <c r="J387" s="0" t="s">
        <v>319</v>
      </c>
      <c r="K387" s="0" t="s">
        <v>398</v>
      </c>
      <c r="L387" s="0" t="s">
        <v>948</v>
      </c>
      <c r="P387" s="0" t="s">
        <v>323</v>
      </c>
      <c r="Q387" s="0" t="s">
        <v>3508</v>
      </c>
      <c r="R387" s="0" t="s">
        <v>2034</v>
      </c>
      <c r="T387" s="0" t="s">
        <v>3509</v>
      </c>
      <c r="U387" s="0" t="s">
        <v>3510</v>
      </c>
      <c r="W387" s="0" t="s">
        <v>1538</v>
      </c>
      <c r="X387" s="0" t="s">
        <v>347</v>
      </c>
      <c r="Y387" s="0" t="s">
        <v>94</v>
      </c>
      <c r="Z387" s="0" t="s">
        <v>1972</v>
      </c>
      <c r="AA387" s="0" t="s">
        <v>179</v>
      </c>
      <c r="AB387" s="0" t="s">
        <v>531</v>
      </c>
      <c r="AC387" s="0" t="s">
        <v>571</v>
      </c>
      <c r="AD387" s="0" t="s">
        <v>3467</v>
      </c>
      <c r="AF387" s="0" t="s">
        <v>301</v>
      </c>
      <c r="AM387" s="0" t="s">
        <v>573</v>
      </c>
      <c r="AN387" s="0" t="s">
        <v>978</v>
      </c>
      <c r="AO387" s="0" t="s">
        <v>1066</v>
      </c>
      <c r="AP387" s="0" t="s">
        <v>305</v>
      </c>
      <c r="AQ387" s="0" t="s">
        <v>809</v>
      </c>
      <c r="AR387" s="0" t="s">
        <v>1482</v>
      </c>
      <c r="AU387" s="0">
        <v>76</v>
      </c>
      <c r="AV387" s="0" t="s">
        <v>332</v>
      </c>
      <c r="AW387" s="0" t="s">
        <v>332</v>
      </c>
      <c r="AX387" s="0" t="s">
        <v>599</v>
      </c>
      <c r="AY387" s="0" t="s">
        <v>1946</v>
      </c>
      <c r="AZ387" s="0" t="s">
        <v>611</v>
      </c>
      <c r="BA387" s="0">
        <v>477</v>
      </c>
      <c r="BB387" s="0" t="s">
        <v>232</v>
      </c>
      <c r="BC387" s="0">
        <v>2</v>
      </c>
      <c r="BD387" s="0">
        <v>8</v>
      </c>
      <c r="BE387" s="0">
        <v>112779</v>
      </c>
      <c r="BF387" s="0">
        <v>4</v>
      </c>
      <c r="BG387" s="0" t="s">
        <v>3511</v>
      </c>
      <c r="BI387" s="0">
        <v>4349</v>
      </c>
      <c r="BK387" s="0" t="s">
        <v>3512</v>
      </c>
    </row>
    <row r="388">
      <c r="A388" s="0">
        <v>4988</v>
      </c>
      <c r="B388" s="0" t="s">
        <v>3513</v>
      </c>
      <c r="C388" s="0" t="s">
        <v>339</v>
      </c>
      <c r="D388" s="0" t="s">
        <v>3463</v>
      </c>
      <c r="E388" s="0" t="s">
        <v>3514</v>
      </c>
      <c r="F388" s="0">
        <v>2</v>
      </c>
      <c r="G388" s="0" t="s">
        <v>400</v>
      </c>
      <c r="J388" s="0" t="s">
        <v>319</v>
      </c>
      <c r="K388" s="0" t="s">
        <v>398</v>
      </c>
      <c r="L388" s="0" t="s">
        <v>948</v>
      </c>
      <c r="P388" s="0" t="s">
        <v>323</v>
      </c>
      <c r="Q388" s="0" t="s">
        <v>3515</v>
      </c>
      <c r="R388" s="0" t="s">
        <v>2034</v>
      </c>
      <c r="T388" s="0" t="s">
        <v>3516</v>
      </c>
      <c r="U388" s="0" t="s">
        <v>3517</v>
      </c>
      <c r="W388" s="0" t="s">
        <v>1538</v>
      </c>
      <c r="X388" s="0" t="s">
        <v>347</v>
      </c>
      <c r="Y388" s="0" t="s">
        <v>94</v>
      </c>
      <c r="Z388" s="0" t="s">
        <v>1972</v>
      </c>
      <c r="AA388" s="0" t="s">
        <v>179</v>
      </c>
      <c r="AB388" s="0" t="s">
        <v>531</v>
      </c>
      <c r="AC388" s="0" t="s">
        <v>571</v>
      </c>
      <c r="AD388" s="0" t="s">
        <v>3467</v>
      </c>
      <c r="AF388" s="0" t="s">
        <v>301</v>
      </c>
      <c r="AM388" s="0" t="s">
        <v>353</v>
      </c>
      <c r="AN388" s="0" t="s">
        <v>367</v>
      </c>
      <c r="AO388" s="0" t="s">
        <v>1066</v>
      </c>
      <c r="AP388" s="0" t="s">
        <v>305</v>
      </c>
      <c r="AQ388" s="0" t="s">
        <v>3518</v>
      </c>
      <c r="AR388" s="0" t="s">
        <v>390</v>
      </c>
      <c r="AU388" s="0">
        <v>117</v>
      </c>
      <c r="AV388" s="0" t="s">
        <v>332</v>
      </c>
      <c r="AW388" s="0" t="s">
        <v>332</v>
      </c>
      <c r="AX388" s="0" t="s">
        <v>1584</v>
      </c>
      <c r="AY388" s="0" t="s">
        <v>304</v>
      </c>
      <c r="AZ388" s="0" t="s">
        <v>611</v>
      </c>
      <c r="BA388" s="0">
        <v>477</v>
      </c>
      <c r="BB388" s="0" t="s">
        <v>232</v>
      </c>
      <c r="BC388" s="0">
        <v>2</v>
      </c>
      <c r="BD388" s="0">
        <v>8</v>
      </c>
      <c r="BE388" s="0">
        <v>112779</v>
      </c>
      <c r="BF388" s="0">
        <v>4</v>
      </c>
      <c r="BG388" s="0" t="s">
        <v>3519</v>
      </c>
      <c r="BI388" s="0">
        <v>4150</v>
      </c>
      <c r="BK388" s="0" t="s">
        <v>3520</v>
      </c>
    </row>
    <row r="389">
      <c r="A389" s="0">
        <v>4939</v>
      </c>
      <c r="B389" s="0" t="s">
        <v>3521</v>
      </c>
      <c r="C389" s="0" t="s">
        <v>339</v>
      </c>
      <c r="D389" s="0" t="s">
        <v>3463</v>
      </c>
      <c r="E389" s="0" t="s">
        <v>3522</v>
      </c>
      <c r="F389" s="0">
        <v>2</v>
      </c>
      <c r="G389" s="0" t="s">
        <v>555</v>
      </c>
      <c r="H389" s="0" t="s">
        <v>593</v>
      </c>
      <c r="I389" s="0" t="s">
        <v>3523</v>
      </c>
      <c r="J389" s="0" t="s">
        <v>293</v>
      </c>
      <c r="K389" s="0" t="s">
        <v>294</v>
      </c>
      <c r="L389" s="0" t="s">
        <v>918</v>
      </c>
      <c r="M389" s="0" t="s">
        <v>508</v>
      </c>
      <c r="O389" s="0" t="s">
        <v>469</v>
      </c>
      <c r="P389" s="0" t="s">
        <v>3524</v>
      </c>
      <c r="Q389" s="0" t="s">
        <v>343</v>
      </c>
      <c r="R389" s="0" t="s">
        <v>3525</v>
      </c>
      <c r="T389" s="0" t="s">
        <v>3526</v>
      </c>
      <c r="U389" s="0" t="s">
        <v>3527</v>
      </c>
      <c r="W389" s="0" t="s">
        <v>1538</v>
      </c>
      <c r="X389" s="0" t="s">
        <v>529</v>
      </c>
      <c r="Y389" s="0" t="s">
        <v>94</v>
      </c>
      <c r="Z389" s="0" t="s">
        <v>1972</v>
      </c>
      <c r="AA389" s="0" t="s">
        <v>179</v>
      </c>
      <c r="AB389" s="0" t="s">
        <v>531</v>
      </c>
      <c r="AC389" s="0" t="s">
        <v>571</v>
      </c>
      <c r="AD389" s="0" t="s">
        <v>3467</v>
      </c>
      <c r="AF389" s="0" t="s">
        <v>301</v>
      </c>
      <c r="AM389" s="0" t="s">
        <v>387</v>
      </c>
      <c r="AN389" s="0" t="s">
        <v>387</v>
      </c>
      <c r="AO389" s="0" t="s">
        <v>391</v>
      </c>
      <c r="AP389" s="0" t="s">
        <v>305</v>
      </c>
      <c r="AQ389" s="0" t="s">
        <v>1415</v>
      </c>
      <c r="AR389" s="0" t="s">
        <v>489</v>
      </c>
      <c r="AS389" s="0">
        <v>56</v>
      </c>
      <c r="AT389" s="0">
        <v>120</v>
      </c>
      <c r="AU389" s="0">
        <v>147</v>
      </c>
      <c r="AV389" s="0" t="s">
        <v>332</v>
      </c>
      <c r="AW389" s="0" t="s">
        <v>332</v>
      </c>
      <c r="AX389" s="0" t="s">
        <v>350</v>
      </c>
      <c r="AY389" s="0" t="s">
        <v>491</v>
      </c>
      <c r="AZ389" s="0" t="s">
        <v>310</v>
      </c>
      <c r="BA389" s="0">
        <v>477</v>
      </c>
      <c r="BB389" s="0" t="s">
        <v>232</v>
      </c>
      <c r="BC389" s="0">
        <v>2</v>
      </c>
      <c r="BD389" s="0">
        <v>8</v>
      </c>
      <c r="BE389" s="0">
        <v>112779</v>
      </c>
      <c r="BF389" s="0">
        <v>2</v>
      </c>
      <c r="BG389" s="0" t="s">
        <v>3528</v>
      </c>
      <c r="BI389" s="0">
        <v>761</v>
      </c>
      <c r="BK389" s="0" t="s">
        <v>3529</v>
      </c>
    </row>
    <row r="390">
      <c r="A390" s="0">
        <v>4947</v>
      </c>
      <c r="B390" s="0" t="s">
        <v>3530</v>
      </c>
      <c r="C390" s="0" t="s">
        <v>315</v>
      </c>
      <c r="D390" s="0" t="s">
        <v>3463</v>
      </c>
      <c r="E390" s="0" t="s">
        <v>3531</v>
      </c>
      <c r="F390" s="0">
        <v>2</v>
      </c>
      <c r="G390" s="0" t="s">
        <v>293</v>
      </c>
      <c r="H390" s="0" t="s">
        <v>294</v>
      </c>
      <c r="I390" s="0" t="s">
        <v>295</v>
      </c>
      <c r="J390" s="0" t="s">
        <v>319</v>
      </c>
      <c r="K390" s="0" t="s">
        <v>483</v>
      </c>
      <c r="L390" s="0" t="s">
        <v>524</v>
      </c>
      <c r="T390" s="0" t="s">
        <v>3532</v>
      </c>
      <c r="U390" s="0" t="s">
        <v>3533</v>
      </c>
      <c r="W390" s="0" t="s">
        <v>1538</v>
      </c>
      <c r="X390" s="0" t="s">
        <v>529</v>
      </c>
      <c r="Y390" s="0" t="s">
        <v>94</v>
      </c>
      <c r="Z390" s="0" t="s">
        <v>1972</v>
      </c>
      <c r="AA390" s="0" t="s">
        <v>179</v>
      </c>
      <c r="AB390" s="0" t="s">
        <v>531</v>
      </c>
      <c r="AC390" s="0" t="s">
        <v>571</v>
      </c>
      <c r="AD390" s="0" t="s">
        <v>3467</v>
      </c>
      <c r="AF390" s="0" t="s">
        <v>301</v>
      </c>
      <c r="AP390" s="0" t="s">
        <v>305</v>
      </c>
      <c r="BA390" s="0">
        <v>477</v>
      </c>
      <c r="BB390" s="0" t="s">
        <v>232</v>
      </c>
      <c r="BC390" s="0">
        <v>2</v>
      </c>
      <c r="BD390" s="0">
        <v>374043</v>
      </c>
      <c r="BE390" s="0">
        <v>112779</v>
      </c>
      <c r="BF390" s="0">
        <v>2</v>
      </c>
      <c r="BG390" s="0" t="s">
        <v>3534</v>
      </c>
      <c r="BI390" s="0">
        <v>2739</v>
      </c>
      <c r="BK390" s="0" t="s">
        <v>3535</v>
      </c>
    </row>
    <row r="391">
      <c r="A391" s="0">
        <v>4956</v>
      </c>
      <c r="B391" s="0" t="s">
        <v>3536</v>
      </c>
      <c r="C391" s="0" t="s">
        <v>315</v>
      </c>
      <c r="D391" s="0" t="s">
        <v>3463</v>
      </c>
      <c r="E391" s="0" t="s">
        <v>3537</v>
      </c>
      <c r="F391" s="0">
        <v>4</v>
      </c>
      <c r="G391" s="0" t="s">
        <v>293</v>
      </c>
      <c r="H391" s="0" t="s">
        <v>294</v>
      </c>
      <c r="I391" s="0" t="s">
        <v>3538</v>
      </c>
      <c r="J391" s="0" t="s">
        <v>319</v>
      </c>
      <c r="K391" s="0" t="s">
        <v>483</v>
      </c>
      <c r="L391" s="0" t="s">
        <v>3539</v>
      </c>
      <c r="T391" s="0" t="s">
        <v>3540</v>
      </c>
      <c r="U391" s="0" t="s">
        <v>3541</v>
      </c>
      <c r="W391" s="0" t="s">
        <v>1538</v>
      </c>
      <c r="X391" s="0" t="s">
        <v>529</v>
      </c>
      <c r="Y391" s="0" t="s">
        <v>94</v>
      </c>
      <c r="Z391" s="0" t="s">
        <v>1972</v>
      </c>
      <c r="AA391" s="0" t="s">
        <v>179</v>
      </c>
      <c r="AB391" s="0" t="s">
        <v>531</v>
      </c>
      <c r="AC391" s="0" t="s">
        <v>571</v>
      </c>
      <c r="AD391" s="0" t="s">
        <v>3467</v>
      </c>
      <c r="AF391" s="0" t="s">
        <v>301</v>
      </c>
      <c r="AP391" s="0" t="s">
        <v>305</v>
      </c>
      <c r="BA391" s="0">
        <v>477</v>
      </c>
      <c r="BB391" s="0" t="s">
        <v>232</v>
      </c>
      <c r="BC391" s="0">
        <v>2</v>
      </c>
      <c r="BD391" s="0">
        <v>374043</v>
      </c>
      <c r="BE391" s="0">
        <v>112779</v>
      </c>
      <c r="BF391" s="0">
        <v>2</v>
      </c>
      <c r="BG391" s="0" t="s">
        <v>3542</v>
      </c>
      <c r="BI391" s="0">
        <v>3077</v>
      </c>
      <c r="BK391" s="0" t="s">
        <v>3543</v>
      </c>
    </row>
    <row r="392">
      <c r="A392" s="0">
        <v>5036</v>
      </c>
      <c r="B392" s="0" t="s">
        <v>3544</v>
      </c>
      <c r="C392" s="0" t="s">
        <v>315</v>
      </c>
      <c r="D392" s="0" t="s">
        <v>3545</v>
      </c>
      <c r="E392" s="0" t="s">
        <v>3546</v>
      </c>
      <c r="F392" s="0">
        <v>2</v>
      </c>
      <c r="G392" s="0" t="s">
        <v>293</v>
      </c>
      <c r="H392" s="0" t="s">
        <v>294</v>
      </c>
      <c r="I392" s="0" t="s">
        <v>918</v>
      </c>
      <c r="J392" s="0" t="s">
        <v>319</v>
      </c>
      <c r="K392" s="0" t="s">
        <v>2087</v>
      </c>
      <c r="L392" s="0" t="s">
        <v>497</v>
      </c>
      <c r="T392" s="0" t="s">
        <v>3547</v>
      </c>
      <c r="U392" s="0" t="s">
        <v>3548</v>
      </c>
      <c r="W392" s="0" t="s">
        <v>1538</v>
      </c>
      <c r="X392" s="0" t="s">
        <v>529</v>
      </c>
      <c r="Y392" s="0" t="s">
        <v>94</v>
      </c>
      <c r="Z392" s="0" t="s">
        <v>1972</v>
      </c>
      <c r="AA392" s="0" t="s">
        <v>179</v>
      </c>
      <c r="AB392" s="0" t="s">
        <v>531</v>
      </c>
      <c r="AC392" s="0" t="s">
        <v>571</v>
      </c>
      <c r="AD392" s="0" t="s">
        <v>3467</v>
      </c>
      <c r="AF392" s="0" t="s">
        <v>301</v>
      </c>
      <c r="AP392" s="0" t="s">
        <v>305</v>
      </c>
      <c r="BA392" s="0">
        <v>477</v>
      </c>
      <c r="BB392" s="0" t="s">
        <v>232</v>
      </c>
      <c r="BC392" s="0">
        <v>2</v>
      </c>
      <c r="BD392" s="0">
        <v>374043</v>
      </c>
      <c r="BE392" s="0">
        <v>112779</v>
      </c>
      <c r="BF392" s="0">
        <v>2</v>
      </c>
      <c r="BG392" s="0" t="s">
        <v>3549</v>
      </c>
      <c r="BI392" s="0">
        <v>4459</v>
      </c>
      <c r="BK392" s="0" t="s">
        <v>3550</v>
      </c>
    </row>
    <row r="393">
      <c r="A393" s="0">
        <v>4946</v>
      </c>
      <c r="B393" s="0" t="s">
        <v>3551</v>
      </c>
      <c r="C393" s="0" t="s">
        <v>315</v>
      </c>
      <c r="D393" s="0" t="s">
        <v>3463</v>
      </c>
      <c r="E393" s="0" t="s">
        <v>3552</v>
      </c>
      <c r="F393" s="0">
        <v>2</v>
      </c>
      <c r="G393" s="0" t="s">
        <v>293</v>
      </c>
      <c r="H393" s="0" t="s">
        <v>294</v>
      </c>
      <c r="I393" s="0" t="s">
        <v>918</v>
      </c>
      <c r="J393" s="0" t="s">
        <v>319</v>
      </c>
      <c r="K393" s="0" t="s">
        <v>2087</v>
      </c>
      <c r="L393" s="0" t="s">
        <v>469</v>
      </c>
      <c r="T393" s="0" t="s">
        <v>3553</v>
      </c>
      <c r="U393" s="0" t="s">
        <v>3554</v>
      </c>
      <c r="W393" s="0" t="s">
        <v>1538</v>
      </c>
      <c r="X393" s="0" t="s">
        <v>529</v>
      </c>
      <c r="Y393" s="0" t="s">
        <v>94</v>
      </c>
      <c r="Z393" s="0" t="s">
        <v>1972</v>
      </c>
      <c r="AA393" s="0" t="s">
        <v>179</v>
      </c>
      <c r="AB393" s="0" t="s">
        <v>531</v>
      </c>
      <c r="AC393" s="0" t="s">
        <v>571</v>
      </c>
      <c r="AD393" s="0" t="s">
        <v>3467</v>
      </c>
      <c r="AF393" s="0" t="s">
        <v>301</v>
      </c>
      <c r="AP393" s="0" t="s">
        <v>305</v>
      </c>
      <c r="BA393" s="0">
        <v>477</v>
      </c>
      <c r="BB393" s="0" t="s">
        <v>232</v>
      </c>
      <c r="BC393" s="0">
        <v>2</v>
      </c>
      <c r="BD393" s="0">
        <v>374043</v>
      </c>
      <c r="BE393" s="0">
        <v>112779</v>
      </c>
      <c r="BF393" s="0">
        <v>2</v>
      </c>
      <c r="BG393" s="0" t="s">
        <v>3555</v>
      </c>
      <c r="BI393" s="0">
        <v>2562</v>
      </c>
      <c r="BK393" s="0" t="s">
        <v>3556</v>
      </c>
    </row>
    <row r="394">
      <c r="A394" s="0">
        <v>4967</v>
      </c>
      <c r="B394" s="0" t="s">
        <v>3557</v>
      </c>
      <c r="C394" s="0" t="s">
        <v>339</v>
      </c>
      <c r="D394" s="0" t="s">
        <v>3463</v>
      </c>
      <c r="E394" s="0" t="s">
        <v>3558</v>
      </c>
      <c r="F394" s="0">
        <v>2</v>
      </c>
      <c r="G394" s="0" t="s">
        <v>319</v>
      </c>
      <c r="H394" s="0" t="s">
        <v>3559</v>
      </c>
      <c r="I394" s="0" t="s">
        <v>469</v>
      </c>
      <c r="J394" s="0" t="s">
        <v>293</v>
      </c>
      <c r="L394" s="0" t="s">
        <v>918</v>
      </c>
      <c r="P394" s="0" t="s">
        <v>343</v>
      </c>
      <c r="Q394" s="0" t="s">
        <v>343</v>
      </c>
      <c r="T394" s="0" t="s">
        <v>3560</v>
      </c>
      <c r="U394" s="0" t="s">
        <v>3561</v>
      </c>
      <c r="W394" s="0" t="s">
        <v>1538</v>
      </c>
      <c r="X394" s="0" t="s">
        <v>347</v>
      </c>
      <c r="Y394" s="0" t="s">
        <v>94</v>
      </c>
      <c r="Z394" s="0" t="s">
        <v>1972</v>
      </c>
      <c r="AA394" s="0" t="s">
        <v>179</v>
      </c>
      <c r="AB394" s="0" t="s">
        <v>531</v>
      </c>
      <c r="AC394" s="0" t="s">
        <v>571</v>
      </c>
      <c r="AD394" s="0" t="s">
        <v>3467</v>
      </c>
      <c r="AF394" s="0" t="s">
        <v>301</v>
      </c>
      <c r="AM394" s="0" t="s">
        <v>372</v>
      </c>
      <c r="AN394" s="0" t="s">
        <v>349</v>
      </c>
      <c r="AO394" s="0" t="s">
        <v>3045</v>
      </c>
      <c r="AP394" s="0" t="s">
        <v>305</v>
      </c>
      <c r="AQ394" s="0" t="s">
        <v>1149</v>
      </c>
      <c r="AR394" s="0" t="s">
        <v>1182</v>
      </c>
      <c r="AS394" s="0">
        <v>71</v>
      </c>
      <c r="AT394" s="0">
        <v>147</v>
      </c>
      <c r="AU394" s="0">
        <v>153</v>
      </c>
      <c r="AV394" s="0" t="s">
        <v>332</v>
      </c>
      <c r="AW394" s="0" t="s">
        <v>332</v>
      </c>
      <c r="AX394" s="0" t="s">
        <v>964</v>
      </c>
      <c r="AY394" s="0" t="s">
        <v>513</v>
      </c>
      <c r="AZ394" s="0" t="s">
        <v>387</v>
      </c>
      <c r="BA394" s="0">
        <v>477</v>
      </c>
      <c r="BB394" s="0" t="s">
        <v>232</v>
      </c>
      <c r="BC394" s="0">
        <v>2</v>
      </c>
      <c r="BD394" s="0">
        <v>8</v>
      </c>
      <c r="BE394" s="0">
        <v>112779</v>
      </c>
      <c r="BF394" s="0">
        <v>4</v>
      </c>
      <c r="BG394" s="0" t="s">
        <v>3562</v>
      </c>
      <c r="BI394" s="0">
        <v>3368</v>
      </c>
      <c r="BK394" s="0" t="s">
        <v>3563</v>
      </c>
    </row>
    <row r="395">
      <c r="A395" s="0">
        <v>4970</v>
      </c>
      <c r="B395" s="0" t="s">
        <v>3564</v>
      </c>
      <c r="C395" s="0" t="s">
        <v>339</v>
      </c>
      <c r="D395" s="0" t="s">
        <v>3463</v>
      </c>
      <c r="E395" s="0" t="s">
        <v>3565</v>
      </c>
      <c r="F395" s="0">
        <v>2</v>
      </c>
      <c r="G395" s="0" t="s">
        <v>319</v>
      </c>
      <c r="H395" s="0" t="s">
        <v>1933</v>
      </c>
      <c r="I395" s="0" t="s">
        <v>1268</v>
      </c>
      <c r="J395" s="0" t="s">
        <v>508</v>
      </c>
      <c r="L395" s="0" t="s">
        <v>1268</v>
      </c>
      <c r="P395" s="0" t="s">
        <v>323</v>
      </c>
      <c r="Q395" s="0" t="s">
        <v>343</v>
      </c>
      <c r="R395" s="0" t="s">
        <v>2685</v>
      </c>
      <c r="T395" s="0" t="s">
        <v>3566</v>
      </c>
      <c r="U395" s="0" t="s">
        <v>3567</v>
      </c>
      <c r="W395" s="0" t="s">
        <v>1538</v>
      </c>
      <c r="X395" s="0" t="s">
        <v>529</v>
      </c>
      <c r="Y395" s="0" t="s">
        <v>94</v>
      </c>
      <c r="Z395" s="0" t="s">
        <v>1972</v>
      </c>
      <c r="AA395" s="0" t="s">
        <v>179</v>
      </c>
      <c r="AB395" s="0" t="s">
        <v>531</v>
      </c>
      <c r="AC395" s="0" t="s">
        <v>571</v>
      </c>
      <c r="AD395" s="0" t="s">
        <v>3467</v>
      </c>
      <c r="AF395" s="0" t="s">
        <v>301</v>
      </c>
      <c r="AM395" s="0" t="s">
        <v>491</v>
      </c>
      <c r="AN395" s="0" t="s">
        <v>3568</v>
      </c>
      <c r="AO395" s="0" t="s">
        <v>387</v>
      </c>
      <c r="AP395" s="0" t="s">
        <v>305</v>
      </c>
      <c r="AQ395" s="0" t="s">
        <v>883</v>
      </c>
      <c r="AR395" s="0" t="s">
        <v>965</v>
      </c>
      <c r="AS395" s="0">
        <v>14</v>
      </c>
      <c r="AT395" s="0">
        <v>28</v>
      </c>
      <c r="AU395" s="0">
        <v>42</v>
      </c>
      <c r="AV395" s="0" t="s">
        <v>332</v>
      </c>
      <c r="AW395" s="0" t="s">
        <v>332</v>
      </c>
      <c r="AX395" s="0" t="s">
        <v>487</v>
      </c>
      <c r="AY395" s="0" t="s">
        <v>3569</v>
      </c>
      <c r="AZ395" s="0" t="s">
        <v>443</v>
      </c>
      <c r="BA395" s="0">
        <v>477</v>
      </c>
      <c r="BB395" s="0" t="s">
        <v>232</v>
      </c>
      <c r="BC395" s="0">
        <v>2</v>
      </c>
      <c r="BD395" s="0">
        <v>8</v>
      </c>
      <c r="BE395" s="0">
        <v>112779</v>
      </c>
      <c r="BF395" s="0">
        <v>2</v>
      </c>
      <c r="BG395" s="0" t="s">
        <v>3570</v>
      </c>
      <c r="BI395" s="0">
        <v>3718</v>
      </c>
      <c r="BK395" s="0" t="s">
        <v>3571</v>
      </c>
    </row>
    <row r="396">
      <c r="A396" s="0">
        <v>4969</v>
      </c>
      <c r="B396" s="0" t="s">
        <v>3572</v>
      </c>
      <c r="C396" s="0" t="s">
        <v>339</v>
      </c>
      <c r="D396" s="0" t="s">
        <v>3463</v>
      </c>
      <c r="E396" s="0" t="s">
        <v>3573</v>
      </c>
      <c r="F396" s="0">
        <v>2</v>
      </c>
      <c r="G396" s="0" t="s">
        <v>319</v>
      </c>
      <c r="H396" s="0" t="s">
        <v>1997</v>
      </c>
      <c r="I396" s="0" t="s">
        <v>1268</v>
      </c>
      <c r="J396" s="0" t="s">
        <v>508</v>
      </c>
      <c r="L396" s="0" t="s">
        <v>1268</v>
      </c>
      <c r="P396" s="0" t="s">
        <v>323</v>
      </c>
      <c r="Q396" s="0" t="s">
        <v>343</v>
      </c>
      <c r="R396" s="0" t="s">
        <v>2685</v>
      </c>
      <c r="T396" s="0" t="s">
        <v>3574</v>
      </c>
      <c r="U396" s="0" t="s">
        <v>3575</v>
      </c>
      <c r="W396" s="0" t="s">
        <v>1538</v>
      </c>
      <c r="X396" s="0" t="s">
        <v>529</v>
      </c>
      <c r="Y396" s="0" t="s">
        <v>94</v>
      </c>
      <c r="Z396" s="0" t="s">
        <v>1972</v>
      </c>
      <c r="AA396" s="0" t="s">
        <v>179</v>
      </c>
      <c r="AB396" s="0" t="s">
        <v>531</v>
      </c>
      <c r="AC396" s="0" t="s">
        <v>571</v>
      </c>
      <c r="AD396" s="0" t="s">
        <v>3467</v>
      </c>
      <c r="AF396" s="0" t="s">
        <v>301</v>
      </c>
      <c r="AM396" s="0" t="s">
        <v>491</v>
      </c>
      <c r="AN396" s="0" t="s">
        <v>443</v>
      </c>
      <c r="AO396" s="0" t="s">
        <v>387</v>
      </c>
      <c r="AP396" s="0" t="s">
        <v>305</v>
      </c>
      <c r="AQ396" s="0" t="s">
        <v>1450</v>
      </c>
      <c r="AR396" s="0" t="s">
        <v>1084</v>
      </c>
      <c r="AS396" s="0">
        <v>28</v>
      </c>
      <c r="AT396" s="0">
        <v>56</v>
      </c>
      <c r="AU396" s="0">
        <v>84</v>
      </c>
      <c r="AV396" s="0" t="s">
        <v>332</v>
      </c>
      <c r="AW396" s="0" t="s">
        <v>332</v>
      </c>
      <c r="AX396" s="0" t="s">
        <v>487</v>
      </c>
      <c r="AY396" s="0" t="s">
        <v>311</v>
      </c>
      <c r="AZ396" s="0" t="s">
        <v>443</v>
      </c>
      <c r="BA396" s="0">
        <v>477</v>
      </c>
      <c r="BB396" s="0" t="s">
        <v>232</v>
      </c>
      <c r="BC396" s="0">
        <v>2</v>
      </c>
      <c r="BD396" s="0">
        <v>8</v>
      </c>
      <c r="BE396" s="0">
        <v>112779</v>
      </c>
      <c r="BF396" s="0">
        <v>2</v>
      </c>
      <c r="BG396" s="0" t="s">
        <v>3576</v>
      </c>
      <c r="BI396" s="0">
        <v>3610</v>
      </c>
      <c r="BK396" s="0" t="s">
        <v>3577</v>
      </c>
    </row>
    <row r="397">
      <c r="A397" s="0">
        <v>4971</v>
      </c>
      <c r="B397" s="0" t="s">
        <v>3578</v>
      </c>
      <c r="C397" s="0" t="s">
        <v>339</v>
      </c>
      <c r="D397" s="0" t="s">
        <v>3463</v>
      </c>
      <c r="E397" s="0" t="s">
        <v>3579</v>
      </c>
      <c r="F397" s="0">
        <v>2</v>
      </c>
      <c r="G397" s="0" t="s">
        <v>319</v>
      </c>
      <c r="H397" s="0" t="s">
        <v>1997</v>
      </c>
      <c r="I397" s="0" t="s">
        <v>1268</v>
      </c>
      <c r="J397" s="0" t="s">
        <v>508</v>
      </c>
      <c r="L397" s="0" t="s">
        <v>1268</v>
      </c>
      <c r="M397" s="0" t="s">
        <v>759</v>
      </c>
      <c r="T397" s="0" t="s">
        <v>3580</v>
      </c>
      <c r="U397" s="0" t="s">
        <v>3581</v>
      </c>
      <c r="W397" s="0" t="s">
        <v>1538</v>
      </c>
      <c r="X397" s="0" t="s">
        <v>529</v>
      </c>
      <c r="Y397" s="0" t="s">
        <v>94</v>
      </c>
      <c r="Z397" s="0" t="s">
        <v>1972</v>
      </c>
      <c r="AA397" s="0" t="s">
        <v>179</v>
      </c>
      <c r="AB397" s="0" t="s">
        <v>531</v>
      </c>
      <c r="AC397" s="0" t="s">
        <v>571</v>
      </c>
      <c r="AD397" s="0" t="s">
        <v>3467</v>
      </c>
      <c r="AF397" s="0" t="s">
        <v>301</v>
      </c>
      <c r="AM397" s="0" t="s">
        <v>491</v>
      </c>
      <c r="AN397" s="0" t="s">
        <v>608</v>
      </c>
      <c r="AO397" s="0" t="s">
        <v>1771</v>
      </c>
      <c r="AP397" s="0" t="s">
        <v>305</v>
      </c>
      <c r="AQ397" s="0" t="s">
        <v>502</v>
      </c>
      <c r="AR397" s="0" t="s">
        <v>883</v>
      </c>
      <c r="AS397" s="0">
        <v>130</v>
      </c>
      <c r="AT397" s="0">
        <v>266</v>
      </c>
      <c r="AU397" s="0">
        <v>304</v>
      </c>
      <c r="AV397" s="0" t="s">
        <v>332</v>
      </c>
      <c r="AW397" s="0" t="s">
        <v>332</v>
      </c>
      <c r="AX397" s="0" t="s">
        <v>487</v>
      </c>
      <c r="AY397" s="0" t="s">
        <v>1503</v>
      </c>
      <c r="AZ397" s="0" t="s">
        <v>2740</v>
      </c>
      <c r="BA397" s="0">
        <v>477</v>
      </c>
      <c r="BB397" s="0" t="s">
        <v>232</v>
      </c>
      <c r="BC397" s="0">
        <v>2</v>
      </c>
      <c r="BD397" s="0">
        <v>8</v>
      </c>
      <c r="BE397" s="0">
        <v>112779</v>
      </c>
      <c r="BF397" s="0">
        <v>2</v>
      </c>
      <c r="BG397" s="0" t="s">
        <v>3582</v>
      </c>
      <c r="BI397" s="0">
        <v>3817</v>
      </c>
      <c r="BK397" s="0" t="s">
        <v>3583</v>
      </c>
    </row>
    <row r="398">
      <c r="A398" s="0">
        <v>4997</v>
      </c>
      <c r="B398" s="0" t="s">
        <v>3584</v>
      </c>
      <c r="C398" s="0" t="s">
        <v>339</v>
      </c>
      <c r="D398" s="0" t="s">
        <v>3463</v>
      </c>
      <c r="E398" s="0" t="s">
        <v>3585</v>
      </c>
      <c r="F398" s="0">
        <v>2</v>
      </c>
      <c r="G398" s="0" t="s">
        <v>293</v>
      </c>
      <c r="H398" s="0" t="s">
        <v>294</v>
      </c>
      <c r="I398" s="0" t="s">
        <v>295</v>
      </c>
      <c r="J398" s="0" t="s">
        <v>319</v>
      </c>
      <c r="K398" s="0" t="s">
        <v>3586</v>
      </c>
      <c r="L398" s="0" t="s">
        <v>3587</v>
      </c>
      <c r="P398" s="0" t="s">
        <v>343</v>
      </c>
      <c r="Q398" s="0" t="s">
        <v>343</v>
      </c>
      <c r="T398" s="0" t="s">
        <v>3588</v>
      </c>
      <c r="U398" s="0" t="s">
        <v>3589</v>
      </c>
      <c r="W398" s="0" t="s">
        <v>1538</v>
      </c>
      <c r="X398" s="0" t="s">
        <v>347</v>
      </c>
      <c r="Y398" s="0" t="s">
        <v>94</v>
      </c>
      <c r="Z398" s="0" t="s">
        <v>1972</v>
      </c>
      <c r="AA398" s="0" t="s">
        <v>179</v>
      </c>
      <c r="AB398" s="0" t="s">
        <v>531</v>
      </c>
      <c r="AC398" s="0" t="s">
        <v>571</v>
      </c>
      <c r="AD398" s="0" t="s">
        <v>3467</v>
      </c>
      <c r="AF398" s="0" t="s">
        <v>301</v>
      </c>
      <c r="AM398" s="0" t="s">
        <v>309</v>
      </c>
      <c r="AN398" s="0" t="s">
        <v>426</v>
      </c>
      <c r="AO398" s="0" t="s">
        <v>627</v>
      </c>
      <c r="AP398" s="0" t="s">
        <v>305</v>
      </c>
      <c r="AQ398" s="0" t="s">
        <v>1077</v>
      </c>
      <c r="AR398" s="0" t="s">
        <v>1182</v>
      </c>
      <c r="AS398" s="0">
        <v>77</v>
      </c>
      <c r="AT398" s="0">
        <v>159</v>
      </c>
      <c r="AU398" s="0">
        <v>200</v>
      </c>
      <c r="AV398" s="0" t="s">
        <v>332</v>
      </c>
      <c r="AW398" s="0" t="s">
        <v>332</v>
      </c>
      <c r="AX398" s="0" t="s">
        <v>352</v>
      </c>
      <c r="AY398" s="0" t="s">
        <v>372</v>
      </c>
      <c r="AZ398" s="0" t="s">
        <v>387</v>
      </c>
      <c r="BA398" s="0">
        <v>477</v>
      </c>
      <c r="BB398" s="0" t="s">
        <v>232</v>
      </c>
      <c r="BC398" s="0">
        <v>2</v>
      </c>
      <c r="BD398" s="0">
        <v>8</v>
      </c>
      <c r="BE398" s="0">
        <v>112779</v>
      </c>
      <c r="BF398" s="0">
        <v>4</v>
      </c>
      <c r="BG398" s="0" t="s">
        <v>3590</v>
      </c>
      <c r="BI398" s="0">
        <v>4508</v>
      </c>
      <c r="BK398" s="0" t="s">
        <v>3591</v>
      </c>
    </row>
    <row r="399">
      <c r="A399" s="0">
        <v>4993</v>
      </c>
      <c r="B399" s="0" t="s">
        <v>3592</v>
      </c>
      <c r="C399" s="0" t="s">
        <v>315</v>
      </c>
      <c r="D399" s="0" t="s">
        <v>3463</v>
      </c>
      <c r="E399" s="0" t="s">
        <v>3593</v>
      </c>
      <c r="F399" s="0">
        <v>2</v>
      </c>
      <c r="G399" s="0" t="s">
        <v>508</v>
      </c>
      <c r="I399" s="0" t="s">
        <v>3594</v>
      </c>
      <c r="J399" s="0" t="s">
        <v>293</v>
      </c>
      <c r="K399" s="0" t="s">
        <v>294</v>
      </c>
      <c r="L399" s="0" t="s">
        <v>295</v>
      </c>
      <c r="P399" s="0" t="s">
        <v>3595</v>
      </c>
      <c r="Q399" s="0" t="s">
        <v>2040</v>
      </c>
      <c r="R399" s="0" t="s">
        <v>3596</v>
      </c>
      <c r="T399" s="0" t="s">
        <v>3597</v>
      </c>
      <c r="U399" s="0" t="s">
        <v>3598</v>
      </c>
      <c r="W399" s="0" t="s">
        <v>1538</v>
      </c>
      <c r="X399" s="0" t="s">
        <v>347</v>
      </c>
      <c r="Y399" s="0" t="s">
        <v>94</v>
      </c>
      <c r="Z399" s="0" t="s">
        <v>1972</v>
      </c>
      <c r="AA399" s="0" t="s">
        <v>179</v>
      </c>
      <c r="AB399" s="0" t="s">
        <v>531</v>
      </c>
      <c r="AC399" s="0" t="s">
        <v>571</v>
      </c>
      <c r="AD399" s="0" t="s">
        <v>3467</v>
      </c>
      <c r="AF399" s="0" t="s">
        <v>301</v>
      </c>
      <c r="AP399" s="0" t="s">
        <v>305</v>
      </c>
      <c r="BA399" s="0">
        <v>477</v>
      </c>
      <c r="BB399" s="0" t="s">
        <v>232</v>
      </c>
      <c r="BC399" s="0">
        <v>2</v>
      </c>
      <c r="BD399" s="0">
        <v>374043</v>
      </c>
      <c r="BE399" s="0">
        <v>112779</v>
      </c>
      <c r="BF399" s="0">
        <v>4</v>
      </c>
      <c r="BG399" s="0" t="s">
        <v>3599</v>
      </c>
      <c r="BI399" s="0">
        <v>4407</v>
      </c>
      <c r="BK399" s="0" t="s">
        <v>3600</v>
      </c>
    </row>
    <row r="400">
      <c r="A400" s="0">
        <v>4992</v>
      </c>
      <c r="B400" s="0" t="s">
        <v>3601</v>
      </c>
      <c r="C400" s="0" t="s">
        <v>315</v>
      </c>
      <c r="D400" s="0" t="s">
        <v>3463</v>
      </c>
      <c r="E400" s="0" t="s">
        <v>3602</v>
      </c>
      <c r="F400" s="0">
        <v>2</v>
      </c>
      <c r="G400" s="0" t="s">
        <v>508</v>
      </c>
      <c r="H400" s="0" t="s">
        <v>3594</v>
      </c>
      <c r="J400" s="0" t="s">
        <v>293</v>
      </c>
      <c r="K400" s="0" t="s">
        <v>294</v>
      </c>
      <c r="L400" s="0" t="s">
        <v>295</v>
      </c>
      <c r="P400" s="0" t="s">
        <v>3603</v>
      </c>
      <c r="Q400" s="0" t="s">
        <v>3604</v>
      </c>
      <c r="R400" s="0" t="s">
        <v>3596</v>
      </c>
      <c r="T400" s="0" t="s">
        <v>3605</v>
      </c>
      <c r="U400" s="0" t="s">
        <v>3606</v>
      </c>
      <c r="W400" s="0" t="s">
        <v>1538</v>
      </c>
      <c r="X400" s="0" t="s">
        <v>347</v>
      </c>
      <c r="Y400" s="0" t="s">
        <v>94</v>
      </c>
      <c r="Z400" s="0" t="s">
        <v>1972</v>
      </c>
      <c r="AA400" s="0" t="s">
        <v>179</v>
      </c>
      <c r="AB400" s="0" t="s">
        <v>531</v>
      </c>
      <c r="AC400" s="0" t="s">
        <v>571</v>
      </c>
      <c r="AD400" s="0" t="s">
        <v>3467</v>
      </c>
      <c r="AF400" s="0" t="s">
        <v>301</v>
      </c>
      <c r="AP400" s="0" t="s">
        <v>305</v>
      </c>
      <c r="BA400" s="0">
        <v>477</v>
      </c>
      <c r="BB400" s="0" t="s">
        <v>232</v>
      </c>
      <c r="BC400" s="0">
        <v>2</v>
      </c>
      <c r="BD400" s="0">
        <v>374043</v>
      </c>
      <c r="BE400" s="0">
        <v>112779</v>
      </c>
      <c r="BF400" s="0">
        <v>4</v>
      </c>
      <c r="BG400" s="0" t="s">
        <v>3607</v>
      </c>
      <c r="BI400" s="0">
        <v>4350</v>
      </c>
      <c r="BK400" s="0" t="s">
        <v>3608</v>
      </c>
    </row>
    <row r="401">
      <c r="A401" s="0">
        <v>4994</v>
      </c>
      <c r="B401" s="0" t="s">
        <v>3609</v>
      </c>
      <c r="C401" s="0" t="s">
        <v>315</v>
      </c>
      <c r="D401" s="0" t="s">
        <v>3463</v>
      </c>
      <c r="E401" s="0" t="s">
        <v>3610</v>
      </c>
      <c r="F401" s="0">
        <v>2</v>
      </c>
      <c r="G401" s="0" t="s">
        <v>508</v>
      </c>
      <c r="I401" s="0" t="s">
        <v>3594</v>
      </c>
      <c r="J401" s="0" t="s">
        <v>293</v>
      </c>
      <c r="K401" s="0" t="s">
        <v>294</v>
      </c>
      <c r="L401" s="0" t="s">
        <v>295</v>
      </c>
      <c r="T401" s="0" t="s">
        <v>3611</v>
      </c>
      <c r="U401" s="0" t="s">
        <v>3612</v>
      </c>
      <c r="W401" s="0" t="s">
        <v>1538</v>
      </c>
      <c r="X401" s="0" t="s">
        <v>529</v>
      </c>
      <c r="Y401" s="0" t="s">
        <v>94</v>
      </c>
      <c r="Z401" s="0" t="s">
        <v>1972</v>
      </c>
      <c r="AA401" s="0" t="s">
        <v>179</v>
      </c>
      <c r="AB401" s="0" t="s">
        <v>531</v>
      </c>
      <c r="AC401" s="0" t="s">
        <v>571</v>
      </c>
      <c r="AD401" s="0" t="s">
        <v>3467</v>
      </c>
      <c r="AF401" s="0" t="s">
        <v>301</v>
      </c>
      <c r="AP401" s="0" t="s">
        <v>305</v>
      </c>
      <c r="BA401" s="0">
        <v>477</v>
      </c>
      <c r="BB401" s="0" t="s">
        <v>232</v>
      </c>
      <c r="BC401" s="0">
        <v>2</v>
      </c>
      <c r="BD401" s="0">
        <v>374043</v>
      </c>
      <c r="BE401" s="0">
        <v>112779</v>
      </c>
      <c r="BF401" s="0">
        <v>2</v>
      </c>
      <c r="BG401" s="0" t="s">
        <v>3613</v>
      </c>
      <c r="BI401" s="0">
        <v>4458</v>
      </c>
      <c r="BK401" s="0" t="s">
        <v>3614</v>
      </c>
    </row>
    <row r="402">
      <c r="A402" s="0">
        <v>4941</v>
      </c>
      <c r="B402" s="0" t="s">
        <v>3615</v>
      </c>
      <c r="C402" s="0" t="s">
        <v>290</v>
      </c>
      <c r="D402" s="0" t="s">
        <v>3463</v>
      </c>
      <c r="E402" s="0" t="s">
        <v>3616</v>
      </c>
      <c r="F402" s="0">
        <v>2</v>
      </c>
      <c r="G402" s="0" t="s">
        <v>293</v>
      </c>
      <c r="H402" s="0" t="s">
        <v>294</v>
      </c>
      <c r="I402" s="0" t="s">
        <v>918</v>
      </c>
      <c r="T402" s="0" t="s">
        <v>3617</v>
      </c>
      <c r="U402" s="0" t="s">
        <v>3618</v>
      </c>
      <c r="W402" s="0" t="s">
        <v>1538</v>
      </c>
      <c r="X402" s="0" t="s">
        <v>529</v>
      </c>
      <c r="Y402" s="0" t="s">
        <v>94</v>
      </c>
      <c r="Z402" s="0" t="s">
        <v>1972</v>
      </c>
      <c r="AA402" s="0" t="s">
        <v>179</v>
      </c>
      <c r="AB402" s="0" t="s">
        <v>531</v>
      </c>
      <c r="AC402" s="0" t="s">
        <v>571</v>
      </c>
      <c r="AD402" s="0" t="s">
        <v>3467</v>
      </c>
      <c r="AF402" s="0" t="s">
        <v>301</v>
      </c>
      <c r="AP402" s="0" t="s">
        <v>305</v>
      </c>
      <c r="BA402" s="0">
        <v>477</v>
      </c>
      <c r="BB402" s="0" t="s">
        <v>232</v>
      </c>
      <c r="BC402" s="0">
        <v>2</v>
      </c>
      <c r="BD402" s="0">
        <v>374053</v>
      </c>
      <c r="BE402" s="0">
        <v>112779</v>
      </c>
      <c r="BF402" s="0">
        <v>2</v>
      </c>
      <c r="BG402" s="0" t="s">
        <v>3619</v>
      </c>
      <c r="BI402" s="0">
        <v>1404</v>
      </c>
      <c r="BK402" s="0" t="s">
        <v>3620</v>
      </c>
    </row>
    <row r="403">
      <c r="A403" s="0">
        <v>4940</v>
      </c>
      <c r="B403" s="0" t="s">
        <v>3621</v>
      </c>
      <c r="C403" s="0" t="s">
        <v>290</v>
      </c>
      <c r="D403" s="0" t="s">
        <v>3463</v>
      </c>
      <c r="E403" s="0" t="s">
        <v>3622</v>
      </c>
      <c r="F403" s="0">
        <v>2</v>
      </c>
      <c r="G403" s="0" t="s">
        <v>293</v>
      </c>
      <c r="H403" s="0" t="s">
        <v>294</v>
      </c>
      <c r="I403" s="0" t="s">
        <v>295</v>
      </c>
      <c r="P403" s="0" t="s">
        <v>343</v>
      </c>
      <c r="Q403" s="0" t="s">
        <v>343</v>
      </c>
      <c r="T403" s="0" t="s">
        <v>3623</v>
      </c>
      <c r="U403" s="0" t="s">
        <v>3624</v>
      </c>
      <c r="W403" s="0" t="s">
        <v>1538</v>
      </c>
      <c r="X403" s="0" t="s">
        <v>529</v>
      </c>
      <c r="Y403" s="0" t="s">
        <v>94</v>
      </c>
      <c r="Z403" s="0" t="s">
        <v>1972</v>
      </c>
      <c r="AA403" s="0" t="s">
        <v>179</v>
      </c>
      <c r="AB403" s="0" t="s">
        <v>531</v>
      </c>
      <c r="AC403" s="0" t="s">
        <v>571</v>
      </c>
      <c r="AD403" s="0" t="s">
        <v>3467</v>
      </c>
      <c r="AF403" s="0" t="s">
        <v>301</v>
      </c>
      <c r="AP403" s="0" t="s">
        <v>305</v>
      </c>
      <c r="BA403" s="0">
        <v>477</v>
      </c>
      <c r="BB403" s="0" t="s">
        <v>232</v>
      </c>
      <c r="BC403" s="0">
        <v>2</v>
      </c>
      <c r="BD403" s="0">
        <v>374053</v>
      </c>
      <c r="BE403" s="0">
        <v>112779</v>
      </c>
      <c r="BF403" s="0">
        <v>2</v>
      </c>
      <c r="BG403" s="0" t="s">
        <v>3625</v>
      </c>
      <c r="BI403" s="0">
        <v>1094</v>
      </c>
      <c r="BK403" s="0" t="s">
        <v>3626</v>
      </c>
    </row>
    <row r="404">
      <c r="A404" s="0">
        <v>4944</v>
      </c>
      <c r="B404" s="0" t="s">
        <v>3627</v>
      </c>
      <c r="C404" s="0" t="s">
        <v>656</v>
      </c>
      <c r="D404" s="0" t="s">
        <v>3463</v>
      </c>
      <c r="E404" s="0" t="s">
        <v>3628</v>
      </c>
      <c r="F404" s="0">
        <v>2</v>
      </c>
      <c r="G404" s="0" t="s">
        <v>319</v>
      </c>
      <c r="H404" s="0" t="s">
        <v>483</v>
      </c>
      <c r="I404" s="0" t="s">
        <v>497</v>
      </c>
      <c r="J404" s="0" t="s">
        <v>293</v>
      </c>
      <c r="K404" s="0" t="s">
        <v>294</v>
      </c>
      <c r="L404" s="0" t="s">
        <v>918</v>
      </c>
      <c r="P404" s="0" t="s">
        <v>343</v>
      </c>
      <c r="Q404" s="0" t="s">
        <v>343</v>
      </c>
      <c r="T404" s="0" t="s">
        <v>3629</v>
      </c>
      <c r="U404" s="0" t="s">
        <v>3630</v>
      </c>
      <c r="W404" s="0" t="s">
        <v>1538</v>
      </c>
      <c r="X404" s="0" t="s">
        <v>529</v>
      </c>
      <c r="Y404" s="0" t="s">
        <v>94</v>
      </c>
      <c r="Z404" s="0" t="s">
        <v>1972</v>
      </c>
      <c r="AA404" s="0" t="s">
        <v>179</v>
      </c>
      <c r="AB404" s="0" t="s">
        <v>531</v>
      </c>
      <c r="AC404" s="0" t="s">
        <v>571</v>
      </c>
      <c r="AD404" s="0" t="s">
        <v>3467</v>
      </c>
      <c r="AF404" s="0" t="s">
        <v>301</v>
      </c>
      <c r="AP404" s="0" t="s">
        <v>305</v>
      </c>
      <c r="BA404" s="0">
        <v>477</v>
      </c>
      <c r="BB404" s="0" t="s">
        <v>232</v>
      </c>
      <c r="BC404" s="0">
        <v>2</v>
      </c>
      <c r="BD404" s="0">
        <v>10</v>
      </c>
      <c r="BE404" s="0">
        <v>112779</v>
      </c>
      <c r="BF404" s="0">
        <v>2</v>
      </c>
      <c r="BG404" s="0" t="s">
        <v>3631</v>
      </c>
      <c r="BI404" s="0">
        <v>2149</v>
      </c>
      <c r="BK404" s="0" t="s">
        <v>3632</v>
      </c>
    </row>
    <row r="405">
      <c r="A405" s="0">
        <v>4996</v>
      </c>
      <c r="B405" s="0" t="s">
        <v>3633</v>
      </c>
      <c r="C405" s="0" t="s">
        <v>579</v>
      </c>
      <c r="D405" s="0" t="s">
        <v>3463</v>
      </c>
      <c r="E405" s="0" t="s">
        <v>3634</v>
      </c>
      <c r="F405" s="0">
        <v>2</v>
      </c>
      <c r="G405" s="0" t="s">
        <v>581</v>
      </c>
      <c r="H405" s="0" t="s">
        <v>2131</v>
      </c>
      <c r="J405" s="0" t="s">
        <v>293</v>
      </c>
      <c r="K405" s="0" t="s">
        <v>294</v>
      </c>
      <c r="L405" s="0" t="s">
        <v>918</v>
      </c>
      <c r="T405" s="0" t="s">
        <v>3635</v>
      </c>
      <c r="W405" s="0" t="s">
        <v>1538</v>
      </c>
      <c r="X405" s="0" t="s">
        <v>529</v>
      </c>
      <c r="Y405" s="0" t="s">
        <v>94</v>
      </c>
      <c r="Z405" s="0" t="s">
        <v>1972</v>
      </c>
      <c r="AA405" s="0" t="s">
        <v>179</v>
      </c>
      <c r="AB405" s="0" t="s">
        <v>531</v>
      </c>
      <c r="AC405" s="0" t="s">
        <v>571</v>
      </c>
      <c r="AD405" s="0" t="s">
        <v>3467</v>
      </c>
      <c r="AF405" s="0" t="s">
        <v>301</v>
      </c>
      <c r="AP405" s="0" t="s">
        <v>305</v>
      </c>
      <c r="BA405" s="0">
        <v>477</v>
      </c>
      <c r="BB405" s="0" t="s">
        <v>232</v>
      </c>
      <c r="BC405" s="0">
        <v>2</v>
      </c>
      <c r="BD405" s="0">
        <v>374046</v>
      </c>
      <c r="BE405" s="0">
        <v>112779</v>
      </c>
      <c r="BF405" s="0">
        <v>2</v>
      </c>
      <c r="BG405" s="0" t="s">
        <v>3636</v>
      </c>
      <c r="BI405" s="0">
        <v>4507</v>
      </c>
      <c r="BK405" s="0" t="s">
        <v>3637</v>
      </c>
    </row>
    <row r="406">
      <c r="A406" s="0">
        <v>4995</v>
      </c>
      <c r="B406" s="0" t="s">
        <v>3638</v>
      </c>
      <c r="C406" s="0" t="s">
        <v>579</v>
      </c>
      <c r="D406" s="0" t="s">
        <v>3463</v>
      </c>
      <c r="E406" s="0" t="s">
        <v>3639</v>
      </c>
      <c r="F406" s="0">
        <v>2</v>
      </c>
      <c r="G406" s="0" t="s">
        <v>581</v>
      </c>
      <c r="H406" s="0" t="s">
        <v>2131</v>
      </c>
      <c r="J406" s="0" t="s">
        <v>293</v>
      </c>
      <c r="K406" s="0" t="s">
        <v>294</v>
      </c>
      <c r="L406" s="0" t="s">
        <v>918</v>
      </c>
      <c r="T406" s="0" t="s">
        <v>3640</v>
      </c>
      <c r="W406" s="0" t="s">
        <v>1538</v>
      </c>
      <c r="X406" s="0" t="s">
        <v>529</v>
      </c>
      <c r="Y406" s="0" t="s">
        <v>94</v>
      </c>
      <c r="Z406" s="0" t="s">
        <v>1972</v>
      </c>
      <c r="AA406" s="0" t="s">
        <v>179</v>
      </c>
      <c r="AB406" s="0" t="s">
        <v>531</v>
      </c>
      <c r="AC406" s="0" t="s">
        <v>571</v>
      </c>
      <c r="AD406" s="0" t="s">
        <v>3467</v>
      </c>
      <c r="AF406" s="0" t="s">
        <v>301</v>
      </c>
      <c r="AP406" s="0" t="s">
        <v>305</v>
      </c>
      <c r="BA406" s="0">
        <v>477</v>
      </c>
      <c r="BB406" s="0" t="s">
        <v>232</v>
      </c>
      <c r="BC406" s="0">
        <v>2</v>
      </c>
      <c r="BD406" s="0">
        <v>374046</v>
      </c>
      <c r="BE406" s="0">
        <v>112779</v>
      </c>
      <c r="BF406" s="0">
        <v>2</v>
      </c>
      <c r="BG406" s="0" t="s">
        <v>3641</v>
      </c>
      <c r="BI406" s="0">
        <v>4506</v>
      </c>
      <c r="BK406" s="0" t="s">
        <v>3642</v>
      </c>
    </row>
    <row r="407">
      <c r="A407" s="0">
        <v>4954</v>
      </c>
      <c r="B407" s="0" t="s">
        <v>3643</v>
      </c>
      <c r="C407" s="0" t="s">
        <v>290</v>
      </c>
      <c r="D407" s="0" t="s">
        <v>3644</v>
      </c>
      <c r="E407" s="0" t="s">
        <v>3645</v>
      </c>
      <c r="F407" s="0">
        <v>1</v>
      </c>
      <c r="G407" s="0" t="s">
        <v>319</v>
      </c>
      <c r="H407" s="0" t="s">
        <v>483</v>
      </c>
      <c r="I407" s="0" t="s">
        <v>524</v>
      </c>
      <c r="J407" s="0" t="s">
        <v>293</v>
      </c>
      <c r="K407" s="0" t="s">
        <v>294</v>
      </c>
      <c r="L407" s="0" t="s">
        <v>295</v>
      </c>
      <c r="T407" s="0" t="s">
        <v>3646</v>
      </c>
      <c r="U407" s="0" t="s">
        <v>3647</v>
      </c>
      <c r="X407" s="0" t="s">
        <v>529</v>
      </c>
      <c r="Y407" s="0" t="s">
        <v>195</v>
      </c>
      <c r="Z407" s="0" t="s">
        <v>299</v>
      </c>
      <c r="AA407" s="0" t="s">
        <v>207</v>
      </c>
      <c r="AB407" s="0" t="s">
        <v>531</v>
      </c>
      <c r="AC407" s="0" t="s">
        <v>571</v>
      </c>
      <c r="AD407" s="0" t="s">
        <v>1642</v>
      </c>
      <c r="AF407" s="0" t="s">
        <v>301</v>
      </c>
      <c r="AP407" s="0" t="s">
        <v>305</v>
      </c>
      <c r="BA407" s="0">
        <v>478</v>
      </c>
      <c r="BB407" s="0" t="s">
        <v>232</v>
      </c>
      <c r="BC407" s="0">
        <v>2</v>
      </c>
      <c r="BD407" s="0">
        <v>374053</v>
      </c>
      <c r="BE407" s="0">
        <v>519081</v>
      </c>
      <c r="BF407" s="0">
        <v>2</v>
      </c>
      <c r="BG407" s="0" t="s">
        <v>3648</v>
      </c>
      <c r="BI407" s="0">
        <v>1920</v>
      </c>
      <c r="BK407" s="0" t="s">
        <v>3649</v>
      </c>
    </row>
    <row r="408">
      <c r="A408" s="0">
        <v>4955</v>
      </c>
      <c r="B408" s="0" t="s">
        <v>3650</v>
      </c>
      <c r="C408" s="0" t="s">
        <v>290</v>
      </c>
      <c r="D408" s="0" t="s">
        <v>3644</v>
      </c>
      <c r="E408" s="0" t="s">
        <v>3651</v>
      </c>
      <c r="F408" s="0">
        <v>2</v>
      </c>
      <c r="G408" s="0" t="s">
        <v>293</v>
      </c>
      <c r="H408" s="0" t="s">
        <v>294</v>
      </c>
      <c r="I408" s="0" t="s">
        <v>918</v>
      </c>
      <c r="T408" s="0" t="s">
        <v>3652</v>
      </c>
      <c r="U408" s="0" t="s">
        <v>3653</v>
      </c>
      <c r="X408" s="0" t="s">
        <v>529</v>
      </c>
      <c r="Y408" s="0" t="s">
        <v>195</v>
      </c>
      <c r="Z408" s="0" t="s">
        <v>299</v>
      </c>
      <c r="AA408" s="0" t="s">
        <v>207</v>
      </c>
      <c r="AB408" s="0" t="s">
        <v>531</v>
      </c>
      <c r="AC408" s="0" t="s">
        <v>571</v>
      </c>
      <c r="AD408" s="0" t="s">
        <v>1642</v>
      </c>
      <c r="AF408" s="0" t="s">
        <v>301</v>
      </c>
      <c r="AP408" s="0" t="s">
        <v>305</v>
      </c>
      <c r="BA408" s="0">
        <v>478</v>
      </c>
      <c r="BB408" s="0" t="s">
        <v>232</v>
      </c>
      <c r="BC408" s="0">
        <v>2</v>
      </c>
      <c r="BD408" s="0">
        <v>374053</v>
      </c>
      <c r="BE408" s="0">
        <v>519081</v>
      </c>
      <c r="BF408" s="0">
        <v>2</v>
      </c>
      <c r="BG408" s="0" t="s">
        <v>3654</v>
      </c>
      <c r="BI408" s="0">
        <v>2151</v>
      </c>
      <c r="BK408" s="0" t="s">
        <v>3655</v>
      </c>
    </row>
    <row r="409">
      <c r="A409" s="0">
        <v>4961</v>
      </c>
      <c r="B409" s="0" t="s">
        <v>3656</v>
      </c>
      <c r="C409" s="0" t="s">
        <v>315</v>
      </c>
      <c r="D409" s="0" t="s">
        <v>3644</v>
      </c>
      <c r="E409" s="0" t="s">
        <v>3657</v>
      </c>
      <c r="F409" s="0">
        <v>2</v>
      </c>
      <c r="G409" s="0" t="s">
        <v>319</v>
      </c>
      <c r="H409" s="0" t="s">
        <v>320</v>
      </c>
      <c r="I409" s="0" t="s">
        <v>1746</v>
      </c>
      <c r="J409" s="0" t="s">
        <v>400</v>
      </c>
      <c r="K409" s="0" t="s">
        <v>1190</v>
      </c>
      <c r="M409" s="0" t="s">
        <v>759</v>
      </c>
      <c r="N409" s="0" t="s">
        <v>1684</v>
      </c>
      <c r="O409" s="0" t="s">
        <v>1685</v>
      </c>
      <c r="P409" s="0" t="s">
        <v>323</v>
      </c>
      <c r="Q409" s="0" t="s">
        <v>323</v>
      </c>
      <c r="R409" s="0" t="s">
        <v>526</v>
      </c>
      <c r="T409" s="0" t="s">
        <v>3658</v>
      </c>
      <c r="U409" s="0" t="s">
        <v>3659</v>
      </c>
      <c r="X409" s="0" t="s">
        <v>529</v>
      </c>
      <c r="Y409" s="0" t="s">
        <v>195</v>
      </c>
      <c r="Z409" s="0" t="s">
        <v>299</v>
      </c>
      <c r="AA409" s="0" t="s">
        <v>207</v>
      </c>
      <c r="AB409" s="0" t="s">
        <v>531</v>
      </c>
      <c r="AC409" s="0" t="s">
        <v>571</v>
      </c>
      <c r="AD409" s="0" t="s">
        <v>1642</v>
      </c>
      <c r="AF409" s="0" t="s">
        <v>301</v>
      </c>
      <c r="AP409" s="0" t="s">
        <v>305</v>
      </c>
      <c r="BA409" s="0">
        <v>478</v>
      </c>
      <c r="BB409" s="0" t="s">
        <v>232</v>
      </c>
      <c r="BC409" s="0">
        <v>2</v>
      </c>
      <c r="BD409" s="0">
        <v>374043</v>
      </c>
      <c r="BE409" s="0">
        <v>519081</v>
      </c>
      <c r="BF409" s="0">
        <v>2</v>
      </c>
      <c r="BG409" s="0" t="s">
        <v>3660</v>
      </c>
      <c r="BI409" s="0">
        <v>3079</v>
      </c>
      <c r="BK409" s="0" t="s">
        <v>3661</v>
      </c>
    </row>
    <row r="410">
      <c r="A410" s="0">
        <v>4958</v>
      </c>
      <c r="B410" s="0" t="s">
        <v>3662</v>
      </c>
      <c r="C410" s="0" t="s">
        <v>579</v>
      </c>
      <c r="D410" s="0" t="s">
        <v>3644</v>
      </c>
      <c r="E410" s="0" t="s">
        <v>3663</v>
      </c>
      <c r="F410" s="0">
        <v>2</v>
      </c>
      <c r="G410" s="0" t="s">
        <v>293</v>
      </c>
      <c r="H410" s="0" t="s">
        <v>294</v>
      </c>
      <c r="I410" s="0" t="s">
        <v>295</v>
      </c>
      <c r="J410" s="0" t="s">
        <v>581</v>
      </c>
      <c r="L410" s="0" t="s">
        <v>583</v>
      </c>
      <c r="T410" s="0" t="s">
        <v>3664</v>
      </c>
      <c r="U410" s="0" t="s">
        <v>3665</v>
      </c>
      <c r="X410" s="0" t="s">
        <v>347</v>
      </c>
      <c r="Y410" s="0" t="s">
        <v>195</v>
      </c>
      <c r="Z410" s="0" t="s">
        <v>299</v>
      </c>
      <c r="AA410" s="0" t="s">
        <v>207</v>
      </c>
      <c r="AB410" s="0" t="s">
        <v>531</v>
      </c>
      <c r="AC410" s="0" t="s">
        <v>571</v>
      </c>
      <c r="AD410" s="0" t="s">
        <v>1642</v>
      </c>
      <c r="AF410" s="0" t="s">
        <v>301</v>
      </c>
      <c r="AP410" s="0" t="s">
        <v>305</v>
      </c>
      <c r="BA410" s="0">
        <v>478</v>
      </c>
      <c r="BB410" s="0" t="s">
        <v>232</v>
      </c>
      <c r="BC410" s="0">
        <v>2</v>
      </c>
      <c r="BD410" s="0">
        <v>374046</v>
      </c>
      <c r="BE410" s="0">
        <v>519081</v>
      </c>
      <c r="BF410" s="0">
        <v>4</v>
      </c>
      <c r="BG410" s="0" t="s">
        <v>3666</v>
      </c>
      <c r="BI410" s="0">
        <v>2564</v>
      </c>
      <c r="BK410" s="0" t="s">
        <v>3667</v>
      </c>
    </row>
    <row r="411">
      <c r="A411" s="0">
        <v>4957</v>
      </c>
      <c r="B411" s="0" t="s">
        <v>3668</v>
      </c>
      <c r="C411" s="0" t="s">
        <v>579</v>
      </c>
      <c r="D411" s="0" t="s">
        <v>3644</v>
      </c>
      <c r="E411" s="0" t="s">
        <v>3669</v>
      </c>
      <c r="F411" s="0">
        <v>2</v>
      </c>
      <c r="G411" s="0" t="s">
        <v>293</v>
      </c>
      <c r="H411" s="0" t="s">
        <v>294</v>
      </c>
      <c r="I411" s="0" t="s">
        <v>295</v>
      </c>
      <c r="J411" s="0" t="s">
        <v>581</v>
      </c>
      <c r="L411" s="0" t="s">
        <v>583</v>
      </c>
      <c r="T411" s="0" t="s">
        <v>3670</v>
      </c>
      <c r="U411" s="0" t="s">
        <v>3671</v>
      </c>
      <c r="X411" s="0" t="s">
        <v>347</v>
      </c>
      <c r="Y411" s="0" t="s">
        <v>195</v>
      </c>
      <c r="Z411" s="0" t="s">
        <v>299</v>
      </c>
      <c r="AA411" s="0" t="s">
        <v>207</v>
      </c>
      <c r="AB411" s="0" t="s">
        <v>531</v>
      </c>
      <c r="AC411" s="0" t="s">
        <v>571</v>
      </c>
      <c r="AD411" s="0" t="s">
        <v>1642</v>
      </c>
      <c r="AF411" s="0" t="s">
        <v>301</v>
      </c>
      <c r="AP411" s="0" t="s">
        <v>305</v>
      </c>
      <c r="BA411" s="0">
        <v>478</v>
      </c>
      <c r="BB411" s="0" t="s">
        <v>232</v>
      </c>
      <c r="BC411" s="0">
        <v>2</v>
      </c>
      <c r="BD411" s="0">
        <v>374046</v>
      </c>
      <c r="BE411" s="0">
        <v>519081</v>
      </c>
      <c r="BF411" s="0">
        <v>4</v>
      </c>
      <c r="BG411" s="0" t="s">
        <v>3672</v>
      </c>
      <c r="BI411" s="0">
        <v>2367</v>
      </c>
      <c r="BK411" s="0" t="s">
        <v>3673</v>
      </c>
    </row>
    <row r="412">
      <c r="A412" s="0">
        <v>4964</v>
      </c>
      <c r="B412" s="0" t="s">
        <v>3674</v>
      </c>
      <c r="C412" s="0" t="s">
        <v>290</v>
      </c>
      <c r="D412" s="0" t="s">
        <v>3644</v>
      </c>
      <c r="E412" s="0" t="s">
        <v>3675</v>
      </c>
      <c r="F412" s="0">
        <v>2</v>
      </c>
      <c r="G412" s="0" t="s">
        <v>293</v>
      </c>
      <c r="H412" s="0" t="s">
        <v>294</v>
      </c>
      <c r="I412" s="0" t="s">
        <v>295</v>
      </c>
      <c r="T412" s="0" t="s">
        <v>3676</v>
      </c>
      <c r="U412" s="0" t="s">
        <v>3677</v>
      </c>
      <c r="X412" s="0" t="s">
        <v>529</v>
      </c>
      <c r="Y412" s="0" t="s">
        <v>195</v>
      </c>
      <c r="Z412" s="0" t="s">
        <v>299</v>
      </c>
      <c r="AA412" s="0" t="s">
        <v>207</v>
      </c>
      <c r="AB412" s="0" t="s">
        <v>531</v>
      </c>
      <c r="AC412" s="0" t="s">
        <v>571</v>
      </c>
      <c r="AD412" s="0" t="s">
        <v>1642</v>
      </c>
      <c r="AF412" s="0" t="s">
        <v>301</v>
      </c>
      <c r="AP412" s="0" t="s">
        <v>305</v>
      </c>
      <c r="BA412" s="0">
        <v>478</v>
      </c>
      <c r="BB412" s="0" t="s">
        <v>232</v>
      </c>
      <c r="BC412" s="0">
        <v>2</v>
      </c>
      <c r="BD412" s="0">
        <v>374053</v>
      </c>
      <c r="BE412" s="0">
        <v>519081</v>
      </c>
      <c r="BF412" s="0">
        <v>2</v>
      </c>
      <c r="BG412" s="0" t="s">
        <v>3678</v>
      </c>
      <c r="BI412" s="0">
        <v>3369</v>
      </c>
      <c r="BK412" s="0" t="s">
        <v>3679</v>
      </c>
    </row>
    <row r="413">
      <c r="A413" s="0">
        <v>4963</v>
      </c>
      <c r="B413" s="0" t="s">
        <v>3680</v>
      </c>
      <c r="C413" s="0" t="s">
        <v>315</v>
      </c>
      <c r="D413" s="0" t="s">
        <v>3644</v>
      </c>
      <c r="E413" s="0" t="s">
        <v>3681</v>
      </c>
      <c r="F413" s="0">
        <v>1</v>
      </c>
      <c r="G413" s="0" t="s">
        <v>319</v>
      </c>
      <c r="H413" s="0" t="s">
        <v>416</v>
      </c>
      <c r="I413" s="0" t="s">
        <v>1682</v>
      </c>
      <c r="J413" s="0" t="s">
        <v>400</v>
      </c>
      <c r="K413" s="0" t="s">
        <v>1190</v>
      </c>
      <c r="L413" s="0" t="s">
        <v>1683</v>
      </c>
      <c r="M413" s="0" t="s">
        <v>759</v>
      </c>
      <c r="N413" s="0" t="s">
        <v>1684</v>
      </c>
      <c r="O413" s="0" t="s">
        <v>1685</v>
      </c>
      <c r="P413" s="0" t="s">
        <v>1667</v>
      </c>
      <c r="Q413" s="0" t="s">
        <v>1686</v>
      </c>
      <c r="R413" s="0" t="s">
        <v>344</v>
      </c>
      <c r="T413" s="0" t="s">
        <v>3682</v>
      </c>
      <c r="U413" s="0" t="s">
        <v>3683</v>
      </c>
      <c r="X413" s="0" t="s">
        <v>529</v>
      </c>
      <c r="Y413" s="0" t="s">
        <v>195</v>
      </c>
      <c r="Z413" s="0" t="s">
        <v>299</v>
      </c>
      <c r="AA413" s="0" t="s">
        <v>207</v>
      </c>
      <c r="AB413" s="0" t="s">
        <v>531</v>
      </c>
      <c r="AC413" s="0" t="s">
        <v>571</v>
      </c>
      <c r="AD413" s="0" t="s">
        <v>1642</v>
      </c>
      <c r="AF413" s="0" t="s">
        <v>301</v>
      </c>
      <c r="AP413" s="0" t="s">
        <v>305</v>
      </c>
      <c r="BA413" s="0">
        <v>478</v>
      </c>
      <c r="BB413" s="0" t="s">
        <v>232</v>
      </c>
      <c r="BC413" s="0">
        <v>2</v>
      </c>
      <c r="BD413" s="0">
        <v>374043</v>
      </c>
      <c r="BE413" s="0">
        <v>519081</v>
      </c>
      <c r="BF413" s="0">
        <v>2</v>
      </c>
      <c r="BG413" s="0" t="s">
        <v>3684</v>
      </c>
      <c r="BI413" s="0">
        <v>3497</v>
      </c>
      <c r="BK413" s="0" t="s">
        <v>3685</v>
      </c>
    </row>
    <row r="414">
      <c r="A414" s="0">
        <v>4962</v>
      </c>
      <c r="B414" s="0" t="s">
        <v>3686</v>
      </c>
      <c r="C414" s="0" t="s">
        <v>290</v>
      </c>
      <c r="D414" s="0" t="s">
        <v>3644</v>
      </c>
      <c r="E414" s="0" t="s">
        <v>3687</v>
      </c>
      <c r="F414" s="0">
        <v>2</v>
      </c>
      <c r="G414" s="0" t="s">
        <v>293</v>
      </c>
      <c r="H414" s="0" t="s">
        <v>294</v>
      </c>
      <c r="I414" s="0" t="s">
        <v>295</v>
      </c>
      <c r="T414" s="0" t="s">
        <v>3688</v>
      </c>
      <c r="U414" s="0" t="s">
        <v>3689</v>
      </c>
      <c r="X414" s="0" t="s">
        <v>529</v>
      </c>
      <c r="Y414" s="0" t="s">
        <v>195</v>
      </c>
      <c r="Z414" s="0" t="s">
        <v>299</v>
      </c>
      <c r="AA414" s="0" t="s">
        <v>207</v>
      </c>
      <c r="AB414" s="0" t="s">
        <v>531</v>
      </c>
      <c r="AC414" s="0" t="s">
        <v>571</v>
      </c>
      <c r="AD414" s="0" t="s">
        <v>1642</v>
      </c>
      <c r="AF414" s="0" t="s">
        <v>301</v>
      </c>
      <c r="AP414" s="0" t="s">
        <v>305</v>
      </c>
      <c r="BA414" s="0">
        <v>478</v>
      </c>
      <c r="BB414" s="0" t="s">
        <v>232</v>
      </c>
      <c r="BC414" s="0">
        <v>2</v>
      </c>
      <c r="BD414" s="0">
        <v>374053</v>
      </c>
      <c r="BE414" s="0">
        <v>519081</v>
      </c>
      <c r="BF414" s="0">
        <v>2</v>
      </c>
      <c r="BG414" s="0" t="s">
        <v>3690</v>
      </c>
      <c r="BI414" s="0">
        <v>3229</v>
      </c>
      <c r="BK414" s="0" t="s">
        <v>3691</v>
      </c>
    </row>
    <row r="415">
      <c r="A415" s="0">
        <v>5001</v>
      </c>
      <c r="B415" s="0" t="s">
        <v>3692</v>
      </c>
      <c r="C415" s="0" t="s">
        <v>339</v>
      </c>
      <c r="D415" s="0" t="s">
        <v>3644</v>
      </c>
      <c r="E415" s="0" t="s">
        <v>3693</v>
      </c>
      <c r="F415" s="0">
        <v>2</v>
      </c>
      <c r="G415" s="0" t="s">
        <v>319</v>
      </c>
      <c r="H415" s="0" t="s">
        <v>3694</v>
      </c>
      <c r="I415" s="0" t="s">
        <v>471</v>
      </c>
      <c r="J415" s="0" t="s">
        <v>400</v>
      </c>
      <c r="P415" s="0" t="s">
        <v>323</v>
      </c>
      <c r="Q415" s="0" t="s">
        <v>323</v>
      </c>
      <c r="R415" s="0" t="s">
        <v>344</v>
      </c>
      <c r="T415" s="0" t="s">
        <v>3695</v>
      </c>
      <c r="U415" s="0" t="s">
        <v>3696</v>
      </c>
      <c r="X415" s="0" t="s">
        <v>347</v>
      </c>
      <c r="Y415" s="0" t="s">
        <v>195</v>
      </c>
      <c r="Z415" s="0" t="s">
        <v>299</v>
      </c>
      <c r="AA415" s="0" t="s">
        <v>207</v>
      </c>
      <c r="AB415" s="0" t="s">
        <v>531</v>
      </c>
      <c r="AC415" s="0" t="s">
        <v>571</v>
      </c>
      <c r="AD415" s="0" t="s">
        <v>1642</v>
      </c>
      <c r="AF415" s="0" t="s">
        <v>301</v>
      </c>
      <c r="AM415" s="0" t="s">
        <v>2318</v>
      </c>
      <c r="AN415" s="0" t="s">
        <v>1584</v>
      </c>
      <c r="AO415" s="0" t="s">
        <v>627</v>
      </c>
      <c r="AP415" s="0" t="s">
        <v>305</v>
      </c>
      <c r="AQ415" s="0" t="s">
        <v>1771</v>
      </c>
      <c r="AR415" s="0" t="s">
        <v>1482</v>
      </c>
      <c r="AS415" s="0">
        <v>36</v>
      </c>
      <c r="AT415" s="0">
        <v>72</v>
      </c>
      <c r="AU415" s="0">
        <v>76</v>
      </c>
      <c r="AV415" s="0" t="s">
        <v>332</v>
      </c>
      <c r="AX415" s="0" t="s">
        <v>978</v>
      </c>
      <c r="AY415" s="0" t="s">
        <v>461</v>
      </c>
      <c r="AZ415" s="0" t="s">
        <v>391</v>
      </c>
      <c r="BA415" s="0">
        <v>478</v>
      </c>
      <c r="BB415" s="0" t="s">
        <v>232</v>
      </c>
      <c r="BC415" s="0">
        <v>2</v>
      </c>
      <c r="BD415" s="0">
        <v>8</v>
      </c>
      <c r="BE415" s="0">
        <v>519081</v>
      </c>
      <c r="BF415" s="0">
        <v>4</v>
      </c>
      <c r="BG415" s="0" t="s">
        <v>3697</v>
      </c>
      <c r="BI415" s="0">
        <v>3611</v>
      </c>
      <c r="BK415" s="0" t="s">
        <v>3698</v>
      </c>
    </row>
    <row r="416">
      <c r="A416" s="0">
        <v>4949</v>
      </c>
      <c r="B416" s="0" t="s">
        <v>3699</v>
      </c>
      <c r="C416" s="0" t="s">
        <v>315</v>
      </c>
      <c r="D416" s="0" t="s">
        <v>3644</v>
      </c>
      <c r="E416" s="0" t="s">
        <v>3700</v>
      </c>
      <c r="F416" s="0">
        <v>1</v>
      </c>
      <c r="G416" s="0" t="s">
        <v>319</v>
      </c>
      <c r="H416" s="0" t="s">
        <v>1693</v>
      </c>
      <c r="I416" s="0" t="s">
        <v>1703</v>
      </c>
      <c r="J416" s="0" t="s">
        <v>400</v>
      </c>
      <c r="K416" s="0" t="s">
        <v>1190</v>
      </c>
      <c r="P416" s="0" t="s">
        <v>1667</v>
      </c>
      <c r="R416" s="0" t="s">
        <v>880</v>
      </c>
      <c r="T416" s="0" t="s">
        <v>3701</v>
      </c>
      <c r="U416" s="0" t="s">
        <v>3702</v>
      </c>
      <c r="X416" s="0" t="s">
        <v>529</v>
      </c>
      <c r="Y416" s="0" t="s">
        <v>195</v>
      </c>
      <c r="Z416" s="0" t="s">
        <v>299</v>
      </c>
      <c r="AA416" s="0" t="s">
        <v>207</v>
      </c>
      <c r="AB416" s="0" t="s">
        <v>531</v>
      </c>
      <c r="AC416" s="0" t="s">
        <v>571</v>
      </c>
      <c r="AD416" s="0" t="s">
        <v>1642</v>
      </c>
      <c r="AF416" s="0" t="s">
        <v>301</v>
      </c>
      <c r="AP416" s="0" t="s">
        <v>305</v>
      </c>
      <c r="BA416" s="0">
        <v>478</v>
      </c>
      <c r="BB416" s="0" t="s">
        <v>232</v>
      </c>
      <c r="BC416" s="0">
        <v>2</v>
      </c>
      <c r="BD416" s="0">
        <v>374043</v>
      </c>
      <c r="BE416" s="0">
        <v>519081</v>
      </c>
      <c r="BF416" s="0">
        <v>2</v>
      </c>
      <c r="BG416" s="0" t="s">
        <v>3703</v>
      </c>
      <c r="BI416" s="0">
        <v>763</v>
      </c>
      <c r="BK416" s="0" t="s">
        <v>3704</v>
      </c>
    </row>
    <row r="417">
      <c r="A417" s="0">
        <v>4948</v>
      </c>
      <c r="B417" s="0" t="s">
        <v>3705</v>
      </c>
      <c r="C417" s="0" t="s">
        <v>315</v>
      </c>
      <c r="D417" s="0" t="s">
        <v>3644</v>
      </c>
      <c r="E417" s="0" t="s">
        <v>3700</v>
      </c>
      <c r="F417" s="0">
        <v>1</v>
      </c>
      <c r="G417" s="0" t="s">
        <v>319</v>
      </c>
      <c r="H417" s="0" t="s">
        <v>1693</v>
      </c>
      <c r="I417" s="0" t="s">
        <v>1694</v>
      </c>
      <c r="J417" s="0" t="s">
        <v>400</v>
      </c>
      <c r="K417" s="0" t="s">
        <v>1190</v>
      </c>
      <c r="P417" s="0" t="s">
        <v>1667</v>
      </c>
      <c r="R417" s="0" t="s">
        <v>1695</v>
      </c>
      <c r="T417" s="0" t="s">
        <v>3706</v>
      </c>
      <c r="U417" s="0" t="s">
        <v>3707</v>
      </c>
      <c r="X417" s="0" t="s">
        <v>529</v>
      </c>
      <c r="Y417" s="0" t="s">
        <v>195</v>
      </c>
      <c r="Z417" s="0" t="s">
        <v>299</v>
      </c>
      <c r="AA417" s="0" t="s">
        <v>207</v>
      </c>
      <c r="AB417" s="0" t="s">
        <v>531</v>
      </c>
      <c r="AC417" s="0" t="s">
        <v>571</v>
      </c>
      <c r="AD417" s="0" t="s">
        <v>1642</v>
      </c>
      <c r="AF417" s="0" t="s">
        <v>301</v>
      </c>
      <c r="AP417" s="0" t="s">
        <v>305</v>
      </c>
      <c r="BA417" s="0">
        <v>478</v>
      </c>
      <c r="BB417" s="0" t="s">
        <v>232</v>
      </c>
      <c r="BC417" s="0">
        <v>2</v>
      </c>
      <c r="BD417" s="0">
        <v>374043</v>
      </c>
      <c r="BE417" s="0">
        <v>519081</v>
      </c>
      <c r="BF417" s="0">
        <v>2</v>
      </c>
      <c r="BG417" s="0" t="s">
        <v>3708</v>
      </c>
      <c r="BI417" s="0">
        <v>360</v>
      </c>
      <c r="BK417" s="0" t="s">
        <v>3709</v>
      </c>
    </row>
    <row r="418">
      <c r="A418" s="0">
        <v>4960</v>
      </c>
      <c r="B418" s="0" t="s">
        <v>3710</v>
      </c>
      <c r="C418" s="0" t="s">
        <v>339</v>
      </c>
      <c r="D418" s="0" t="s">
        <v>3711</v>
      </c>
      <c r="E418" s="0" t="s">
        <v>3712</v>
      </c>
      <c r="F418" s="0">
        <v>2</v>
      </c>
      <c r="G418" s="0" t="s">
        <v>555</v>
      </c>
      <c r="H418" s="0" t="s">
        <v>1987</v>
      </c>
      <c r="I418" s="0" t="s">
        <v>3713</v>
      </c>
      <c r="J418" s="0" t="s">
        <v>400</v>
      </c>
      <c r="K418" s="0" t="s">
        <v>1190</v>
      </c>
      <c r="P418" s="0" t="s">
        <v>1667</v>
      </c>
      <c r="Q418" s="0" t="s">
        <v>1203</v>
      </c>
      <c r="R418" s="0" t="s">
        <v>324</v>
      </c>
      <c r="T418" s="0" t="s">
        <v>3714</v>
      </c>
      <c r="U418" s="0" t="s">
        <v>3715</v>
      </c>
      <c r="X418" s="0" t="s">
        <v>529</v>
      </c>
      <c r="Y418" s="0" t="s">
        <v>195</v>
      </c>
      <c r="Z418" s="0" t="s">
        <v>299</v>
      </c>
      <c r="AA418" s="0" t="s">
        <v>207</v>
      </c>
      <c r="AB418" s="0" t="s">
        <v>531</v>
      </c>
      <c r="AC418" s="0" t="s">
        <v>571</v>
      </c>
      <c r="AD418" s="0" t="s">
        <v>1642</v>
      </c>
      <c r="AF418" s="0" t="s">
        <v>301</v>
      </c>
      <c r="AM418" s="0" t="s">
        <v>443</v>
      </c>
      <c r="AN418" s="0" t="s">
        <v>627</v>
      </c>
      <c r="AO418" s="0" t="s">
        <v>443</v>
      </c>
      <c r="AP418" s="0" t="s">
        <v>305</v>
      </c>
      <c r="AQ418" s="0" t="s">
        <v>3402</v>
      </c>
      <c r="AR418" s="0" t="s">
        <v>515</v>
      </c>
      <c r="AS418" s="0">
        <v>114</v>
      </c>
      <c r="AT418" s="0">
        <v>78</v>
      </c>
      <c r="AU418" s="0">
        <v>90</v>
      </c>
      <c r="AV418" s="0" t="s">
        <v>332</v>
      </c>
      <c r="AW418" s="0" t="s">
        <v>332</v>
      </c>
      <c r="AX418" s="0" t="s">
        <v>311</v>
      </c>
      <c r="AY418" s="0" t="s">
        <v>611</v>
      </c>
      <c r="AZ418" s="0" t="s">
        <v>503</v>
      </c>
      <c r="BA418" s="0">
        <v>478</v>
      </c>
      <c r="BB418" s="0" t="s">
        <v>232</v>
      </c>
      <c r="BC418" s="0">
        <v>2</v>
      </c>
      <c r="BD418" s="0">
        <v>8</v>
      </c>
      <c r="BE418" s="0">
        <v>519081</v>
      </c>
      <c r="BF418" s="0">
        <v>2</v>
      </c>
      <c r="BG418" s="0" t="s">
        <v>3716</v>
      </c>
      <c r="BI418" s="0">
        <v>2914</v>
      </c>
      <c r="BK418" s="0" t="s">
        <v>3717</v>
      </c>
    </row>
    <row r="419">
      <c r="A419" s="0">
        <v>4953</v>
      </c>
      <c r="B419" s="0" t="s">
        <v>3718</v>
      </c>
      <c r="C419" s="0" t="s">
        <v>290</v>
      </c>
      <c r="D419" s="0" t="s">
        <v>3644</v>
      </c>
      <c r="E419" s="0" t="s">
        <v>3719</v>
      </c>
      <c r="F419" s="0">
        <v>1</v>
      </c>
      <c r="G419" s="0" t="s">
        <v>293</v>
      </c>
      <c r="H419" s="0" t="s">
        <v>294</v>
      </c>
      <c r="I419" s="0" t="s">
        <v>295</v>
      </c>
      <c r="J419" s="0" t="s">
        <v>1590</v>
      </c>
      <c r="K419" s="0" t="s">
        <v>496</v>
      </c>
      <c r="L419" s="0" t="s">
        <v>497</v>
      </c>
      <c r="T419" s="0" t="s">
        <v>3720</v>
      </c>
      <c r="X419" s="0" t="s">
        <v>529</v>
      </c>
      <c r="Y419" s="0" t="s">
        <v>195</v>
      </c>
      <c r="Z419" s="0" t="s">
        <v>299</v>
      </c>
      <c r="AA419" s="0" t="s">
        <v>207</v>
      </c>
      <c r="AB419" s="0" t="s">
        <v>531</v>
      </c>
      <c r="AC419" s="0" t="s">
        <v>571</v>
      </c>
      <c r="AD419" s="0" t="s">
        <v>1642</v>
      </c>
      <c r="AF419" s="0" t="s">
        <v>301</v>
      </c>
      <c r="AP419" s="0" t="s">
        <v>305</v>
      </c>
      <c r="BA419" s="0">
        <v>478</v>
      </c>
      <c r="BB419" s="0" t="s">
        <v>232</v>
      </c>
      <c r="BC419" s="0">
        <v>2</v>
      </c>
      <c r="BD419" s="0">
        <v>374053</v>
      </c>
      <c r="BE419" s="0">
        <v>519081</v>
      </c>
      <c r="BF419" s="0">
        <v>2</v>
      </c>
      <c r="BG419" s="0" t="s">
        <v>3721</v>
      </c>
      <c r="BI419" s="0">
        <v>1673</v>
      </c>
      <c r="BK419" s="0" t="s">
        <v>3722</v>
      </c>
    </row>
    <row r="420">
      <c r="A420" s="0">
        <v>4952</v>
      </c>
      <c r="B420" s="0" t="s">
        <v>3723</v>
      </c>
      <c r="C420" s="0" t="s">
        <v>339</v>
      </c>
      <c r="D420" s="0" t="s">
        <v>3644</v>
      </c>
      <c r="E420" s="0" t="s">
        <v>3724</v>
      </c>
      <c r="F420" s="0">
        <v>2</v>
      </c>
      <c r="G420" s="0" t="s">
        <v>319</v>
      </c>
      <c r="H420" s="0" t="s">
        <v>1540</v>
      </c>
      <c r="I420" s="0" t="s">
        <v>1268</v>
      </c>
      <c r="J420" s="0" t="s">
        <v>400</v>
      </c>
      <c r="K420" s="0" t="s">
        <v>1190</v>
      </c>
      <c r="L420" s="0" t="s">
        <v>469</v>
      </c>
      <c r="T420" s="0" t="s">
        <v>3725</v>
      </c>
      <c r="U420" s="0" t="s">
        <v>3726</v>
      </c>
      <c r="X420" s="0" t="s">
        <v>298</v>
      </c>
      <c r="Y420" s="0" t="s">
        <v>195</v>
      </c>
      <c r="Z420" s="0" t="s">
        <v>299</v>
      </c>
      <c r="AA420" s="0" t="s">
        <v>207</v>
      </c>
      <c r="AB420" s="0" t="s">
        <v>531</v>
      </c>
      <c r="AC420" s="0" t="s">
        <v>571</v>
      </c>
      <c r="AD420" s="0" t="s">
        <v>1642</v>
      </c>
      <c r="AF420" s="0" t="s">
        <v>301</v>
      </c>
      <c r="AM420" s="0" t="s">
        <v>309</v>
      </c>
      <c r="AN420" s="0" t="s">
        <v>2733</v>
      </c>
      <c r="AO420" s="0" t="s">
        <v>443</v>
      </c>
      <c r="AP420" s="0" t="s">
        <v>305</v>
      </c>
      <c r="AQ420" s="0" t="s">
        <v>476</v>
      </c>
      <c r="AR420" s="0" t="s">
        <v>390</v>
      </c>
      <c r="AS420" s="0">
        <v>56</v>
      </c>
      <c r="AT420" s="0">
        <v>114</v>
      </c>
      <c r="AU420" s="0">
        <v>132</v>
      </c>
      <c r="AV420" s="0" t="s">
        <v>332</v>
      </c>
      <c r="AW420" s="0" t="s">
        <v>332</v>
      </c>
      <c r="AX420" s="0" t="s">
        <v>513</v>
      </c>
      <c r="AY420" s="0" t="s">
        <v>2734</v>
      </c>
      <c r="AZ420" s="0" t="s">
        <v>924</v>
      </c>
      <c r="BA420" s="0">
        <v>478</v>
      </c>
      <c r="BB420" s="0" t="s">
        <v>232</v>
      </c>
      <c r="BC420" s="0">
        <v>2</v>
      </c>
      <c r="BD420" s="0">
        <v>8</v>
      </c>
      <c r="BE420" s="0">
        <v>519081</v>
      </c>
      <c r="BF420" s="0">
        <v>5</v>
      </c>
      <c r="BG420" s="0" t="s">
        <v>3727</v>
      </c>
      <c r="BI420" s="0">
        <v>1406</v>
      </c>
      <c r="BK420" s="0" t="s">
        <v>3728</v>
      </c>
    </row>
    <row r="421">
      <c r="A421" s="0">
        <v>4950</v>
      </c>
      <c r="B421" s="0" t="s">
        <v>3729</v>
      </c>
      <c r="C421" s="0" t="s">
        <v>339</v>
      </c>
      <c r="D421" s="0" t="s">
        <v>3644</v>
      </c>
      <c r="E421" s="0" t="s">
        <v>3730</v>
      </c>
      <c r="F421" s="0">
        <v>1</v>
      </c>
      <c r="G421" s="0" t="s">
        <v>319</v>
      </c>
      <c r="H421" s="0" t="s">
        <v>1540</v>
      </c>
      <c r="I421" s="0" t="s">
        <v>469</v>
      </c>
      <c r="J421" s="0" t="s">
        <v>400</v>
      </c>
      <c r="K421" s="0" t="s">
        <v>1190</v>
      </c>
      <c r="L421" s="0" t="s">
        <v>469</v>
      </c>
      <c r="T421" s="0" t="s">
        <v>3731</v>
      </c>
      <c r="U421" s="0" t="s">
        <v>3732</v>
      </c>
      <c r="X421" s="0" t="s">
        <v>298</v>
      </c>
      <c r="Y421" s="0" t="s">
        <v>195</v>
      </c>
      <c r="Z421" s="0" t="s">
        <v>299</v>
      </c>
      <c r="AA421" s="0" t="s">
        <v>207</v>
      </c>
      <c r="AB421" s="0" t="s">
        <v>531</v>
      </c>
      <c r="AC421" s="0" t="s">
        <v>571</v>
      </c>
      <c r="AD421" s="0" t="s">
        <v>1642</v>
      </c>
      <c r="AF421" s="0" t="s">
        <v>301</v>
      </c>
      <c r="AM421" s="0" t="s">
        <v>309</v>
      </c>
      <c r="AN421" s="0" t="s">
        <v>513</v>
      </c>
      <c r="AO421" s="0" t="s">
        <v>443</v>
      </c>
      <c r="AP421" s="0" t="s">
        <v>305</v>
      </c>
      <c r="AQ421" s="0" t="s">
        <v>1415</v>
      </c>
      <c r="AR421" s="0" t="s">
        <v>516</v>
      </c>
      <c r="AS421" s="0">
        <v>162</v>
      </c>
      <c r="AT421" s="0">
        <v>342</v>
      </c>
      <c r="AU421" s="0">
        <v>402</v>
      </c>
      <c r="AV421" s="0" t="s">
        <v>308</v>
      </c>
      <c r="AX421" s="0" t="s">
        <v>367</v>
      </c>
      <c r="AY421" s="0" t="s">
        <v>304</v>
      </c>
      <c r="AZ421" s="0" t="s">
        <v>517</v>
      </c>
      <c r="BA421" s="0">
        <v>478</v>
      </c>
      <c r="BB421" s="0" t="s">
        <v>232</v>
      </c>
      <c r="BC421" s="0">
        <v>2</v>
      </c>
      <c r="BD421" s="0">
        <v>8</v>
      </c>
      <c r="BE421" s="0">
        <v>519081</v>
      </c>
      <c r="BF421" s="0">
        <v>5</v>
      </c>
      <c r="BG421" s="0" t="s">
        <v>3733</v>
      </c>
      <c r="BI421" s="0">
        <v>1096</v>
      </c>
      <c r="BK421" s="0" t="s">
        <v>3734</v>
      </c>
    </row>
    <row r="422">
      <c r="A422" s="0">
        <v>4976</v>
      </c>
      <c r="B422" s="0" t="s">
        <v>3735</v>
      </c>
      <c r="C422" s="0" t="s">
        <v>2620</v>
      </c>
      <c r="D422" s="0" t="s">
        <v>3736</v>
      </c>
      <c r="E422" s="0" t="s">
        <v>3737</v>
      </c>
      <c r="F422" s="0">
        <v>5</v>
      </c>
      <c r="G422" s="0" t="s">
        <v>293</v>
      </c>
      <c r="H422" s="0" t="s">
        <v>294</v>
      </c>
      <c r="I422" s="0" t="s">
        <v>295</v>
      </c>
      <c r="J422" s="0" t="s">
        <v>400</v>
      </c>
      <c r="K422" s="0" t="s">
        <v>1190</v>
      </c>
      <c r="L422" s="0" t="s">
        <v>3738</v>
      </c>
      <c r="P422" s="0" t="s">
        <v>619</v>
      </c>
      <c r="Q422" s="0" t="s">
        <v>619</v>
      </c>
      <c r="T422" s="0" t="s">
        <v>3739</v>
      </c>
      <c r="X422" s="0" t="s">
        <v>529</v>
      </c>
      <c r="Y422" s="0" t="s">
        <v>150</v>
      </c>
      <c r="Z422" s="0" t="s">
        <v>1919</v>
      </c>
      <c r="AA422" s="0" t="s">
        <v>208</v>
      </c>
      <c r="AB422" s="0" t="s">
        <v>3740</v>
      </c>
      <c r="AC422" s="0" t="s">
        <v>571</v>
      </c>
      <c r="AE422" s="0" t="s">
        <v>3741</v>
      </c>
      <c r="AF422" s="0" t="s">
        <v>301</v>
      </c>
      <c r="AP422" s="0" t="s">
        <v>305</v>
      </c>
      <c r="BA422" s="0">
        <v>479</v>
      </c>
      <c r="BB422" s="0" t="s">
        <v>232</v>
      </c>
      <c r="BC422" s="0">
        <v>2</v>
      </c>
      <c r="BD422" s="0">
        <v>34</v>
      </c>
      <c r="BE422" s="0">
        <v>142781</v>
      </c>
      <c r="BF422" s="0">
        <v>2</v>
      </c>
      <c r="BG422" s="0" t="s">
        <v>3742</v>
      </c>
      <c r="BI422" s="0">
        <v>762</v>
      </c>
      <c r="BK422" s="0" t="s">
        <v>3743</v>
      </c>
    </row>
    <row r="423">
      <c r="A423" s="0">
        <v>4980</v>
      </c>
      <c r="C423" s="0" t="s">
        <v>1855</v>
      </c>
      <c r="D423" s="0" t="s">
        <v>3736</v>
      </c>
      <c r="E423" s="0" t="s">
        <v>3744</v>
      </c>
      <c r="F423" s="0">
        <v>6</v>
      </c>
      <c r="G423" s="0" t="s">
        <v>400</v>
      </c>
      <c r="H423" s="0" t="s">
        <v>1190</v>
      </c>
      <c r="I423" s="0" t="s">
        <v>3738</v>
      </c>
      <c r="T423" s="0" t="s">
        <v>3745</v>
      </c>
      <c r="X423" s="0" t="s">
        <v>529</v>
      </c>
      <c r="Y423" s="0" t="s">
        <v>150</v>
      </c>
      <c r="Z423" s="0" t="s">
        <v>1919</v>
      </c>
      <c r="AA423" s="0" t="s">
        <v>208</v>
      </c>
      <c r="AB423" s="0" t="s">
        <v>3740</v>
      </c>
      <c r="AC423" s="0" t="s">
        <v>571</v>
      </c>
      <c r="AE423" s="0" t="s">
        <v>3741</v>
      </c>
      <c r="AF423" s="0" t="s">
        <v>301</v>
      </c>
      <c r="AP423" s="0" t="s">
        <v>305</v>
      </c>
      <c r="BA423" s="0">
        <v>479</v>
      </c>
      <c r="BB423" s="0" t="s">
        <v>232</v>
      </c>
      <c r="BC423" s="0">
        <v>2</v>
      </c>
      <c r="BD423" s="0">
        <v>28</v>
      </c>
      <c r="BE423" s="0">
        <v>142781</v>
      </c>
      <c r="BF423" s="0">
        <v>2</v>
      </c>
      <c r="BG423" s="0" t="s">
        <v>3746</v>
      </c>
      <c r="BI423" s="0">
        <v>1919</v>
      </c>
      <c r="BK423" s="0" t="s">
        <v>3747</v>
      </c>
    </row>
    <row r="424">
      <c r="A424" s="0">
        <v>4975</v>
      </c>
      <c r="B424" s="0" t="s">
        <v>3748</v>
      </c>
      <c r="C424" s="0" t="s">
        <v>1855</v>
      </c>
      <c r="D424" s="0" t="s">
        <v>3736</v>
      </c>
      <c r="E424" s="0" t="s">
        <v>3749</v>
      </c>
      <c r="F424" s="0">
        <v>4</v>
      </c>
      <c r="G424" s="0" t="s">
        <v>293</v>
      </c>
      <c r="H424" s="0" t="s">
        <v>294</v>
      </c>
      <c r="I424" s="0" t="s">
        <v>295</v>
      </c>
      <c r="J424" s="0" t="s">
        <v>400</v>
      </c>
      <c r="K424" s="0" t="s">
        <v>1190</v>
      </c>
      <c r="L424" s="0" t="s">
        <v>3738</v>
      </c>
      <c r="P424" s="0" t="s">
        <v>619</v>
      </c>
      <c r="Q424" s="0" t="s">
        <v>619</v>
      </c>
      <c r="T424" s="0" t="s">
        <v>3750</v>
      </c>
      <c r="X424" s="0" t="s">
        <v>529</v>
      </c>
      <c r="Y424" s="0" t="s">
        <v>150</v>
      </c>
      <c r="Z424" s="0" t="s">
        <v>1919</v>
      </c>
      <c r="AA424" s="0" t="s">
        <v>208</v>
      </c>
      <c r="AB424" s="0" t="s">
        <v>3740</v>
      </c>
      <c r="AC424" s="0" t="s">
        <v>571</v>
      </c>
      <c r="AE424" s="0" t="s">
        <v>3741</v>
      </c>
      <c r="AF424" s="0" t="s">
        <v>301</v>
      </c>
      <c r="AP424" s="0" t="s">
        <v>305</v>
      </c>
      <c r="BA424" s="0">
        <v>479</v>
      </c>
      <c r="BB424" s="0" t="s">
        <v>232</v>
      </c>
      <c r="BC424" s="0">
        <v>2</v>
      </c>
      <c r="BD424" s="0">
        <v>28</v>
      </c>
      <c r="BE424" s="0">
        <v>142781</v>
      </c>
      <c r="BF424" s="0">
        <v>2</v>
      </c>
      <c r="BG424" s="0" t="s">
        <v>3751</v>
      </c>
      <c r="BI424" s="0">
        <v>359</v>
      </c>
      <c r="BK424" s="0" t="s">
        <v>3752</v>
      </c>
    </row>
    <row r="425">
      <c r="A425" s="0">
        <v>4998</v>
      </c>
      <c r="B425" s="0" t="s">
        <v>3753</v>
      </c>
      <c r="C425" s="0" t="s">
        <v>315</v>
      </c>
      <c r="D425" s="0" t="s">
        <v>3736</v>
      </c>
      <c r="E425" s="0" t="s">
        <v>3754</v>
      </c>
      <c r="F425" s="0">
        <v>1</v>
      </c>
      <c r="G425" s="0" t="s">
        <v>319</v>
      </c>
      <c r="H425" s="0" t="s">
        <v>483</v>
      </c>
      <c r="I425" s="0" t="s">
        <v>3755</v>
      </c>
      <c r="J425" s="0" t="s">
        <v>400</v>
      </c>
      <c r="K425" s="0" t="s">
        <v>1190</v>
      </c>
      <c r="L425" s="0" t="s">
        <v>3756</v>
      </c>
      <c r="T425" s="0" t="s">
        <v>3757</v>
      </c>
      <c r="U425" s="0" t="s">
        <v>3758</v>
      </c>
      <c r="X425" s="0" t="s">
        <v>298</v>
      </c>
      <c r="Y425" s="0" t="s">
        <v>150</v>
      </c>
      <c r="Z425" s="0" t="s">
        <v>1919</v>
      </c>
      <c r="AA425" s="0" t="s">
        <v>208</v>
      </c>
      <c r="AB425" s="0" t="s">
        <v>3740</v>
      </c>
      <c r="AC425" s="0" t="s">
        <v>571</v>
      </c>
      <c r="AE425" s="0" t="s">
        <v>3741</v>
      </c>
      <c r="AF425" s="0" t="s">
        <v>301</v>
      </c>
      <c r="AP425" s="0" t="s">
        <v>305</v>
      </c>
      <c r="BA425" s="0">
        <v>479</v>
      </c>
      <c r="BB425" s="0" t="s">
        <v>232</v>
      </c>
      <c r="BC425" s="0">
        <v>2</v>
      </c>
      <c r="BD425" s="0">
        <v>374043</v>
      </c>
      <c r="BE425" s="0">
        <v>142781</v>
      </c>
      <c r="BF425" s="0">
        <v>5</v>
      </c>
      <c r="BG425" s="0" t="s">
        <v>3759</v>
      </c>
      <c r="BI425" s="0">
        <v>2913</v>
      </c>
      <c r="BK425" s="0" t="s">
        <v>3760</v>
      </c>
    </row>
    <row r="426">
      <c r="A426" s="0">
        <v>4977</v>
      </c>
      <c r="B426" s="0" t="s">
        <v>3761</v>
      </c>
      <c r="C426" s="0" t="s">
        <v>315</v>
      </c>
      <c r="D426" s="0" t="s">
        <v>3736</v>
      </c>
      <c r="E426" s="0" t="s">
        <v>3762</v>
      </c>
      <c r="F426" s="0">
        <v>3</v>
      </c>
      <c r="G426" s="0" t="s">
        <v>319</v>
      </c>
      <c r="H426" s="0" t="s">
        <v>483</v>
      </c>
      <c r="I426" s="0" t="s">
        <v>3763</v>
      </c>
      <c r="J426" s="0" t="s">
        <v>400</v>
      </c>
      <c r="K426" s="0" t="s">
        <v>1190</v>
      </c>
      <c r="P426" s="0" t="s">
        <v>619</v>
      </c>
      <c r="Q426" s="0" t="s">
        <v>619</v>
      </c>
      <c r="T426" s="0" t="s">
        <v>3764</v>
      </c>
      <c r="U426" s="0" t="s">
        <v>3765</v>
      </c>
      <c r="X426" s="0" t="s">
        <v>298</v>
      </c>
      <c r="Y426" s="0" t="s">
        <v>150</v>
      </c>
      <c r="Z426" s="0" t="s">
        <v>1919</v>
      </c>
      <c r="AA426" s="0" t="s">
        <v>208</v>
      </c>
      <c r="AB426" s="0" t="s">
        <v>3740</v>
      </c>
      <c r="AC426" s="0" t="s">
        <v>571</v>
      </c>
      <c r="AE426" s="0" t="s">
        <v>3741</v>
      </c>
      <c r="AF426" s="0" t="s">
        <v>301</v>
      </c>
      <c r="AP426" s="0" t="s">
        <v>305</v>
      </c>
      <c r="BA426" s="0">
        <v>479</v>
      </c>
      <c r="BB426" s="0" t="s">
        <v>232</v>
      </c>
      <c r="BC426" s="0">
        <v>2</v>
      </c>
      <c r="BD426" s="0">
        <v>374043</v>
      </c>
      <c r="BE426" s="0">
        <v>142781</v>
      </c>
      <c r="BF426" s="0">
        <v>5</v>
      </c>
      <c r="BG426" s="0" t="s">
        <v>3766</v>
      </c>
      <c r="BI426" s="0">
        <v>1095</v>
      </c>
      <c r="BK426" s="0" t="s">
        <v>3767</v>
      </c>
    </row>
    <row r="427">
      <c r="A427" s="0">
        <v>4999</v>
      </c>
      <c r="B427" s="0" t="s">
        <v>3768</v>
      </c>
      <c r="C427" s="0" t="s">
        <v>315</v>
      </c>
      <c r="D427" s="0" t="s">
        <v>3736</v>
      </c>
      <c r="E427" s="0" t="s">
        <v>3769</v>
      </c>
      <c r="F427" s="0">
        <v>1</v>
      </c>
      <c r="G427" s="0" t="s">
        <v>319</v>
      </c>
      <c r="H427" s="0" t="s">
        <v>483</v>
      </c>
      <c r="I427" s="0" t="s">
        <v>3755</v>
      </c>
      <c r="J427" s="0" t="s">
        <v>400</v>
      </c>
      <c r="K427" s="0" t="s">
        <v>1190</v>
      </c>
      <c r="L427" s="0" t="s">
        <v>3756</v>
      </c>
      <c r="T427" s="0" t="s">
        <v>3770</v>
      </c>
      <c r="U427" s="0" t="s">
        <v>3771</v>
      </c>
      <c r="X427" s="0" t="s">
        <v>298</v>
      </c>
      <c r="Y427" s="0" t="s">
        <v>150</v>
      </c>
      <c r="Z427" s="0" t="s">
        <v>1919</v>
      </c>
      <c r="AA427" s="0" t="s">
        <v>208</v>
      </c>
      <c r="AB427" s="0" t="s">
        <v>3740</v>
      </c>
      <c r="AC427" s="0" t="s">
        <v>571</v>
      </c>
      <c r="AE427" s="0" t="s">
        <v>3741</v>
      </c>
      <c r="AF427" s="0" t="s">
        <v>301</v>
      </c>
      <c r="AP427" s="0" t="s">
        <v>305</v>
      </c>
      <c r="BA427" s="0">
        <v>479</v>
      </c>
      <c r="BB427" s="0" t="s">
        <v>232</v>
      </c>
      <c r="BC427" s="0">
        <v>2</v>
      </c>
      <c r="BD427" s="0">
        <v>374043</v>
      </c>
      <c r="BE427" s="0">
        <v>142781</v>
      </c>
      <c r="BF427" s="0">
        <v>5</v>
      </c>
      <c r="BG427" s="0" t="s">
        <v>3772</v>
      </c>
      <c r="BI427" s="0">
        <v>3078</v>
      </c>
      <c r="BK427" s="0" t="s">
        <v>3773</v>
      </c>
    </row>
    <row r="428">
      <c r="A428" s="0">
        <v>4978</v>
      </c>
      <c r="B428" s="0" t="s">
        <v>3774</v>
      </c>
      <c r="C428" s="0" t="s">
        <v>1100</v>
      </c>
      <c r="D428" s="0" t="s">
        <v>3736</v>
      </c>
      <c r="E428" s="0" t="s">
        <v>3775</v>
      </c>
      <c r="F428" s="0">
        <v>3</v>
      </c>
      <c r="G428" s="0" t="s">
        <v>319</v>
      </c>
      <c r="H428" s="0" t="s">
        <v>483</v>
      </c>
      <c r="I428" s="0" t="s">
        <v>3763</v>
      </c>
      <c r="J428" s="0" t="s">
        <v>400</v>
      </c>
      <c r="K428" s="0" t="s">
        <v>1190</v>
      </c>
      <c r="P428" s="0" t="s">
        <v>619</v>
      </c>
      <c r="Q428" s="0" t="s">
        <v>619</v>
      </c>
      <c r="T428" s="0" t="s">
        <v>3776</v>
      </c>
      <c r="U428" s="0" t="s">
        <v>3777</v>
      </c>
      <c r="X428" s="0" t="s">
        <v>298</v>
      </c>
      <c r="Y428" s="0" t="s">
        <v>150</v>
      </c>
      <c r="Z428" s="0" t="s">
        <v>1919</v>
      </c>
      <c r="AA428" s="0" t="s">
        <v>208</v>
      </c>
      <c r="AB428" s="0" t="s">
        <v>3740</v>
      </c>
      <c r="AC428" s="0" t="s">
        <v>571</v>
      </c>
      <c r="AE428" s="0" t="s">
        <v>3741</v>
      </c>
      <c r="AF428" s="0" t="s">
        <v>301</v>
      </c>
      <c r="AP428" s="0" t="s">
        <v>305</v>
      </c>
      <c r="BA428" s="0">
        <v>479</v>
      </c>
      <c r="BB428" s="0" t="s">
        <v>232</v>
      </c>
      <c r="BC428" s="0">
        <v>2</v>
      </c>
      <c r="BD428" s="0">
        <v>374072</v>
      </c>
      <c r="BE428" s="0">
        <v>142781</v>
      </c>
      <c r="BF428" s="0">
        <v>5</v>
      </c>
      <c r="BG428" s="0" t="s">
        <v>3778</v>
      </c>
      <c r="BI428" s="0">
        <v>1405</v>
      </c>
      <c r="BK428" s="0" t="s">
        <v>3779</v>
      </c>
    </row>
    <row r="429">
      <c r="A429" s="0">
        <v>4984</v>
      </c>
      <c r="C429" s="0" t="s">
        <v>315</v>
      </c>
      <c r="D429" s="0" t="s">
        <v>3736</v>
      </c>
      <c r="E429" s="0" t="s">
        <v>3780</v>
      </c>
      <c r="F429" s="0">
        <v>6</v>
      </c>
      <c r="G429" s="0" t="s">
        <v>319</v>
      </c>
      <c r="H429" s="0" t="s">
        <v>483</v>
      </c>
      <c r="I429" s="0" t="s">
        <v>3763</v>
      </c>
      <c r="J429" s="0" t="s">
        <v>400</v>
      </c>
      <c r="L429" s="0" t="s">
        <v>3781</v>
      </c>
      <c r="T429" s="0" t="s">
        <v>3782</v>
      </c>
      <c r="X429" s="0" t="s">
        <v>529</v>
      </c>
      <c r="Y429" s="0" t="s">
        <v>150</v>
      </c>
      <c r="Z429" s="0" t="s">
        <v>1919</v>
      </c>
      <c r="AA429" s="0" t="s">
        <v>208</v>
      </c>
      <c r="AB429" s="0" t="s">
        <v>3740</v>
      </c>
      <c r="AC429" s="0" t="s">
        <v>571</v>
      </c>
      <c r="AE429" s="0" t="s">
        <v>3741</v>
      </c>
      <c r="AF429" s="0" t="s">
        <v>301</v>
      </c>
      <c r="AP429" s="0" t="s">
        <v>305</v>
      </c>
      <c r="BA429" s="0">
        <v>479</v>
      </c>
      <c r="BB429" s="0" t="s">
        <v>232</v>
      </c>
      <c r="BC429" s="0">
        <v>2</v>
      </c>
      <c r="BD429" s="0">
        <v>374043</v>
      </c>
      <c r="BE429" s="0">
        <v>142781</v>
      </c>
      <c r="BF429" s="0">
        <v>2</v>
      </c>
      <c r="BG429" s="0" t="s">
        <v>3783</v>
      </c>
      <c r="BI429" s="0">
        <v>2150</v>
      </c>
      <c r="BK429" s="0" t="s">
        <v>3784</v>
      </c>
    </row>
    <row r="430">
      <c r="A430" s="0">
        <v>4982</v>
      </c>
      <c r="C430" s="0" t="s">
        <v>315</v>
      </c>
      <c r="D430" s="0" t="s">
        <v>3736</v>
      </c>
      <c r="E430" s="0" t="s">
        <v>3785</v>
      </c>
      <c r="F430" s="0">
        <v>11</v>
      </c>
      <c r="G430" s="0" t="s">
        <v>319</v>
      </c>
      <c r="H430" s="0" t="s">
        <v>483</v>
      </c>
      <c r="I430" s="0" t="s">
        <v>3755</v>
      </c>
      <c r="J430" s="0" t="s">
        <v>400</v>
      </c>
      <c r="L430" s="0" t="s">
        <v>3756</v>
      </c>
      <c r="T430" s="0" t="s">
        <v>3786</v>
      </c>
      <c r="X430" s="0" t="s">
        <v>529</v>
      </c>
      <c r="Y430" s="0" t="s">
        <v>150</v>
      </c>
      <c r="Z430" s="0" t="s">
        <v>1919</v>
      </c>
      <c r="AA430" s="0" t="s">
        <v>208</v>
      </c>
      <c r="AB430" s="0" t="s">
        <v>3740</v>
      </c>
      <c r="AC430" s="0" t="s">
        <v>571</v>
      </c>
      <c r="AE430" s="0" t="s">
        <v>3741</v>
      </c>
      <c r="AF430" s="0" t="s">
        <v>301</v>
      </c>
      <c r="AP430" s="0" t="s">
        <v>305</v>
      </c>
      <c r="BA430" s="0">
        <v>479</v>
      </c>
      <c r="BB430" s="0" t="s">
        <v>232</v>
      </c>
      <c r="BC430" s="0">
        <v>2</v>
      </c>
      <c r="BD430" s="0">
        <v>374043</v>
      </c>
      <c r="BE430" s="0">
        <v>142781</v>
      </c>
      <c r="BF430" s="0">
        <v>2</v>
      </c>
      <c r="BG430" s="0" t="s">
        <v>3787</v>
      </c>
      <c r="BI430" s="0">
        <v>2563</v>
      </c>
      <c r="BK430" s="0" t="s">
        <v>3788</v>
      </c>
    </row>
    <row r="431">
      <c r="A431" s="0">
        <v>5016</v>
      </c>
      <c r="B431" s="0" t="s">
        <v>3789</v>
      </c>
      <c r="C431" s="0" t="s">
        <v>656</v>
      </c>
      <c r="D431" s="0" t="s">
        <v>3255</v>
      </c>
      <c r="E431" s="0" t="s">
        <v>2842</v>
      </c>
      <c r="F431" s="0">
        <v>1</v>
      </c>
      <c r="G431" s="0" t="s">
        <v>293</v>
      </c>
      <c r="H431" s="0" t="s">
        <v>294</v>
      </c>
      <c r="I431" s="0" t="s">
        <v>295</v>
      </c>
      <c r="J431" s="0" t="s">
        <v>525</v>
      </c>
      <c r="K431" s="0" t="s">
        <v>400</v>
      </c>
      <c r="L431" s="0" t="s">
        <v>469</v>
      </c>
      <c r="T431" s="0" t="s">
        <v>3790</v>
      </c>
      <c r="U431" s="0" t="s">
        <v>3791</v>
      </c>
      <c r="W431" s="0" t="s">
        <v>3255</v>
      </c>
      <c r="X431" s="0" t="s">
        <v>529</v>
      </c>
      <c r="Y431" s="0" t="s">
        <v>142</v>
      </c>
      <c r="Z431" s="0" t="s">
        <v>2844</v>
      </c>
      <c r="AA431" s="0" t="s">
        <v>209</v>
      </c>
      <c r="AB431" s="0" t="s">
        <v>300</v>
      </c>
      <c r="AF431" s="0" t="s">
        <v>301</v>
      </c>
      <c r="AP431" s="0" t="s">
        <v>305</v>
      </c>
      <c r="BA431" s="0">
        <v>480</v>
      </c>
      <c r="BB431" s="0" t="s">
        <v>232</v>
      </c>
      <c r="BC431" s="0">
        <v>2</v>
      </c>
      <c r="BD431" s="0">
        <v>10</v>
      </c>
      <c r="BE431" s="0">
        <v>2562</v>
      </c>
      <c r="BF431" s="0">
        <v>2</v>
      </c>
      <c r="BG431" s="0" t="s">
        <v>3792</v>
      </c>
      <c r="BI431" s="0">
        <v>3499</v>
      </c>
      <c r="BK431" s="0" t="s">
        <v>3793</v>
      </c>
    </row>
    <row r="432">
      <c r="A432" s="0">
        <v>5004</v>
      </c>
      <c r="B432" s="0" t="s">
        <v>3794</v>
      </c>
      <c r="C432" s="0" t="s">
        <v>656</v>
      </c>
      <c r="D432" s="0" t="s">
        <v>3255</v>
      </c>
      <c r="E432" s="0" t="s">
        <v>2848</v>
      </c>
      <c r="F432" s="0">
        <v>1</v>
      </c>
      <c r="G432" s="0" t="s">
        <v>293</v>
      </c>
      <c r="H432" s="0" t="s">
        <v>294</v>
      </c>
      <c r="I432" s="0" t="s">
        <v>295</v>
      </c>
      <c r="P432" s="0" t="s">
        <v>323</v>
      </c>
      <c r="Q432" s="0" t="s">
        <v>323</v>
      </c>
      <c r="R432" s="0" t="s">
        <v>344</v>
      </c>
      <c r="T432" s="0" t="s">
        <v>3795</v>
      </c>
      <c r="U432" s="0" t="s">
        <v>3796</v>
      </c>
      <c r="W432" s="0" t="s">
        <v>3255</v>
      </c>
      <c r="X432" s="0" t="s">
        <v>529</v>
      </c>
      <c r="Y432" s="0" t="s">
        <v>142</v>
      </c>
      <c r="Z432" s="0" t="s">
        <v>2844</v>
      </c>
      <c r="AA432" s="0" t="s">
        <v>209</v>
      </c>
      <c r="AB432" s="0" t="s">
        <v>300</v>
      </c>
      <c r="AF432" s="0" t="s">
        <v>301</v>
      </c>
      <c r="AM432" s="0" t="s">
        <v>3797</v>
      </c>
      <c r="AN432" s="0" t="s">
        <v>3798</v>
      </c>
      <c r="AO432" s="0" t="s">
        <v>3799</v>
      </c>
      <c r="AP432" s="0" t="s">
        <v>305</v>
      </c>
      <c r="AQ432" s="0" t="s">
        <v>2853</v>
      </c>
      <c r="AR432" s="0" t="s">
        <v>2854</v>
      </c>
      <c r="AS432" s="0">
        <v>17</v>
      </c>
      <c r="AT432" s="0">
        <v>40</v>
      </c>
      <c r="AU432" s="0">
        <v>47</v>
      </c>
      <c r="AV432" s="0" t="s">
        <v>3800</v>
      </c>
      <c r="AW432" s="0" t="s">
        <v>2537</v>
      </c>
      <c r="AX432" s="0" t="s">
        <v>2855</v>
      </c>
      <c r="AY432" s="0" t="s">
        <v>2856</v>
      </c>
      <c r="AZ432" s="0" t="s">
        <v>2857</v>
      </c>
      <c r="BA432" s="0">
        <v>480</v>
      </c>
      <c r="BB432" s="0" t="s">
        <v>232</v>
      </c>
      <c r="BC432" s="0">
        <v>2</v>
      </c>
      <c r="BD432" s="0">
        <v>10</v>
      </c>
      <c r="BE432" s="0">
        <v>2562</v>
      </c>
      <c r="BF432" s="0">
        <v>2</v>
      </c>
      <c r="BG432" s="0" t="s">
        <v>3801</v>
      </c>
      <c r="BI432" s="0">
        <v>1102</v>
      </c>
      <c r="BK432" s="0" t="s">
        <v>3802</v>
      </c>
    </row>
    <row r="433">
      <c r="A433" s="0">
        <v>5015</v>
      </c>
      <c r="B433" s="0" t="s">
        <v>3803</v>
      </c>
      <c r="C433" s="0" t="s">
        <v>579</v>
      </c>
      <c r="D433" s="0" t="s">
        <v>3255</v>
      </c>
      <c r="E433" s="0" t="s">
        <v>3804</v>
      </c>
      <c r="F433" s="0">
        <v>1</v>
      </c>
      <c r="G433" s="0" t="s">
        <v>293</v>
      </c>
      <c r="H433" s="0" t="s">
        <v>294</v>
      </c>
      <c r="I433" s="0" t="s">
        <v>295</v>
      </c>
      <c r="J433" s="0" t="s">
        <v>3805</v>
      </c>
      <c r="L433" s="0" t="s">
        <v>583</v>
      </c>
      <c r="T433" s="0" t="s">
        <v>3806</v>
      </c>
      <c r="U433" s="0" t="s">
        <v>3807</v>
      </c>
      <c r="W433" s="0" t="s">
        <v>3255</v>
      </c>
      <c r="X433" s="0" t="s">
        <v>529</v>
      </c>
      <c r="Y433" s="0" t="s">
        <v>142</v>
      </c>
      <c r="Z433" s="0" t="s">
        <v>2844</v>
      </c>
      <c r="AA433" s="0" t="s">
        <v>209</v>
      </c>
      <c r="AB433" s="0" t="s">
        <v>300</v>
      </c>
      <c r="AF433" s="0" t="s">
        <v>301</v>
      </c>
      <c r="AP433" s="0" t="s">
        <v>305</v>
      </c>
      <c r="BA433" s="0">
        <v>480</v>
      </c>
      <c r="BB433" s="0" t="s">
        <v>232</v>
      </c>
      <c r="BC433" s="0">
        <v>2</v>
      </c>
      <c r="BD433" s="0">
        <v>374046</v>
      </c>
      <c r="BE433" s="0">
        <v>2562</v>
      </c>
      <c r="BF433" s="0">
        <v>2</v>
      </c>
      <c r="BG433" s="0" t="s">
        <v>3808</v>
      </c>
      <c r="BI433" s="0">
        <v>3373</v>
      </c>
      <c r="BK433" s="0" t="s">
        <v>3809</v>
      </c>
    </row>
    <row r="434">
      <c r="A434" s="0">
        <v>5014</v>
      </c>
      <c r="B434" s="0" t="s">
        <v>3810</v>
      </c>
      <c r="C434" s="0" t="s">
        <v>1139</v>
      </c>
      <c r="D434" s="0" t="s">
        <v>3255</v>
      </c>
      <c r="E434" s="0" t="s">
        <v>2738</v>
      </c>
      <c r="F434" s="0">
        <v>1</v>
      </c>
      <c r="G434" s="0" t="s">
        <v>293</v>
      </c>
      <c r="H434" s="0" t="s">
        <v>294</v>
      </c>
      <c r="I434" s="0" t="s">
        <v>295</v>
      </c>
      <c r="T434" s="0" t="s">
        <v>3811</v>
      </c>
      <c r="U434" s="0" t="s">
        <v>3812</v>
      </c>
      <c r="W434" s="0" t="s">
        <v>3255</v>
      </c>
      <c r="X434" s="0" t="s">
        <v>347</v>
      </c>
      <c r="Y434" s="0" t="s">
        <v>142</v>
      </c>
      <c r="Z434" s="0" t="s">
        <v>2844</v>
      </c>
      <c r="AA434" s="0" t="s">
        <v>209</v>
      </c>
      <c r="AB434" s="0" t="s">
        <v>300</v>
      </c>
      <c r="AF434" s="0" t="s">
        <v>301</v>
      </c>
      <c r="AM434" s="0" t="s">
        <v>599</v>
      </c>
      <c r="AN434" s="0" t="s">
        <v>626</v>
      </c>
      <c r="AO434" s="0" t="s">
        <v>2869</v>
      </c>
      <c r="AP434" s="0" t="s">
        <v>305</v>
      </c>
      <c r="AS434" s="0">
        <v>64</v>
      </c>
      <c r="AT434" s="0">
        <v>128</v>
      </c>
      <c r="AU434" s="0">
        <v>181</v>
      </c>
      <c r="AV434" s="0" t="s">
        <v>332</v>
      </c>
      <c r="AW434" s="0" t="s">
        <v>332</v>
      </c>
      <c r="AX434" s="0" t="s">
        <v>3813</v>
      </c>
      <c r="AY434" s="0" t="s">
        <v>501</v>
      </c>
      <c r="AZ434" s="0" t="s">
        <v>1434</v>
      </c>
      <c r="BA434" s="0">
        <v>480</v>
      </c>
      <c r="BB434" s="0" t="s">
        <v>232</v>
      </c>
      <c r="BC434" s="0">
        <v>2</v>
      </c>
      <c r="BD434" s="0">
        <v>38030</v>
      </c>
      <c r="BE434" s="0">
        <v>2562</v>
      </c>
      <c r="BF434" s="0">
        <v>4</v>
      </c>
      <c r="BG434" s="0" t="s">
        <v>3814</v>
      </c>
      <c r="BI434" s="0">
        <v>3233</v>
      </c>
      <c r="BK434" s="0" t="s">
        <v>3815</v>
      </c>
    </row>
    <row r="435">
      <c r="A435" s="0">
        <v>5007</v>
      </c>
      <c r="B435" s="0" t="s">
        <v>3816</v>
      </c>
      <c r="C435" s="0" t="s">
        <v>656</v>
      </c>
      <c r="D435" s="0" t="s">
        <v>3255</v>
      </c>
      <c r="E435" s="0" t="s">
        <v>2876</v>
      </c>
      <c r="F435" s="0">
        <v>1</v>
      </c>
      <c r="G435" s="0" t="s">
        <v>293</v>
      </c>
      <c r="H435" s="0" t="s">
        <v>294</v>
      </c>
      <c r="I435" s="0" t="s">
        <v>295</v>
      </c>
      <c r="Q435" s="0" t="s">
        <v>867</v>
      </c>
      <c r="R435" s="0" t="s">
        <v>3817</v>
      </c>
      <c r="T435" s="0" t="s">
        <v>3818</v>
      </c>
      <c r="U435" s="0" t="s">
        <v>3819</v>
      </c>
      <c r="W435" s="0" t="s">
        <v>3255</v>
      </c>
      <c r="X435" s="0" t="s">
        <v>529</v>
      </c>
      <c r="Y435" s="0" t="s">
        <v>142</v>
      </c>
      <c r="Z435" s="0" t="s">
        <v>2844</v>
      </c>
      <c r="AA435" s="0" t="s">
        <v>209</v>
      </c>
      <c r="AB435" s="0" t="s">
        <v>300</v>
      </c>
      <c r="AF435" s="0" t="s">
        <v>301</v>
      </c>
      <c r="AM435" s="0" t="s">
        <v>608</v>
      </c>
      <c r="AN435" s="0" t="s">
        <v>608</v>
      </c>
      <c r="AO435" s="0" t="s">
        <v>2879</v>
      </c>
      <c r="AP435" s="0" t="s">
        <v>305</v>
      </c>
      <c r="AQ435" s="0" t="s">
        <v>423</v>
      </c>
      <c r="AR435" s="0" t="s">
        <v>1012</v>
      </c>
      <c r="AS435" s="0">
        <v>205</v>
      </c>
      <c r="AT435" s="0">
        <v>480</v>
      </c>
      <c r="AU435" s="0">
        <v>570</v>
      </c>
      <c r="AV435" s="0" t="s">
        <v>332</v>
      </c>
      <c r="AW435" s="0" t="s">
        <v>332</v>
      </c>
      <c r="AX435" s="0" t="s">
        <v>1066</v>
      </c>
      <c r="AY435" s="0" t="s">
        <v>367</v>
      </c>
      <c r="AZ435" s="0" t="s">
        <v>390</v>
      </c>
      <c r="BA435" s="0">
        <v>480</v>
      </c>
      <c r="BB435" s="0" t="s">
        <v>232</v>
      </c>
      <c r="BC435" s="0">
        <v>2</v>
      </c>
      <c r="BD435" s="0">
        <v>10</v>
      </c>
      <c r="BE435" s="0">
        <v>2562</v>
      </c>
      <c r="BF435" s="0">
        <v>2</v>
      </c>
      <c r="BG435" s="0" t="s">
        <v>3820</v>
      </c>
      <c r="BI435" s="0">
        <v>1922</v>
      </c>
      <c r="BK435" s="0" t="s">
        <v>3821</v>
      </c>
    </row>
    <row r="436">
      <c r="A436" s="0">
        <v>5012</v>
      </c>
      <c r="B436" s="0" t="s">
        <v>3822</v>
      </c>
      <c r="C436" s="0" t="s">
        <v>945</v>
      </c>
      <c r="D436" s="0" t="s">
        <v>3255</v>
      </c>
      <c r="E436" s="0" t="s">
        <v>3823</v>
      </c>
      <c r="F436" s="0">
        <v>1</v>
      </c>
      <c r="G436" s="0" t="s">
        <v>525</v>
      </c>
      <c r="H436" s="0" t="s">
        <v>508</v>
      </c>
      <c r="I436" s="0" t="s">
        <v>3824</v>
      </c>
      <c r="J436" s="0" t="s">
        <v>319</v>
      </c>
      <c r="K436" s="0" t="s">
        <v>1540</v>
      </c>
      <c r="L436" s="0" t="s">
        <v>1268</v>
      </c>
      <c r="T436" s="0" t="s">
        <v>3825</v>
      </c>
      <c r="U436" s="0" t="s">
        <v>3826</v>
      </c>
      <c r="W436" s="0" t="s">
        <v>3255</v>
      </c>
      <c r="X436" s="0" t="s">
        <v>529</v>
      </c>
      <c r="Y436" s="0" t="s">
        <v>142</v>
      </c>
      <c r="Z436" s="0" t="s">
        <v>2844</v>
      </c>
      <c r="AA436" s="0" t="s">
        <v>209</v>
      </c>
      <c r="AB436" s="0" t="s">
        <v>300</v>
      </c>
      <c r="AF436" s="0" t="s">
        <v>301</v>
      </c>
      <c r="AM436" s="0" t="s">
        <v>611</v>
      </c>
      <c r="AN436" s="0" t="s">
        <v>1472</v>
      </c>
      <c r="AO436" s="0" t="s">
        <v>474</v>
      </c>
      <c r="AP436" s="0" t="s">
        <v>305</v>
      </c>
      <c r="AQ436" s="0" t="s">
        <v>2337</v>
      </c>
      <c r="AR436" s="0" t="s">
        <v>1450</v>
      </c>
      <c r="AS436" s="0">
        <v>54</v>
      </c>
      <c r="AT436" s="0">
        <v>114</v>
      </c>
      <c r="AU436" s="0">
        <v>150</v>
      </c>
      <c r="AV436" s="0" t="s">
        <v>332</v>
      </c>
      <c r="AW436" s="0" t="s">
        <v>332</v>
      </c>
      <c r="AX436" s="0" t="s">
        <v>1921</v>
      </c>
      <c r="AY436" s="0" t="s">
        <v>512</v>
      </c>
      <c r="AZ436" s="0" t="s">
        <v>503</v>
      </c>
      <c r="BA436" s="0">
        <v>480</v>
      </c>
      <c r="BB436" s="0" t="s">
        <v>232</v>
      </c>
      <c r="BC436" s="0">
        <v>2</v>
      </c>
      <c r="BD436" s="0">
        <v>14</v>
      </c>
      <c r="BE436" s="0">
        <v>2562</v>
      </c>
      <c r="BF436" s="0">
        <v>2</v>
      </c>
      <c r="BG436" s="0" t="s">
        <v>3827</v>
      </c>
      <c r="BI436" s="0">
        <v>2916</v>
      </c>
      <c r="BK436" s="0" t="s">
        <v>3828</v>
      </c>
    </row>
    <row r="437">
      <c r="A437" s="0">
        <v>5011</v>
      </c>
      <c r="B437" s="0" t="s">
        <v>3829</v>
      </c>
      <c r="C437" s="0" t="s">
        <v>315</v>
      </c>
      <c r="D437" s="0" t="s">
        <v>3255</v>
      </c>
      <c r="E437" s="0" t="s">
        <v>3830</v>
      </c>
      <c r="F437" s="0">
        <v>1</v>
      </c>
      <c r="G437" s="0" t="s">
        <v>525</v>
      </c>
      <c r="H437" s="0" t="s">
        <v>400</v>
      </c>
      <c r="J437" s="0" t="s">
        <v>319</v>
      </c>
      <c r="K437" s="0" t="s">
        <v>543</v>
      </c>
      <c r="L437" s="0" t="s">
        <v>1268</v>
      </c>
      <c r="P437" s="0" t="s">
        <v>323</v>
      </c>
      <c r="Q437" s="0" t="s">
        <v>323</v>
      </c>
      <c r="R437" s="0" t="s">
        <v>324</v>
      </c>
      <c r="T437" s="0" t="s">
        <v>3831</v>
      </c>
      <c r="U437" s="0" t="s">
        <v>3832</v>
      </c>
      <c r="W437" s="0" t="s">
        <v>3255</v>
      </c>
      <c r="X437" s="0" t="s">
        <v>347</v>
      </c>
      <c r="Y437" s="0" t="s">
        <v>142</v>
      </c>
      <c r="Z437" s="0" t="s">
        <v>2844</v>
      </c>
      <c r="AA437" s="0" t="s">
        <v>209</v>
      </c>
      <c r="AB437" s="0" t="s">
        <v>300</v>
      </c>
      <c r="AF437" s="0" t="s">
        <v>301</v>
      </c>
      <c r="AP437" s="0" t="s">
        <v>305</v>
      </c>
      <c r="BA437" s="0">
        <v>480</v>
      </c>
      <c r="BB437" s="0" t="s">
        <v>232</v>
      </c>
      <c r="BC437" s="0">
        <v>2</v>
      </c>
      <c r="BD437" s="0">
        <v>374043</v>
      </c>
      <c r="BE437" s="0">
        <v>2562</v>
      </c>
      <c r="BF437" s="0">
        <v>4</v>
      </c>
      <c r="BG437" s="0" t="s">
        <v>3833</v>
      </c>
      <c r="BI437" s="0">
        <v>2742</v>
      </c>
      <c r="BK437" s="0" t="s">
        <v>3834</v>
      </c>
    </row>
    <row r="438">
      <c r="A438" s="0">
        <v>5013</v>
      </c>
      <c r="B438" s="0" t="s">
        <v>3835</v>
      </c>
      <c r="C438" s="0" t="s">
        <v>290</v>
      </c>
      <c r="D438" s="0" t="s">
        <v>3255</v>
      </c>
      <c r="E438" s="0" t="s">
        <v>2893</v>
      </c>
      <c r="F438" s="0">
        <v>1</v>
      </c>
      <c r="G438" s="0" t="s">
        <v>525</v>
      </c>
      <c r="H438" s="0" t="s">
        <v>508</v>
      </c>
      <c r="I438" s="0" t="s">
        <v>469</v>
      </c>
      <c r="J438" s="0" t="s">
        <v>293</v>
      </c>
      <c r="K438" s="0" t="s">
        <v>294</v>
      </c>
      <c r="L438" s="0" t="s">
        <v>295</v>
      </c>
      <c r="P438" s="0" t="s">
        <v>323</v>
      </c>
      <c r="Q438" s="0" t="s">
        <v>323</v>
      </c>
      <c r="R438" s="0" t="s">
        <v>3836</v>
      </c>
      <c r="T438" s="0" t="s">
        <v>3837</v>
      </c>
      <c r="U438" s="0" t="s">
        <v>3838</v>
      </c>
      <c r="W438" s="0" t="s">
        <v>3255</v>
      </c>
      <c r="X438" s="0" t="s">
        <v>529</v>
      </c>
      <c r="Y438" s="0" t="s">
        <v>142</v>
      </c>
      <c r="Z438" s="0" t="s">
        <v>2844</v>
      </c>
      <c r="AA438" s="0" t="s">
        <v>209</v>
      </c>
      <c r="AB438" s="0" t="s">
        <v>300</v>
      </c>
      <c r="AF438" s="0" t="s">
        <v>301</v>
      </c>
      <c r="AP438" s="0" t="s">
        <v>305</v>
      </c>
      <c r="BA438" s="0">
        <v>480</v>
      </c>
      <c r="BB438" s="0" t="s">
        <v>232</v>
      </c>
      <c r="BC438" s="0">
        <v>2</v>
      </c>
      <c r="BD438" s="0">
        <v>374053</v>
      </c>
      <c r="BE438" s="0">
        <v>2562</v>
      </c>
      <c r="BF438" s="0">
        <v>2</v>
      </c>
      <c r="BG438" s="0" t="s">
        <v>3839</v>
      </c>
      <c r="BI438" s="0">
        <v>3082</v>
      </c>
      <c r="BK438" s="0" t="s">
        <v>3840</v>
      </c>
    </row>
    <row r="439">
      <c r="A439" s="0">
        <v>5008</v>
      </c>
      <c r="B439" s="0" t="s">
        <v>3841</v>
      </c>
      <c r="C439" s="0" t="s">
        <v>339</v>
      </c>
      <c r="D439" s="0" t="s">
        <v>3255</v>
      </c>
      <c r="E439" s="0" t="s">
        <v>3842</v>
      </c>
      <c r="F439" s="0">
        <v>1</v>
      </c>
      <c r="G439" s="0" t="s">
        <v>319</v>
      </c>
      <c r="H439" s="0" t="s">
        <v>1540</v>
      </c>
      <c r="I439" s="0" t="s">
        <v>1268</v>
      </c>
      <c r="J439" s="0" t="s">
        <v>525</v>
      </c>
      <c r="K439" s="0" t="s">
        <v>508</v>
      </c>
      <c r="L439" s="0" t="s">
        <v>3824</v>
      </c>
      <c r="T439" s="0" t="s">
        <v>3843</v>
      </c>
      <c r="U439" s="0" t="s">
        <v>3844</v>
      </c>
      <c r="W439" s="0" t="s">
        <v>3255</v>
      </c>
      <c r="X439" s="0" t="s">
        <v>529</v>
      </c>
      <c r="Y439" s="0" t="s">
        <v>142</v>
      </c>
      <c r="Z439" s="0" t="s">
        <v>2844</v>
      </c>
      <c r="AA439" s="0" t="s">
        <v>209</v>
      </c>
      <c r="AB439" s="0" t="s">
        <v>300</v>
      </c>
      <c r="AF439" s="0" t="s">
        <v>301</v>
      </c>
      <c r="AM439" s="0" t="s">
        <v>2900</v>
      </c>
      <c r="AN439" s="0" t="s">
        <v>2733</v>
      </c>
      <c r="AO439" s="0" t="s">
        <v>2749</v>
      </c>
      <c r="AP439" s="0" t="s">
        <v>305</v>
      </c>
      <c r="AQ439" s="0" t="s">
        <v>1807</v>
      </c>
      <c r="AR439" s="0" t="s">
        <v>307</v>
      </c>
      <c r="AS439" s="0">
        <v>37</v>
      </c>
      <c r="AT439" s="0">
        <v>74</v>
      </c>
      <c r="AU439" s="0">
        <v>88</v>
      </c>
      <c r="AV439" s="0" t="s">
        <v>332</v>
      </c>
      <c r="AW439" s="0" t="s">
        <v>332</v>
      </c>
      <c r="AX439" s="0" t="s">
        <v>608</v>
      </c>
      <c r="AY439" s="0" t="s">
        <v>1148</v>
      </c>
      <c r="AZ439" s="0" t="s">
        <v>598</v>
      </c>
      <c r="BA439" s="0">
        <v>480</v>
      </c>
      <c r="BB439" s="0" t="s">
        <v>232</v>
      </c>
      <c r="BC439" s="0">
        <v>2</v>
      </c>
      <c r="BD439" s="0">
        <v>8</v>
      </c>
      <c r="BE439" s="0">
        <v>2562</v>
      </c>
      <c r="BF439" s="0">
        <v>2</v>
      </c>
      <c r="BG439" s="0" t="s">
        <v>3845</v>
      </c>
      <c r="BI439" s="0">
        <v>2153</v>
      </c>
      <c r="BK439" s="0" t="s">
        <v>3846</v>
      </c>
    </row>
    <row r="440">
      <c r="A440" s="0">
        <v>5009</v>
      </c>
      <c r="B440" s="0" t="s">
        <v>3847</v>
      </c>
      <c r="C440" s="0" t="s">
        <v>339</v>
      </c>
      <c r="D440" s="0" t="s">
        <v>3255</v>
      </c>
      <c r="E440" s="0" t="s">
        <v>3848</v>
      </c>
      <c r="F440" s="0">
        <v>1</v>
      </c>
      <c r="G440" s="0" t="s">
        <v>525</v>
      </c>
      <c r="H440" s="0" t="s">
        <v>508</v>
      </c>
      <c r="I440" s="0" t="s">
        <v>1268</v>
      </c>
      <c r="J440" s="0" t="s">
        <v>319</v>
      </c>
      <c r="K440" s="0" t="s">
        <v>879</v>
      </c>
      <c r="L440" s="0" t="s">
        <v>1268</v>
      </c>
      <c r="P440" s="0" t="s">
        <v>323</v>
      </c>
      <c r="Q440" s="0" t="s">
        <v>323</v>
      </c>
      <c r="R440" s="0" t="s">
        <v>324</v>
      </c>
      <c r="T440" s="0" t="s">
        <v>3849</v>
      </c>
      <c r="U440" s="0" t="s">
        <v>3850</v>
      </c>
      <c r="W440" s="0" t="s">
        <v>3255</v>
      </c>
      <c r="X440" s="0" t="s">
        <v>529</v>
      </c>
      <c r="Y440" s="0" t="s">
        <v>142</v>
      </c>
      <c r="Z440" s="0" t="s">
        <v>2844</v>
      </c>
      <c r="AA440" s="0" t="s">
        <v>209</v>
      </c>
      <c r="AB440" s="0" t="s">
        <v>300</v>
      </c>
      <c r="AF440" s="0" t="s">
        <v>301</v>
      </c>
      <c r="AM440" s="0" t="s">
        <v>310</v>
      </c>
      <c r="AN440" s="0" t="s">
        <v>2915</v>
      </c>
      <c r="AO440" s="0" t="s">
        <v>365</v>
      </c>
      <c r="AP440" s="0" t="s">
        <v>305</v>
      </c>
      <c r="AQ440" s="0" t="s">
        <v>1302</v>
      </c>
      <c r="AR440" s="0" t="s">
        <v>2879</v>
      </c>
      <c r="AS440" s="0">
        <v>37</v>
      </c>
      <c r="AT440" s="0">
        <v>75</v>
      </c>
      <c r="AU440" s="0">
        <v>89</v>
      </c>
      <c r="AV440" s="0" t="s">
        <v>332</v>
      </c>
      <c r="AW440" s="0" t="s">
        <v>332</v>
      </c>
      <c r="AX440" s="0" t="s">
        <v>1472</v>
      </c>
      <c r="AY440" s="0" t="s">
        <v>862</v>
      </c>
      <c r="AZ440" s="0" t="s">
        <v>443</v>
      </c>
      <c r="BA440" s="0">
        <v>480</v>
      </c>
      <c r="BB440" s="0" t="s">
        <v>232</v>
      </c>
      <c r="BC440" s="0">
        <v>2</v>
      </c>
      <c r="BD440" s="0">
        <v>8</v>
      </c>
      <c r="BE440" s="0">
        <v>2562</v>
      </c>
      <c r="BF440" s="0">
        <v>2</v>
      </c>
      <c r="BG440" s="0" t="s">
        <v>3851</v>
      </c>
      <c r="BI440" s="0">
        <v>2369</v>
      </c>
      <c r="BK440" s="0" t="s">
        <v>3852</v>
      </c>
    </row>
    <row r="441">
      <c r="A441" s="0">
        <v>5005</v>
      </c>
      <c r="B441" s="0" t="s">
        <v>3853</v>
      </c>
      <c r="C441" s="0" t="s">
        <v>315</v>
      </c>
      <c r="D441" s="0" t="s">
        <v>3255</v>
      </c>
      <c r="E441" s="0" t="s">
        <v>2904</v>
      </c>
      <c r="F441" s="0">
        <v>1</v>
      </c>
      <c r="G441" s="0" t="s">
        <v>319</v>
      </c>
      <c r="I441" s="0" t="s">
        <v>3854</v>
      </c>
      <c r="J441" s="0" t="s">
        <v>525</v>
      </c>
      <c r="K441" s="0" t="s">
        <v>400</v>
      </c>
      <c r="L441" s="0" t="s">
        <v>3854</v>
      </c>
      <c r="T441" s="0" t="s">
        <v>3855</v>
      </c>
      <c r="W441" s="0" t="s">
        <v>3255</v>
      </c>
      <c r="X441" s="0" t="s">
        <v>529</v>
      </c>
      <c r="Y441" s="0" t="s">
        <v>142</v>
      </c>
      <c r="Z441" s="0" t="s">
        <v>2844</v>
      </c>
      <c r="AA441" s="0" t="s">
        <v>209</v>
      </c>
      <c r="AB441" s="0" t="s">
        <v>300</v>
      </c>
      <c r="AF441" s="0" t="s">
        <v>301</v>
      </c>
      <c r="AP441" s="0" t="s">
        <v>305</v>
      </c>
      <c r="BA441" s="0">
        <v>480</v>
      </c>
      <c r="BB441" s="0" t="s">
        <v>232</v>
      </c>
      <c r="BC441" s="0">
        <v>2</v>
      </c>
      <c r="BD441" s="0">
        <v>374043</v>
      </c>
      <c r="BE441" s="0">
        <v>2562</v>
      </c>
      <c r="BF441" s="0">
        <v>2</v>
      </c>
      <c r="BG441" s="0" t="s">
        <v>3856</v>
      </c>
      <c r="BI441" s="0">
        <v>1410</v>
      </c>
      <c r="BK441" s="0" t="s">
        <v>3857</v>
      </c>
    </row>
    <row r="442">
      <c r="A442" s="0">
        <v>5006</v>
      </c>
      <c r="B442" s="0" t="s">
        <v>3858</v>
      </c>
      <c r="C442" s="0" t="s">
        <v>315</v>
      </c>
      <c r="D442" s="0" t="s">
        <v>3255</v>
      </c>
      <c r="E442" s="0" t="s">
        <v>3859</v>
      </c>
      <c r="F442" s="0">
        <v>1</v>
      </c>
      <c r="G442" s="0" t="s">
        <v>319</v>
      </c>
      <c r="I442" s="0" t="s">
        <v>3854</v>
      </c>
      <c r="J442" s="0" t="s">
        <v>293</v>
      </c>
      <c r="K442" s="0" t="s">
        <v>294</v>
      </c>
      <c r="L442" s="0" t="s">
        <v>295</v>
      </c>
      <c r="M442" s="0" t="s">
        <v>525</v>
      </c>
      <c r="N442" s="0" t="s">
        <v>400</v>
      </c>
      <c r="O442" s="0" t="s">
        <v>3854</v>
      </c>
      <c r="T442" s="0" t="s">
        <v>3855</v>
      </c>
      <c r="U442" s="0" t="s">
        <v>3860</v>
      </c>
      <c r="W442" s="0" t="s">
        <v>3255</v>
      </c>
      <c r="X442" s="0" t="s">
        <v>529</v>
      </c>
      <c r="Y442" s="0" t="s">
        <v>142</v>
      </c>
      <c r="Z442" s="0" t="s">
        <v>2844</v>
      </c>
      <c r="AA442" s="0" t="s">
        <v>209</v>
      </c>
      <c r="AB442" s="0" t="s">
        <v>300</v>
      </c>
      <c r="AF442" s="0" t="s">
        <v>301</v>
      </c>
      <c r="AP442" s="0" t="s">
        <v>305</v>
      </c>
      <c r="BA442" s="0">
        <v>480</v>
      </c>
      <c r="BB442" s="0" t="s">
        <v>232</v>
      </c>
      <c r="BC442" s="0">
        <v>2</v>
      </c>
      <c r="BD442" s="0">
        <v>374043</v>
      </c>
      <c r="BE442" s="0">
        <v>2562</v>
      </c>
      <c r="BF442" s="0">
        <v>2</v>
      </c>
      <c r="BG442" s="0" t="s">
        <v>3861</v>
      </c>
      <c r="BI442" s="0">
        <v>1676</v>
      </c>
      <c r="BK442" s="0" t="s">
        <v>3862</v>
      </c>
    </row>
    <row r="443">
      <c r="A443" s="0">
        <v>5010</v>
      </c>
      <c r="B443" s="0" t="s">
        <v>3863</v>
      </c>
      <c r="C443" s="0" t="s">
        <v>315</v>
      </c>
      <c r="D443" s="0" t="s">
        <v>3255</v>
      </c>
      <c r="E443" s="0" t="s">
        <v>2919</v>
      </c>
      <c r="F443" s="0">
        <v>1</v>
      </c>
      <c r="G443" s="0" t="s">
        <v>319</v>
      </c>
      <c r="H443" s="0" t="s">
        <v>1188</v>
      </c>
      <c r="I443" s="0" t="s">
        <v>469</v>
      </c>
      <c r="J443" s="0" t="s">
        <v>525</v>
      </c>
      <c r="K443" s="0" t="s">
        <v>508</v>
      </c>
      <c r="L443" s="0" t="s">
        <v>2566</v>
      </c>
      <c r="T443" s="0" t="s">
        <v>3864</v>
      </c>
      <c r="U443" s="0" t="s">
        <v>3865</v>
      </c>
      <c r="W443" s="0" t="s">
        <v>3255</v>
      </c>
      <c r="X443" s="0" t="s">
        <v>529</v>
      </c>
      <c r="Y443" s="0" t="s">
        <v>142</v>
      </c>
      <c r="Z443" s="0" t="s">
        <v>2844</v>
      </c>
      <c r="AA443" s="0" t="s">
        <v>209</v>
      </c>
      <c r="AB443" s="0" t="s">
        <v>300</v>
      </c>
      <c r="AF443" s="0" t="s">
        <v>301</v>
      </c>
      <c r="AP443" s="0" t="s">
        <v>305</v>
      </c>
      <c r="BA443" s="0">
        <v>480</v>
      </c>
      <c r="BB443" s="0" t="s">
        <v>232</v>
      </c>
      <c r="BC443" s="0">
        <v>2</v>
      </c>
      <c r="BD443" s="0">
        <v>374043</v>
      </c>
      <c r="BE443" s="0">
        <v>2562</v>
      </c>
      <c r="BF443" s="0">
        <v>2</v>
      </c>
      <c r="BG443" s="0" t="s">
        <v>3866</v>
      </c>
      <c r="BI443" s="0">
        <v>2566</v>
      </c>
      <c r="BK443" s="0" t="s">
        <v>3867</v>
      </c>
    </row>
    <row r="444">
      <c r="A444" s="0">
        <v>5100</v>
      </c>
      <c r="B444" s="0" t="s">
        <v>3868</v>
      </c>
      <c r="C444" s="0" t="s">
        <v>315</v>
      </c>
      <c r="D444" s="0" t="s">
        <v>3255</v>
      </c>
      <c r="E444" s="0" t="s">
        <v>3869</v>
      </c>
      <c r="F444" s="0">
        <v>1</v>
      </c>
      <c r="G444" s="0" t="s">
        <v>293</v>
      </c>
      <c r="H444" s="0" t="s">
        <v>294</v>
      </c>
      <c r="I444" s="0" t="s">
        <v>295</v>
      </c>
      <c r="J444" s="0" t="s">
        <v>319</v>
      </c>
      <c r="K444" s="0" t="s">
        <v>658</v>
      </c>
      <c r="L444" s="0" t="s">
        <v>2166</v>
      </c>
      <c r="M444" s="0" t="s">
        <v>525</v>
      </c>
      <c r="N444" s="0" t="s">
        <v>400</v>
      </c>
      <c r="O444" s="0" t="s">
        <v>549</v>
      </c>
      <c r="P444" s="0" t="s">
        <v>323</v>
      </c>
      <c r="Q444" s="0" t="s">
        <v>2766</v>
      </c>
      <c r="R444" s="0" t="s">
        <v>1783</v>
      </c>
      <c r="U444" s="0" t="s">
        <v>3870</v>
      </c>
      <c r="W444" s="0" t="s">
        <v>3255</v>
      </c>
      <c r="X444" s="0" t="s">
        <v>529</v>
      </c>
      <c r="Y444" s="0" t="s">
        <v>142</v>
      </c>
      <c r="Z444" s="0" t="s">
        <v>2844</v>
      </c>
      <c r="AA444" s="0" t="s">
        <v>209</v>
      </c>
      <c r="AB444" s="0" t="s">
        <v>300</v>
      </c>
      <c r="AF444" s="0" t="s">
        <v>301</v>
      </c>
      <c r="AP444" s="0" t="s">
        <v>305</v>
      </c>
      <c r="BA444" s="0">
        <v>480</v>
      </c>
      <c r="BB444" s="0" t="s">
        <v>232</v>
      </c>
      <c r="BC444" s="0">
        <v>2</v>
      </c>
      <c r="BD444" s="0">
        <v>374043</v>
      </c>
      <c r="BE444" s="0">
        <v>2562</v>
      </c>
      <c r="BF444" s="0">
        <v>2</v>
      </c>
      <c r="BG444" s="0" t="s">
        <v>3871</v>
      </c>
      <c r="BI444" s="0">
        <v>3819</v>
      </c>
      <c r="BK444" s="0" t="s">
        <v>3872</v>
      </c>
    </row>
    <row r="445">
      <c r="A445" s="0">
        <v>5003</v>
      </c>
      <c r="B445" s="0" t="s">
        <v>3873</v>
      </c>
      <c r="C445" s="0" t="s">
        <v>656</v>
      </c>
      <c r="D445" s="0" t="s">
        <v>3255</v>
      </c>
      <c r="E445" s="0" t="s">
        <v>2924</v>
      </c>
      <c r="F445" s="0">
        <v>1</v>
      </c>
      <c r="G445" s="0" t="s">
        <v>293</v>
      </c>
      <c r="H445" s="0" t="s">
        <v>294</v>
      </c>
      <c r="I445" s="0" t="s">
        <v>295</v>
      </c>
      <c r="P445" s="0" t="s">
        <v>323</v>
      </c>
      <c r="Q445" s="0" t="s">
        <v>323</v>
      </c>
      <c r="R445" s="0" t="s">
        <v>344</v>
      </c>
      <c r="T445" s="0" t="s">
        <v>3874</v>
      </c>
      <c r="U445" s="0" t="s">
        <v>3875</v>
      </c>
      <c r="W445" s="0" t="s">
        <v>3255</v>
      </c>
      <c r="X445" s="0" t="s">
        <v>529</v>
      </c>
      <c r="Y445" s="0" t="s">
        <v>142</v>
      </c>
      <c r="Z445" s="0" t="s">
        <v>2844</v>
      </c>
      <c r="AA445" s="0" t="s">
        <v>209</v>
      </c>
      <c r="AB445" s="0" t="s">
        <v>300</v>
      </c>
      <c r="AF445" s="0" t="s">
        <v>301</v>
      </c>
      <c r="AM445" s="0" t="s">
        <v>2926</v>
      </c>
      <c r="AN445" s="0" t="s">
        <v>2927</v>
      </c>
      <c r="AO445" s="0" t="s">
        <v>2928</v>
      </c>
      <c r="AP445" s="0" t="s">
        <v>305</v>
      </c>
      <c r="AQ445" s="0" t="s">
        <v>2929</v>
      </c>
      <c r="AR445" s="0" t="s">
        <v>2930</v>
      </c>
      <c r="AS445" s="0">
        <v>22</v>
      </c>
      <c r="AT445" s="0">
        <v>51</v>
      </c>
      <c r="AU445" s="0">
        <v>60</v>
      </c>
      <c r="AV445" s="0" t="s">
        <v>895</v>
      </c>
      <c r="AW445" s="0" t="s">
        <v>1238</v>
      </c>
      <c r="AX445" s="0" t="s">
        <v>2931</v>
      </c>
      <c r="AY445" s="0" t="s">
        <v>2932</v>
      </c>
      <c r="AZ445" s="0" t="s">
        <v>2933</v>
      </c>
      <c r="BA445" s="0">
        <v>480</v>
      </c>
      <c r="BB445" s="0" t="s">
        <v>232</v>
      </c>
      <c r="BC445" s="0">
        <v>2</v>
      </c>
      <c r="BD445" s="0">
        <v>10</v>
      </c>
      <c r="BE445" s="0">
        <v>2562</v>
      </c>
      <c r="BF445" s="0">
        <v>2</v>
      </c>
      <c r="BG445" s="0" t="s">
        <v>3876</v>
      </c>
      <c r="BI445" s="0">
        <v>768</v>
      </c>
      <c r="BK445" s="0" t="s">
        <v>3877</v>
      </c>
    </row>
    <row r="446">
      <c r="A446" s="0">
        <v>5167</v>
      </c>
      <c r="W446" s="0" t="s">
        <v>3255</v>
      </c>
      <c r="X446" s="0" t="s">
        <v>1116</v>
      </c>
      <c r="Y446" s="0" t="s">
        <v>91</v>
      </c>
      <c r="Z446" s="0" t="s">
        <v>2718</v>
      </c>
      <c r="AA446" s="0" t="s">
        <v>210</v>
      </c>
      <c r="AB446" s="0" t="s">
        <v>300</v>
      </c>
      <c r="AF446" s="0" t="s">
        <v>301</v>
      </c>
      <c r="AP446" s="0" t="s">
        <v>305</v>
      </c>
      <c r="BA446" s="0">
        <v>481</v>
      </c>
      <c r="BB446" s="0" t="s">
        <v>232</v>
      </c>
      <c r="BC446" s="0">
        <v>2</v>
      </c>
      <c r="BE446" s="0">
        <v>332</v>
      </c>
      <c r="BF446" s="0">
        <v>1</v>
      </c>
      <c r="BG446" s="0" t="s">
        <v>3878</v>
      </c>
      <c r="BI446" s="0">
        <v>3411</v>
      </c>
      <c r="BK446" s="0" t="s">
        <v>3879</v>
      </c>
    </row>
    <row r="447">
      <c r="A447" s="0">
        <v>5026</v>
      </c>
      <c r="B447" s="0" t="s">
        <v>3880</v>
      </c>
      <c r="C447" s="0" t="s">
        <v>315</v>
      </c>
      <c r="D447" s="0" t="s">
        <v>3255</v>
      </c>
      <c r="E447" s="0" t="s">
        <v>3881</v>
      </c>
      <c r="F447" s="0">
        <v>1</v>
      </c>
      <c r="G447" s="0" t="s">
        <v>319</v>
      </c>
      <c r="H447" s="0" t="s">
        <v>1188</v>
      </c>
      <c r="I447" s="0" t="s">
        <v>417</v>
      </c>
      <c r="J447" s="0" t="s">
        <v>293</v>
      </c>
      <c r="K447" s="0" t="s">
        <v>294</v>
      </c>
      <c r="L447" s="0" t="s">
        <v>295</v>
      </c>
      <c r="T447" s="0" t="s">
        <v>3882</v>
      </c>
      <c r="U447" s="0" t="s">
        <v>3883</v>
      </c>
      <c r="W447" s="0" t="s">
        <v>3255</v>
      </c>
      <c r="X447" s="0" t="s">
        <v>529</v>
      </c>
      <c r="Y447" s="0" t="s">
        <v>91</v>
      </c>
      <c r="Z447" s="0" t="s">
        <v>2718</v>
      </c>
      <c r="AA447" s="0" t="s">
        <v>210</v>
      </c>
      <c r="AB447" s="0" t="s">
        <v>300</v>
      </c>
      <c r="AF447" s="0" t="s">
        <v>301</v>
      </c>
      <c r="AP447" s="0" t="s">
        <v>305</v>
      </c>
      <c r="BA447" s="0">
        <v>481</v>
      </c>
      <c r="BB447" s="0" t="s">
        <v>232</v>
      </c>
      <c r="BC447" s="0">
        <v>2</v>
      </c>
      <c r="BD447" s="0">
        <v>374043</v>
      </c>
      <c r="BE447" s="0">
        <v>332</v>
      </c>
      <c r="BF447" s="0">
        <v>2</v>
      </c>
      <c r="BG447" s="0" t="s">
        <v>3884</v>
      </c>
      <c r="BI447" s="0">
        <v>2154</v>
      </c>
      <c r="BK447" s="0" t="s">
        <v>3885</v>
      </c>
    </row>
    <row r="448">
      <c r="A448" s="0">
        <v>5166</v>
      </c>
      <c r="B448" s="0" t="s">
        <v>3886</v>
      </c>
      <c r="C448" s="0" t="s">
        <v>656</v>
      </c>
      <c r="D448" s="0" t="s">
        <v>3255</v>
      </c>
      <c r="E448" s="0" t="s">
        <v>3887</v>
      </c>
      <c r="F448" s="0">
        <v>1</v>
      </c>
      <c r="G448" s="0" t="s">
        <v>293</v>
      </c>
      <c r="H448" s="0" t="s">
        <v>294</v>
      </c>
      <c r="I448" s="0" t="s">
        <v>918</v>
      </c>
      <c r="J448" s="0" t="s">
        <v>319</v>
      </c>
      <c r="K448" s="0" t="s">
        <v>483</v>
      </c>
      <c r="L448" s="0" t="s">
        <v>469</v>
      </c>
      <c r="T448" s="0" t="s">
        <v>3888</v>
      </c>
      <c r="U448" s="0" t="s">
        <v>3889</v>
      </c>
      <c r="W448" s="0" t="s">
        <v>3255</v>
      </c>
      <c r="X448" s="0" t="s">
        <v>529</v>
      </c>
      <c r="Y448" s="0" t="s">
        <v>91</v>
      </c>
      <c r="Z448" s="0" t="s">
        <v>2718</v>
      </c>
      <c r="AA448" s="0" t="s">
        <v>210</v>
      </c>
      <c r="AB448" s="0" t="s">
        <v>300</v>
      </c>
      <c r="AF448" s="0" t="s">
        <v>301</v>
      </c>
      <c r="AM448" s="0" t="s">
        <v>3890</v>
      </c>
      <c r="AN448" s="0" t="s">
        <v>3891</v>
      </c>
      <c r="AO448" s="0" t="s">
        <v>683</v>
      </c>
      <c r="AP448" s="0" t="s">
        <v>305</v>
      </c>
      <c r="AQ448" s="0" t="s">
        <v>502</v>
      </c>
      <c r="AR448" s="0" t="s">
        <v>1182</v>
      </c>
      <c r="AS448" s="0">
        <v>315</v>
      </c>
      <c r="AT448" s="0">
        <v>645</v>
      </c>
      <c r="AU448" s="0">
        <v>735</v>
      </c>
      <c r="AV448" s="0" t="s">
        <v>332</v>
      </c>
      <c r="AW448" s="0" t="s">
        <v>332</v>
      </c>
      <c r="AX448" s="0" t="s">
        <v>1320</v>
      </c>
      <c r="AY448" s="0" t="s">
        <v>816</v>
      </c>
      <c r="AZ448" s="0" t="s">
        <v>1434</v>
      </c>
      <c r="BA448" s="0">
        <v>481</v>
      </c>
      <c r="BB448" s="0" t="s">
        <v>232</v>
      </c>
      <c r="BC448" s="0">
        <v>2</v>
      </c>
      <c r="BD448" s="0">
        <v>10</v>
      </c>
      <c r="BE448" s="0">
        <v>332</v>
      </c>
      <c r="BF448" s="0">
        <v>2</v>
      </c>
      <c r="BG448" s="0" t="s">
        <v>3892</v>
      </c>
      <c r="BI448" s="0">
        <v>3613</v>
      </c>
      <c r="BK448" s="0" t="s">
        <v>3893</v>
      </c>
    </row>
    <row r="449">
      <c r="A449" s="0">
        <v>5029</v>
      </c>
      <c r="B449" s="0" t="s">
        <v>3894</v>
      </c>
      <c r="C449" s="0" t="s">
        <v>1139</v>
      </c>
      <c r="D449" s="0" t="s">
        <v>3255</v>
      </c>
      <c r="E449" s="0" t="s">
        <v>2738</v>
      </c>
      <c r="F449" s="0">
        <v>1</v>
      </c>
      <c r="G449" s="0" t="s">
        <v>293</v>
      </c>
      <c r="H449" s="0" t="s">
        <v>294</v>
      </c>
      <c r="I449" s="0" t="s">
        <v>295</v>
      </c>
      <c r="T449" s="0" t="s">
        <v>3895</v>
      </c>
      <c r="U449" s="0" t="s">
        <v>3896</v>
      </c>
      <c r="W449" s="0" t="s">
        <v>3255</v>
      </c>
      <c r="X449" s="0" t="s">
        <v>347</v>
      </c>
      <c r="Y449" s="0" t="s">
        <v>91</v>
      </c>
      <c r="Z449" s="0" t="s">
        <v>2718</v>
      </c>
      <c r="AA449" s="0" t="s">
        <v>210</v>
      </c>
      <c r="AB449" s="0" t="s">
        <v>300</v>
      </c>
      <c r="AF449" s="0" t="s">
        <v>301</v>
      </c>
      <c r="AM449" s="0" t="s">
        <v>666</v>
      </c>
      <c r="AN449" s="0" t="s">
        <v>701</v>
      </c>
      <c r="AO449" s="0" t="s">
        <v>1066</v>
      </c>
      <c r="AP449" s="0" t="s">
        <v>305</v>
      </c>
      <c r="AQ449" s="0" t="s">
        <v>818</v>
      </c>
      <c r="AR449" s="0" t="s">
        <v>809</v>
      </c>
      <c r="AS449" s="0">
        <v>114</v>
      </c>
      <c r="AT449" s="0">
        <v>237</v>
      </c>
      <c r="AU449" s="0">
        <v>270</v>
      </c>
      <c r="AV449" s="0" t="s">
        <v>332</v>
      </c>
      <c r="AW449" s="0" t="s">
        <v>332</v>
      </c>
      <c r="AX449" s="0" t="s">
        <v>2741</v>
      </c>
      <c r="AY449" s="0" t="s">
        <v>503</v>
      </c>
      <c r="AZ449" s="0" t="s">
        <v>1763</v>
      </c>
      <c r="BA449" s="0">
        <v>481</v>
      </c>
      <c r="BB449" s="0" t="s">
        <v>232</v>
      </c>
      <c r="BC449" s="0">
        <v>2</v>
      </c>
      <c r="BD449" s="0">
        <v>38030</v>
      </c>
      <c r="BE449" s="0">
        <v>332</v>
      </c>
      <c r="BF449" s="0">
        <v>4</v>
      </c>
      <c r="BG449" s="0" t="s">
        <v>3897</v>
      </c>
      <c r="BI449" s="0">
        <v>2741</v>
      </c>
      <c r="BK449" s="0" t="s">
        <v>3898</v>
      </c>
    </row>
    <row r="450">
      <c r="A450" s="0">
        <v>5165</v>
      </c>
      <c r="B450" s="0" t="s">
        <v>3899</v>
      </c>
      <c r="C450" s="0" t="s">
        <v>945</v>
      </c>
      <c r="D450" s="0" t="s">
        <v>3255</v>
      </c>
      <c r="E450" s="0" t="s">
        <v>3900</v>
      </c>
      <c r="F450" s="0">
        <v>1</v>
      </c>
      <c r="G450" s="0" t="s">
        <v>508</v>
      </c>
      <c r="H450" s="0" t="s">
        <v>523</v>
      </c>
      <c r="I450" s="0" t="s">
        <v>1268</v>
      </c>
      <c r="T450" s="0" t="s">
        <v>3901</v>
      </c>
      <c r="U450" s="0" t="s">
        <v>3902</v>
      </c>
      <c r="W450" s="0" t="s">
        <v>3255</v>
      </c>
      <c r="X450" s="0" t="s">
        <v>529</v>
      </c>
      <c r="Y450" s="0" t="s">
        <v>91</v>
      </c>
      <c r="Z450" s="0" t="s">
        <v>2718</v>
      </c>
      <c r="AA450" s="0" t="s">
        <v>210</v>
      </c>
      <c r="AB450" s="0" t="s">
        <v>300</v>
      </c>
      <c r="AF450" s="0" t="s">
        <v>301</v>
      </c>
      <c r="AM450" s="0" t="s">
        <v>611</v>
      </c>
      <c r="AN450" s="0" t="s">
        <v>1472</v>
      </c>
      <c r="AO450" s="0" t="s">
        <v>474</v>
      </c>
      <c r="AP450" s="0" t="s">
        <v>305</v>
      </c>
      <c r="AQ450" s="0" t="s">
        <v>2337</v>
      </c>
      <c r="AR450" s="0" t="s">
        <v>1450</v>
      </c>
      <c r="AS450" s="0">
        <v>54</v>
      </c>
      <c r="AT450" s="0">
        <v>114</v>
      </c>
      <c r="AU450" s="0">
        <v>150</v>
      </c>
      <c r="AV450" s="0" t="s">
        <v>332</v>
      </c>
      <c r="AW450" s="0" t="s">
        <v>332</v>
      </c>
      <c r="AX450" s="0" t="s">
        <v>1921</v>
      </c>
      <c r="AY450" s="0" t="s">
        <v>512</v>
      </c>
      <c r="AZ450" s="0" t="s">
        <v>503</v>
      </c>
      <c r="BA450" s="0">
        <v>481</v>
      </c>
      <c r="BB450" s="0" t="s">
        <v>232</v>
      </c>
      <c r="BC450" s="0">
        <v>2</v>
      </c>
      <c r="BD450" s="0">
        <v>14</v>
      </c>
      <c r="BE450" s="0">
        <v>332</v>
      </c>
      <c r="BF450" s="0">
        <v>2</v>
      </c>
      <c r="BG450" s="0" t="s">
        <v>3903</v>
      </c>
      <c r="BI450" s="0">
        <v>3372</v>
      </c>
      <c r="BK450" s="0" t="s">
        <v>3904</v>
      </c>
    </row>
    <row r="451">
      <c r="A451" s="0">
        <v>5027</v>
      </c>
      <c r="B451" s="0" t="s">
        <v>3905</v>
      </c>
      <c r="C451" s="0" t="s">
        <v>290</v>
      </c>
      <c r="D451" s="0" t="s">
        <v>3255</v>
      </c>
      <c r="E451" s="0" t="s">
        <v>2754</v>
      </c>
      <c r="F451" s="0">
        <v>1</v>
      </c>
      <c r="G451" s="0" t="s">
        <v>293</v>
      </c>
      <c r="H451" s="0" t="s">
        <v>294</v>
      </c>
      <c r="I451" s="0" t="s">
        <v>295</v>
      </c>
      <c r="J451" s="0" t="s">
        <v>508</v>
      </c>
      <c r="L451" s="0" t="s">
        <v>469</v>
      </c>
      <c r="T451" s="0" t="s">
        <v>3906</v>
      </c>
      <c r="U451" s="0" t="s">
        <v>3907</v>
      </c>
      <c r="W451" s="0" t="s">
        <v>3255</v>
      </c>
      <c r="X451" s="0" t="s">
        <v>529</v>
      </c>
      <c r="Y451" s="0" t="s">
        <v>91</v>
      </c>
      <c r="Z451" s="0" t="s">
        <v>2718</v>
      </c>
      <c r="AA451" s="0" t="s">
        <v>210</v>
      </c>
      <c r="AB451" s="0" t="s">
        <v>300</v>
      </c>
      <c r="AF451" s="0" t="s">
        <v>301</v>
      </c>
      <c r="AP451" s="0" t="s">
        <v>305</v>
      </c>
      <c r="BA451" s="0">
        <v>481</v>
      </c>
      <c r="BB451" s="0" t="s">
        <v>232</v>
      </c>
      <c r="BC451" s="0">
        <v>2</v>
      </c>
      <c r="BD451" s="0">
        <v>374053</v>
      </c>
      <c r="BE451" s="0">
        <v>332</v>
      </c>
      <c r="BF451" s="0">
        <v>2</v>
      </c>
      <c r="BG451" s="0" t="s">
        <v>3908</v>
      </c>
      <c r="BI451" s="0">
        <v>2370</v>
      </c>
      <c r="BK451" s="0" t="s">
        <v>3909</v>
      </c>
    </row>
    <row r="452">
      <c r="A452" s="0">
        <v>5028</v>
      </c>
      <c r="B452" s="0" t="s">
        <v>3910</v>
      </c>
      <c r="C452" s="0" t="s">
        <v>290</v>
      </c>
      <c r="D452" s="0" t="s">
        <v>3255</v>
      </c>
      <c r="E452" s="0" t="s">
        <v>2759</v>
      </c>
      <c r="F452" s="0">
        <v>1</v>
      </c>
      <c r="G452" s="0" t="s">
        <v>293</v>
      </c>
      <c r="H452" s="0" t="s">
        <v>294</v>
      </c>
      <c r="I452" s="0" t="s">
        <v>295</v>
      </c>
      <c r="J452" s="0" t="s">
        <v>508</v>
      </c>
      <c r="L452" s="0" t="s">
        <v>469</v>
      </c>
      <c r="T452" s="0" t="s">
        <v>3911</v>
      </c>
      <c r="U452" s="0" t="s">
        <v>3912</v>
      </c>
      <c r="W452" s="0" t="s">
        <v>3255</v>
      </c>
      <c r="X452" s="0" t="s">
        <v>529</v>
      </c>
      <c r="Y452" s="0" t="s">
        <v>91</v>
      </c>
      <c r="Z452" s="0" t="s">
        <v>2718</v>
      </c>
      <c r="AA452" s="0" t="s">
        <v>210</v>
      </c>
      <c r="AB452" s="0" t="s">
        <v>300</v>
      </c>
      <c r="AF452" s="0" t="s">
        <v>301</v>
      </c>
      <c r="AP452" s="0" t="s">
        <v>305</v>
      </c>
      <c r="BA452" s="0">
        <v>481</v>
      </c>
      <c r="BB452" s="0" t="s">
        <v>232</v>
      </c>
      <c r="BC452" s="0">
        <v>2</v>
      </c>
      <c r="BD452" s="0">
        <v>374053</v>
      </c>
      <c r="BE452" s="0">
        <v>332</v>
      </c>
      <c r="BF452" s="0">
        <v>2</v>
      </c>
      <c r="BG452" s="0" t="s">
        <v>3913</v>
      </c>
      <c r="BI452" s="0">
        <v>2567</v>
      </c>
      <c r="BK452" s="0" t="s">
        <v>3914</v>
      </c>
    </row>
    <row r="453">
      <c r="A453" s="0">
        <v>5020</v>
      </c>
      <c r="B453" s="0" t="s">
        <v>3915</v>
      </c>
      <c r="C453" s="0" t="s">
        <v>290</v>
      </c>
      <c r="D453" s="0" t="s">
        <v>3255</v>
      </c>
      <c r="E453" s="0" t="s">
        <v>2764</v>
      </c>
      <c r="F453" s="0">
        <v>1</v>
      </c>
      <c r="G453" s="0" t="s">
        <v>293</v>
      </c>
      <c r="H453" s="0" t="s">
        <v>294</v>
      </c>
      <c r="I453" s="0" t="s">
        <v>295</v>
      </c>
      <c r="J453" s="0" t="s">
        <v>508</v>
      </c>
      <c r="L453" s="0" t="s">
        <v>3854</v>
      </c>
      <c r="P453" s="0" t="s">
        <v>323</v>
      </c>
      <c r="Q453" s="0" t="s">
        <v>323</v>
      </c>
      <c r="R453" s="0" t="s">
        <v>1295</v>
      </c>
      <c r="T453" s="0" t="s">
        <v>3916</v>
      </c>
      <c r="U453" s="0" t="s">
        <v>3917</v>
      </c>
      <c r="W453" s="0" t="s">
        <v>3255</v>
      </c>
      <c r="X453" s="0" t="s">
        <v>529</v>
      </c>
      <c r="Y453" s="0" t="s">
        <v>91</v>
      </c>
      <c r="Z453" s="0" t="s">
        <v>2718</v>
      </c>
      <c r="AA453" s="0" t="s">
        <v>210</v>
      </c>
      <c r="AB453" s="0" t="s">
        <v>300</v>
      </c>
      <c r="AF453" s="0" t="s">
        <v>301</v>
      </c>
      <c r="AP453" s="0" t="s">
        <v>305</v>
      </c>
      <c r="BA453" s="0">
        <v>481</v>
      </c>
      <c r="BB453" s="0" t="s">
        <v>232</v>
      </c>
      <c r="BC453" s="0">
        <v>2</v>
      </c>
      <c r="BD453" s="0">
        <v>374053</v>
      </c>
      <c r="BE453" s="0">
        <v>332</v>
      </c>
      <c r="BF453" s="0">
        <v>2</v>
      </c>
      <c r="BG453" s="0" t="s">
        <v>3918</v>
      </c>
      <c r="BI453" s="0">
        <v>365</v>
      </c>
      <c r="BK453" s="0" t="s">
        <v>3919</v>
      </c>
    </row>
    <row r="454">
      <c r="A454" s="0">
        <v>5164</v>
      </c>
      <c r="B454" s="0" t="s">
        <v>3920</v>
      </c>
      <c r="C454" s="0" t="s">
        <v>1139</v>
      </c>
      <c r="D454" s="0" t="s">
        <v>3255</v>
      </c>
      <c r="E454" s="0" t="s">
        <v>3921</v>
      </c>
      <c r="F454" s="0">
        <v>1</v>
      </c>
      <c r="G454" s="0" t="s">
        <v>293</v>
      </c>
      <c r="H454" s="0" t="s">
        <v>294</v>
      </c>
      <c r="I454" s="0" t="s">
        <v>295</v>
      </c>
      <c r="T454" s="0" t="s">
        <v>3922</v>
      </c>
      <c r="U454" s="0" t="s">
        <v>3923</v>
      </c>
      <c r="W454" s="0" t="s">
        <v>3255</v>
      </c>
      <c r="X454" s="0" t="s">
        <v>529</v>
      </c>
      <c r="Y454" s="0" t="s">
        <v>91</v>
      </c>
      <c r="Z454" s="0" t="s">
        <v>2718</v>
      </c>
      <c r="AA454" s="0" t="s">
        <v>210</v>
      </c>
      <c r="AB454" s="0" t="s">
        <v>300</v>
      </c>
      <c r="AF454" s="0" t="s">
        <v>301</v>
      </c>
      <c r="AP454" s="0" t="s">
        <v>305</v>
      </c>
      <c r="BA454" s="0">
        <v>481</v>
      </c>
      <c r="BB454" s="0" t="s">
        <v>232</v>
      </c>
      <c r="BC454" s="0">
        <v>2</v>
      </c>
      <c r="BD454" s="0">
        <v>38030</v>
      </c>
      <c r="BE454" s="0">
        <v>332</v>
      </c>
      <c r="BF454" s="0">
        <v>2</v>
      </c>
      <c r="BG454" s="0" t="s">
        <v>3924</v>
      </c>
      <c r="BI454" s="0">
        <v>3234</v>
      </c>
      <c r="BK454" s="0" t="s">
        <v>3925</v>
      </c>
    </row>
    <row r="455">
      <c r="A455" s="0">
        <v>5021</v>
      </c>
      <c r="B455" s="0" t="s">
        <v>3926</v>
      </c>
      <c r="C455" s="0" t="s">
        <v>1139</v>
      </c>
      <c r="D455" s="0" t="s">
        <v>3255</v>
      </c>
      <c r="E455" s="0" t="s">
        <v>3927</v>
      </c>
      <c r="F455" s="0">
        <v>1</v>
      </c>
      <c r="G455" s="0" t="s">
        <v>293</v>
      </c>
      <c r="H455" s="0" t="s">
        <v>294</v>
      </c>
      <c r="I455" s="0" t="s">
        <v>295</v>
      </c>
      <c r="P455" s="0" t="s">
        <v>323</v>
      </c>
      <c r="R455" s="0" t="s">
        <v>344</v>
      </c>
      <c r="T455" s="0" t="s">
        <v>3928</v>
      </c>
      <c r="U455" s="0" t="s">
        <v>3929</v>
      </c>
      <c r="W455" s="0" t="s">
        <v>3255</v>
      </c>
      <c r="X455" s="0" t="s">
        <v>529</v>
      </c>
      <c r="Y455" s="0" t="s">
        <v>91</v>
      </c>
      <c r="Z455" s="0" t="s">
        <v>2718</v>
      </c>
      <c r="AA455" s="0" t="s">
        <v>210</v>
      </c>
      <c r="AB455" s="0" t="s">
        <v>300</v>
      </c>
      <c r="AF455" s="0" t="s">
        <v>301</v>
      </c>
      <c r="AP455" s="0" t="s">
        <v>305</v>
      </c>
      <c r="BA455" s="0">
        <v>481</v>
      </c>
      <c r="BB455" s="0" t="s">
        <v>232</v>
      </c>
      <c r="BC455" s="0">
        <v>2</v>
      </c>
      <c r="BD455" s="0">
        <v>38030</v>
      </c>
      <c r="BE455" s="0">
        <v>332</v>
      </c>
      <c r="BF455" s="0">
        <v>2</v>
      </c>
      <c r="BG455" s="0" t="s">
        <v>3930</v>
      </c>
      <c r="BI455" s="0">
        <v>769</v>
      </c>
      <c r="BK455" s="0" t="s">
        <v>3931</v>
      </c>
    </row>
    <row r="456">
      <c r="A456" s="0">
        <v>5024</v>
      </c>
      <c r="B456" s="0" t="s">
        <v>3932</v>
      </c>
      <c r="C456" s="0" t="s">
        <v>339</v>
      </c>
      <c r="D456" s="0" t="s">
        <v>3255</v>
      </c>
      <c r="E456" s="0" t="s">
        <v>2779</v>
      </c>
      <c r="F456" s="0">
        <v>1</v>
      </c>
      <c r="G456" s="0" t="s">
        <v>319</v>
      </c>
      <c r="H456" s="0" t="s">
        <v>879</v>
      </c>
      <c r="I456" s="0" t="s">
        <v>3933</v>
      </c>
      <c r="J456" s="0" t="s">
        <v>508</v>
      </c>
      <c r="L456" s="0" t="s">
        <v>2692</v>
      </c>
      <c r="R456" s="0" t="s">
        <v>2685</v>
      </c>
      <c r="T456" s="0" t="s">
        <v>3934</v>
      </c>
      <c r="U456" s="0" t="s">
        <v>3935</v>
      </c>
      <c r="W456" s="0" t="s">
        <v>3255</v>
      </c>
      <c r="X456" s="0" t="s">
        <v>529</v>
      </c>
      <c r="Y456" s="0" t="s">
        <v>91</v>
      </c>
      <c r="Z456" s="0" t="s">
        <v>2718</v>
      </c>
      <c r="AA456" s="0" t="s">
        <v>210</v>
      </c>
      <c r="AB456" s="0" t="s">
        <v>300</v>
      </c>
      <c r="AF456" s="0" t="s">
        <v>301</v>
      </c>
      <c r="AM456" s="0" t="s">
        <v>599</v>
      </c>
      <c r="AN456" s="0" t="s">
        <v>1179</v>
      </c>
      <c r="AO456" s="0" t="s">
        <v>1584</v>
      </c>
      <c r="AP456" s="0" t="s">
        <v>305</v>
      </c>
      <c r="AQ456" s="0" t="s">
        <v>502</v>
      </c>
      <c r="AR456" s="0" t="s">
        <v>489</v>
      </c>
      <c r="AS456" s="0">
        <v>26</v>
      </c>
      <c r="AT456" s="0">
        <v>60</v>
      </c>
      <c r="AU456" s="0">
        <v>60</v>
      </c>
      <c r="AV456" s="0" t="s">
        <v>332</v>
      </c>
      <c r="AX456" s="0" t="s">
        <v>3022</v>
      </c>
      <c r="AY456" s="0" t="s">
        <v>3022</v>
      </c>
      <c r="AZ456" s="0" t="s">
        <v>1472</v>
      </c>
      <c r="BA456" s="0">
        <v>481</v>
      </c>
      <c r="BB456" s="0" t="s">
        <v>232</v>
      </c>
      <c r="BC456" s="0">
        <v>2</v>
      </c>
      <c r="BD456" s="0">
        <v>8</v>
      </c>
      <c r="BE456" s="0">
        <v>332</v>
      </c>
      <c r="BF456" s="0">
        <v>2</v>
      </c>
      <c r="BG456" s="0" t="s">
        <v>3936</v>
      </c>
      <c r="BI456" s="0">
        <v>1677</v>
      </c>
      <c r="BK456" s="0" t="s">
        <v>3937</v>
      </c>
    </row>
    <row r="457">
      <c r="A457" s="0">
        <v>5032</v>
      </c>
      <c r="B457" s="0" t="s">
        <v>3938</v>
      </c>
      <c r="C457" s="0" t="s">
        <v>1139</v>
      </c>
      <c r="D457" s="0" t="s">
        <v>3255</v>
      </c>
      <c r="E457" s="0" t="s">
        <v>3939</v>
      </c>
      <c r="F457" s="0">
        <v>1</v>
      </c>
      <c r="G457" s="0" t="s">
        <v>293</v>
      </c>
      <c r="H457" s="0" t="s">
        <v>294</v>
      </c>
      <c r="I457" s="0" t="s">
        <v>3249</v>
      </c>
      <c r="U457" s="0" t="s">
        <v>3940</v>
      </c>
      <c r="W457" s="0" t="s">
        <v>3255</v>
      </c>
      <c r="X457" s="0" t="s">
        <v>529</v>
      </c>
      <c r="Y457" s="0" t="s">
        <v>91</v>
      </c>
      <c r="Z457" s="0" t="s">
        <v>2718</v>
      </c>
      <c r="AA457" s="0" t="s">
        <v>210</v>
      </c>
      <c r="AB457" s="0" t="s">
        <v>300</v>
      </c>
      <c r="AF457" s="0" t="s">
        <v>301</v>
      </c>
      <c r="AP457" s="0" t="s">
        <v>305</v>
      </c>
      <c r="BA457" s="0">
        <v>481</v>
      </c>
      <c r="BB457" s="0" t="s">
        <v>232</v>
      </c>
      <c r="BC457" s="0">
        <v>2</v>
      </c>
      <c r="BD457" s="0">
        <v>38030</v>
      </c>
      <c r="BE457" s="0">
        <v>332</v>
      </c>
      <c r="BF457" s="0">
        <v>2</v>
      </c>
      <c r="BG457" s="0" t="s">
        <v>3941</v>
      </c>
      <c r="BI457" s="0">
        <v>3235</v>
      </c>
      <c r="BK457" s="0" t="s">
        <v>3942</v>
      </c>
    </row>
    <row r="458">
      <c r="A458" s="0">
        <v>5030</v>
      </c>
      <c r="B458" s="0" t="s">
        <v>3943</v>
      </c>
      <c r="C458" s="0" t="s">
        <v>579</v>
      </c>
      <c r="D458" s="0" t="s">
        <v>3255</v>
      </c>
      <c r="E458" s="0" t="s">
        <v>3944</v>
      </c>
      <c r="F458" s="0">
        <v>1</v>
      </c>
      <c r="G458" s="0" t="s">
        <v>293</v>
      </c>
      <c r="H458" s="0" t="s">
        <v>294</v>
      </c>
      <c r="I458" s="0" t="s">
        <v>295</v>
      </c>
      <c r="J458" s="0" t="s">
        <v>581</v>
      </c>
      <c r="L458" s="0" t="s">
        <v>729</v>
      </c>
      <c r="T458" s="0" t="s">
        <v>3945</v>
      </c>
      <c r="U458" s="0" t="s">
        <v>3946</v>
      </c>
      <c r="W458" s="0" t="s">
        <v>3255</v>
      </c>
      <c r="X458" s="0" t="s">
        <v>529</v>
      </c>
      <c r="Y458" s="0" t="s">
        <v>91</v>
      </c>
      <c r="Z458" s="0" t="s">
        <v>2718</v>
      </c>
      <c r="AA458" s="0" t="s">
        <v>210</v>
      </c>
      <c r="AB458" s="0" t="s">
        <v>300</v>
      </c>
      <c r="AF458" s="0" t="s">
        <v>301</v>
      </c>
      <c r="AP458" s="0" t="s">
        <v>305</v>
      </c>
      <c r="BA458" s="0">
        <v>481</v>
      </c>
      <c r="BB458" s="0" t="s">
        <v>232</v>
      </c>
      <c r="BC458" s="0">
        <v>2</v>
      </c>
      <c r="BD458" s="0">
        <v>374046</v>
      </c>
      <c r="BE458" s="0">
        <v>332</v>
      </c>
      <c r="BF458" s="0">
        <v>2</v>
      </c>
      <c r="BG458" s="0" t="s">
        <v>3947</v>
      </c>
      <c r="BI458" s="0">
        <v>2917</v>
      </c>
      <c r="BK458" s="0" t="s">
        <v>3948</v>
      </c>
    </row>
    <row r="459">
      <c r="A459" s="0">
        <v>5031</v>
      </c>
      <c r="B459" s="0" t="s">
        <v>3949</v>
      </c>
      <c r="C459" s="0" t="s">
        <v>579</v>
      </c>
      <c r="D459" s="0" t="s">
        <v>3255</v>
      </c>
      <c r="E459" s="0" t="s">
        <v>2827</v>
      </c>
      <c r="F459" s="0">
        <v>1</v>
      </c>
      <c r="G459" s="0" t="s">
        <v>581</v>
      </c>
      <c r="I459" s="0" t="s">
        <v>583</v>
      </c>
      <c r="J459" s="0" t="s">
        <v>525</v>
      </c>
      <c r="K459" s="0" t="s">
        <v>400</v>
      </c>
      <c r="T459" s="0" t="s">
        <v>3950</v>
      </c>
      <c r="U459" s="0" t="s">
        <v>3951</v>
      </c>
      <c r="W459" s="0" t="s">
        <v>3255</v>
      </c>
      <c r="X459" s="0" t="s">
        <v>529</v>
      </c>
      <c r="Y459" s="0" t="s">
        <v>91</v>
      </c>
      <c r="Z459" s="0" t="s">
        <v>2718</v>
      </c>
      <c r="AA459" s="0" t="s">
        <v>210</v>
      </c>
      <c r="AB459" s="0" t="s">
        <v>300</v>
      </c>
      <c r="AF459" s="0" t="s">
        <v>301</v>
      </c>
      <c r="AP459" s="0" t="s">
        <v>305</v>
      </c>
      <c r="BA459" s="0">
        <v>481</v>
      </c>
      <c r="BB459" s="0" t="s">
        <v>232</v>
      </c>
      <c r="BC459" s="0">
        <v>2</v>
      </c>
      <c r="BD459" s="0">
        <v>374046</v>
      </c>
      <c r="BE459" s="0">
        <v>332</v>
      </c>
      <c r="BF459" s="0">
        <v>2</v>
      </c>
      <c r="BG459" s="0" t="s">
        <v>3952</v>
      </c>
      <c r="BI459" s="0">
        <v>3083</v>
      </c>
      <c r="BK459" s="0" t="s">
        <v>3953</v>
      </c>
    </row>
    <row r="460">
      <c r="A460" s="0">
        <v>5022</v>
      </c>
      <c r="B460" s="0" t="s">
        <v>3954</v>
      </c>
      <c r="C460" s="0" t="s">
        <v>290</v>
      </c>
      <c r="D460" s="0" t="s">
        <v>3255</v>
      </c>
      <c r="E460" s="0" t="s">
        <v>3955</v>
      </c>
      <c r="F460" s="0">
        <v>1</v>
      </c>
      <c r="P460" s="0" t="s">
        <v>323</v>
      </c>
      <c r="Q460" s="0" t="s">
        <v>323</v>
      </c>
      <c r="R460" s="0" t="s">
        <v>1295</v>
      </c>
      <c r="T460" s="0" t="s">
        <v>3956</v>
      </c>
      <c r="U460" s="0" t="s">
        <v>3957</v>
      </c>
      <c r="W460" s="0" t="s">
        <v>3255</v>
      </c>
      <c r="X460" s="0" t="s">
        <v>529</v>
      </c>
      <c r="Y460" s="0" t="s">
        <v>91</v>
      </c>
      <c r="Z460" s="0" t="s">
        <v>2718</v>
      </c>
      <c r="AA460" s="0" t="s">
        <v>210</v>
      </c>
      <c r="AB460" s="0" t="s">
        <v>300</v>
      </c>
      <c r="AF460" s="0" t="s">
        <v>301</v>
      </c>
      <c r="AP460" s="0" t="s">
        <v>305</v>
      </c>
      <c r="BA460" s="0">
        <v>481</v>
      </c>
      <c r="BB460" s="0" t="s">
        <v>232</v>
      </c>
      <c r="BC460" s="0">
        <v>2</v>
      </c>
      <c r="BD460" s="0">
        <v>374053</v>
      </c>
      <c r="BE460" s="0">
        <v>332</v>
      </c>
      <c r="BF460" s="0">
        <v>2</v>
      </c>
      <c r="BG460" s="0" t="s">
        <v>3958</v>
      </c>
      <c r="BI460" s="0">
        <v>1101</v>
      </c>
      <c r="BK460" s="0" t="s">
        <v>3959</v>
      </c>
    </row>
    <row r="461">
      <c r="A461" s="0">
        <v>5023</v>
      </c>
      <c r="B461" s="0" t="s">
        <v>3960</v>
      </c>
      <c r="C461" s="0" t="s">
        <v>290</v>
      </c>
      <c r="D461" s="0" t="s">
        <v>3255</v>
      </c>
      <c r="E461" s="0" t="s">
        <v>3961</v>
      </c>
      <c r="F461" s="0">
        <v>1</v>
      </c>
      <c r="P461" s="0" t="s">
        <v>323</v>
      </c>
      <c r="Q461" s="0" t="s">
        <v>323</v>
      </c>
      <c r="R461" s="0" t="s">
        <v>1295</v>
      </c>
      <c r="T461" s="0" t="s">
        <v>3956</v>
      </c>
      <c r="U461" s="0" t="s">
        <v>3962</v>
      </c>
      <c r="W461" s="0" t="s">
        <v>3255</v>
      </c>
      <c r="X461" s="0" t="s">
        <v>529</v>
      </c>
      <c r="Y461" s="0" t="s">
        <v>91</v>
      </c>
      <c r="Z461" s="0" t="s">
        <v>2718</v>
      </c>
      <c r="AA461" s="0" t="s">
        <v>210</v>
      </c>
      <c r="AB461" s="0" t="s">
        <v>300</v>
      </c>
      <c r="AF461" s="0" t="s">
        <v>301</v>
      </c>
      <c r="AP461" s="0" t="s">
        <v>305</v>
      </c>
      <c r="BA461" s="0">
        <v>481</v>
      </c>
      <c r="BB461" s="0" t="s">
        <v>232</v>
      </c>
      <c r="BC461" s="0">
        <v>2</v>
      </c>
      <c r="BD461" s="0">
        <v>374053</v>
      </c>
      <c r="BE461" s="0">
        <v>332</v>
      </c>
      <c r="BF461" s="0">
        <v>2</v>
      </c>
      <c r="BG461" s="0" t="s">
        <v>3963</v>
      </c>
      <c r="BI461" s="0">
        <v>1411</v>
      </c>
      <c r="BK461" s="0" t="s">
        <v>3964</v>
      </c>
    </row>
    <row r="462">
      <c r="A462" s="0">
        <v>5034</v>
      </c>
      <c r="B462" s="0" t="s">
        <v>3965</v>
      </c>
      <c r="C462" s="0" t="s">
        <v>945</v>
      </c>
      <c r="D462" s="0" t="s">
        <v>3966</v>
      </c>
      <c r="E462" s="0" t="s">
        <v>3967</v>
      </c>
      <c r="F462" s="0">
        <v>1</v>
      </c>
      <c r="G462" s="0" t="s">
        <v>594</v>
      </c>
      <c r="H462" s="0" t="s">
        <v>1190</v>
      </c>
      <c r="I462" s="0" t="s">
        <v>1683</v>
      </c>
      <c r="J462" s="0" t="s">
        <v>319</v>
      </c>
      <c r="K462" s="0" t="s">
        <v>1987</v>
      </c>
      <c r="L462" s="0" t="s">
        <v>948</v>
      </c>
      <c r="P462" s="0" t="s">
        <v>3968</v>
      </c>
      <c r="Q462" s="0" t="s">
        <v>3969</v>
      </c>
      <c r="R462" s="0" t="s">
        <v>3970</v>
      </c>
      <c r="T462" s="0" t="s">
        <v>3971</v>
      </c>
      <c r="U462" s="0" t="s">
        <v>3972</v>
      </c>
      <c r="X462" s="0" t="s">
        <v>529</v>
      </c>
      <c r="Y462" s="0" t="s">
        <v>77</v>
      </c>
      <c r="Z462" s="0" t="s">
        <v>3973</v>
      </c>
      <c r="AA462" s="0" t="s">
        <v>211</v>
      </c>
      <c r="AB462" s="0" t="s">
        <v>300</v>
      </c>
      <c r="AD462" s="0" t="s">
        <v>3974</v>
      </c>
      <c r="AE462" s="0" t="s">
        <v>3975</v>
      </c>
      <c r="AF462" s="0" t="s">
        <v>301</v>
      </c>
      <c r="AM462" s="0" t="s">
        <v>3976</v>
      </c>
      <c r="AN462" s="0" t="s">
        <v>855</v>
      </c>
      <c r="AO462" s="0" t="s">
        <v>3977</v>
      </c>
      <c r="AP462" s="0" t="s">
        <v>305</v>
      </c>
      <c r="BA462" s="0">
        <v>482</v>
      </c>
      <c r="BB462" s="0" t="s">
        <v>232</v>
      </c>
      <c r="BC462" s="0">
        <v>2</v>
      </c>
      <c r="BD462" s="0">
        <v>14</v>
      </c>
      <c r="BE462" s="0">
        <v>519953</v>
      </c>
      <c r="BF462" s="0">
        <v>2</v>
      </c>
      <c r="BG462" s="0" t="s">
        <v>3978</v>
      </c>
      <c r="BI462" s="0">
        <v>366</v>
      </c>
      <c r="BK462" s="0" t="s">
        <v>3979</v>
      </c>
    </row>
    <row r="463">
      <c r="A463" s="0">
        <v>5039</v>
      </c>
      <c r="B463" s="0" t="s">
        <v>3980</v>
      </c>
      <c r="C463" s="0" t="s">
        <v>315</v>
      </c>
      <c r="D463" s="0" t="s">
        <v>3981</v>
      </c>
      <c r="E463" s="0" t="s">
        <v>3982</v>
      </c>
      <c r="F463" s="0">
        <v>1</v>
      </c>
      <c r="G463" s="0" t="s">
        <v>319</v>
      </c>
      <c r="H463" s="0" t="s">
        <v>523</v>
      </c>
      <c r="I463" s="0" t="s">
        <v>524</v>
      </c>
      <c r="J463" s="0" t="s">
        <v>400</v>
      </c>
      <c r="L463" s="0" t="s">
        <v>469</v>
      </c>
      <c r="P463" s="0" t="s">
        <v>343</v>
      </c>
      <c r="Q463" s="0" t="s">
        <v>343</v>
      </c>
      <c r="T463" s="0" t="s">
        <v>3983</v>
      </c>
      <c r="U463" s="0" t="s">
        <v>3984</v>
      </c>
      <c r="W463" s="0" t="s">
        <v>1306</v>
      </c>
      <c r="X463" s="0" t="s">
        <v>529</v>
      </c>
      <c r="Y463" s="0" t="s">
        <v>178</v>
      </c>
      <c r="Z463" s="0" t="s">
        <v>3985</v>
      </c>
      <c r="AA463" s="0" t="s">
        <v>177</v>
      </c>
      <c r="AB463" s="0" t="s">
        <v>531</v>
      </c>
      <c r="AF463" s="0" t="s">
        <v>301</v>
      </c>
      <c r="AP463" s="0" t="s">
        <v>305</v>
      </c>
      <c r="BA463" s="0">
        <v>483</v>
      </c>
      <c r="BB463" s="0" t="s">
        <v>232</v>
      </c>
      <c r="BC463" s="0">
        <v>2</v>
      </c>
      <c r="BD463" s="0">
        <v>374043</v>
      </c>
      <c r="BE463" s="0">
        <v>142900</v>
      </c>
      <c r="BF463" s="0">
        <v>2</v>
      </c>
      <c r="BG463" s="0" t="s">
        <v>3986</v>
      </c>
      <c r="BI463" s="0">
        <v>368</v>
      </c>
      <c r="BK463" s="0" t="s">
        <v>3987</v>
      </c>
    </row>
    <row r="464">
      <c r="A464" s="0">
        <v>5040</v>
      </c>
      <c r="B464" s="0" t="s">
        <v>3988</v>
      </c>
      <c r="C464" s="0" t="s">
        <v>315</v>
      </c>
      <c r="D464" s="0" t="s">
        <v>3981</v>
      </c>
      <c r="E464" s="0" t="s">
        <v>3989</v>
      </c>
      <c r="F464" s="0">
        <v>2</v>
      </c>
      <c r="G464" s="0" t="s">
        <v>319</v>
      </c>
      <c r="H464" s="0" t="s">
        <v>523</v>
      </c>
      <c r="I464" s="0" t="s">
        <v>524</v>
      </c>
      <c r="J464" s="0" t="s">
        <v>400</v>
      </c>
      <c r="L464" s="0" t="s">
        <v>469</v>
      </c>
      <c r="P464" s="0" t="s">
        <v>343</v>
      </c>
      <c r="Q464" s="0" t="s">
        <v>343</v>
      </c>
      <c r="T464" s="0" t="s">
        <v>3990</v>
      </c>
      <c r="U464" s="0" t="s">
        <v>3991</v>
      </c>
      <c r="W464" s="0" t="s">
        <v>1306</v>
      </c>
      <c r="X464" s="0" t="s">
        <v>529</v>
      </c>
      <c r="Y464" s="0" t="s">
        <v>178</v>
      </c>
      <c r="Z464" s="0" t="s">
        <v>3985</v>
      </c>
      <c r="AA464" s="0" t="s">
        <v>177</v>
      </c>
      <c r="AB464" s="0" t="s">
        <v>531</v>
      </c>
      <c r="AF464" s="0" t="s">
        <v>301</v>
      </c>
      <c r="AP464" s="0" t="s">
        <v>305</v>
      </c>
      <c r="BA464" s="0">
        <v>483</v>
      </c>
      <c r="BB464" s="0" t="s">
        <v>232</v>
      </c>
      <c r="BC464" s="0">
        <v>2</v>
      </c>
      <c r="BD464" s="0">
        <v>374043</v>
      </c>
      <c r="BE464" s="0">
        <v>142900</v>
      </c>
      <c r="BF464" s="0">
        <v>2</v>
      </c>
      <c r="BG464" s="0" t="s">
        <v>3992</v>
      </c>
      <c r="BI464" s="0">
        <v>771</v>
      </c>
      <c r="BK464" s="0" t="s">
        <v>3993</v>
      </c>
    </row>
    <row r="465">
      <c r="A465" s="0">
        <v>5062</v>
      </c>
      <c r="B465" s="0" t="s">
        <v>3994</v>
      </c>
      <c r="C465" s="0" t="s">
        <v>945</v>
      </c>
      <c r="D465" s="0" t="s">
        <v>3711</v>
      </c>
      <c r="E465" s="0" t="s">
        <v>3995</v>
      </c>
      <c r="F465" s="0">
        <v>1</v>
      </c>
      <c r="G465" s="0" t="s">
        <v>319</v>
      </c>
      <c r="H465" s="0" t="s">
        <v>3996</v>
      </c>
      <c r="I465" s="0" t="s">
        <v>3997</v>
      </c>
      <c r="J465" s="0" t="s">
        <v>594</v>
      </c>
      <c r="L465" s="0" t="s">
        <v>549</v>
      </c>
      <c r="P465" s="0" t="s">
        <v>323</v>
      </c>
      <c r="Q465" s="0" t="s">
        <v>343</v>
      </c>
      <c r="R465" s="0" t="s">
        <v>3998</v>
      </c>
      <c r="T465" s="0" t="s">
        <v>3999</v>
      </c>
      <c r="U465" s="0" t="s">
        <v>4000</v>
      </c>
      <c r="W465" s="0" t="s">
        <v>4001</v>
      </c>
      <c r="X465" s="0" t="s">
        <v>298</v>
      </c>
      <c r="Y465" s="0" t="s">
        <v>36</v>
      </c>
      <c r="Z465" s="0" t="s">
        <v>4002</v>
      </c>
      <c r="AA465" s="0" t="s">
        <v>176</v>
      </c>
      <c r="AB465" s="0" t="s">
        <v>300</v>
      </c>
      <c r="AD465" s="0" t="s">
        <v>4003</v>
      </c>
      <c r="AF465" s="0" t="s">
        <v>301</v>
      </c>
      <c r="AP465" s="0" t="s">
        <v>305</v>
      </c>
      <c r="BA465" s="0">
        <v>485</v>
      </c>
      <c r="BB465" s="0" t="s">
        <v>232</v>
      </c>
      <c r="BC465" s="0">
        <v>2</v>
      </c>
      <c r="BD465" s="0">
        <v>14</v>
      </c>
      <c r="BE465" s="0">
        <v>134783</v>
      </c>
      <c r="BF465" s="0">
        <v>5</v>
      </c>
      <c r="BG465" s="0" t="s">
        <v>4004</v>
      </c>
      <c r="BI465" s="0">
        <v>361</v>
      </c>
      <c r="BK465" s="0" t="s">
        <v>4005</v>
      </c>
    </row>
    <row r="466">
      <c r="A466" s="0">
        <v>5064</v>
      </c>
      <c r="B466" s="0" t="s">
        <v>4006</v>
      </c>
      <c r="C466" s="0" t="s">
        <v>945</v>
      </c>
      <c r="D466" s="0" t="s">
        <v>3711</v>
      </c>
      <c r="E466" s="0" t="s">
        <v>4007</v>
      </c>
      <c r="F466" s="0">
        <v>1</v>
      </c>
      <c r="G466" s="0" t="s">
        <v>319</v>
      </c>
      <c r="H466" s="0" t="s">
        <v>3996</v>
      </c>
      <c r="I466" s="0" t="s">
        <v>3997</v>
      </c>
      <c r="P466" s="0" t="s">
        <v>323</v>
      </c>
      <c r="Q466" s="0" t="s">
        <v>1881</v>
      </c>
      <c r="R466" s="0" t="s">
        <v>3998</v>
      </c>
      <c r="T466" s="0" t="s">
        <v>4008</v>
      </c>
      <c r="U466" s="0" t="s">
        <v>4009</v>
      </c>
      <c r="W466" s="0" t="s">
        <v>4001</v>
      </c>
      <c r="X466" s="0" t="s">
        <v>298</v>
      </c>
      <c r="Y466" s="0" t="s">
        <v>36</v>
      </c>
      <c r="Z466" s="0" t="s">
        <v>4002</v>
      </c>
      <c r="AA466" s="0" t="s">
        <v>176</v>
      </c>
      <c r="AB466" s="0" t="s">
        <v>300</v>
      </c>
      <c r="AD466" s="0" t="s">
        <v>4003</v>
      </c>
      <c r="AF466" s="0" t="s">
        <v>301</v>
      </c>
      <c r="AP466" s="0" t="s">
        <v>305</v>
      </c>
      <c r="BA466" s="0">
        <v>485</v>
      </c>
      <c r="BB466" s="0" t="s">
        <v>232</v>
      </c>
      <c r="BC466" s="0">
        <v>2</v>
      </c>
      <c r="BD466" s="0">
        <v>14</v>
      </c>
      <c r="BE466" s="0">
        <v>134783</v>
      </c>
      <c r="BF466" s="0">
        <v>5</v>
      </c>
      <c r="BG466" s="0" t="s">
        <v>4010</v>
      </c>
      <c r="BI466" s="0">
        <v>764</v>
      </c>
      <c r="BK466" s="0" t="s">
        <v>4011</v>
      </c>
    </row>
    <row r="467">
      <c r="A467" s="0">
        <v>5063</v>
      </c>
      <c r="C467" s="0" t="s">
        <v>339</v>
      </c>
      <c r="D467" s="0" t="s">
        <v>3711</v>
      </c>
      <c r="E467" s="0" t="s">
        <v>4012</v>
      </c>
      <c r="F467" s="0">
        <v>1</v>
      </c>
      <c r="G467" s="0" t="s">
        <v>319</v>
      </c>
      <c r="H467" s="0" t="s">
        <v>4013</v>
      </c>
      <c r="I467" s="0" t="s">
        <v>4014</v>
      </c>
      <c r="P467" s="0" t="s">
        <v>323</v>
      </c>
      <c r="Q467" s="0" t="s">
        <v>4015</v>
      </c>
      <c r="R467" s="0" t="s">
        <v>3998</v>
      </c>
      <c r="T467" s="0" t="s">
        <v>4016</v>
      </c>
      <c r="U467" s="0" t="s">
        <v>4017</v>
      </c>
      <c r="W467" s="0" t="s">
        <v>4001</v>
      </c>
      <c r="X467" s="0" t="s">
        <v>298</v>
      </c>
      <c r="Y467" s="0" t="s">
        <v>36</v>
      </c>
      <c r="Z467" s="0" t="s">
        <v>4002</v>
      </c>
      <c r="AA467" s="0" t="s">
        <v>176</v>
      </c>
      <c r="AB467" s="0" t="s">
        <v>300</v>
      </c>
      <c r="AD467" s="0" t="s">
        <v>4003</v>
      </c>
      <c r="AF467" s="0" t="s">
        <v>301</v>
      </c>
      <c r="AP467" s="0" t="s">
        <v>305</v>
      </c>
      <c r="BA467" s="0">
        <v>485</v>
      </c>
      <c r="BB467" s="0" t="s">
        <v>232</v>
      </c>
      <c r="BC467" s="0">
        <v>2</v>
      </c>
      <c r="BD467" s="0">
        <v>8</v>
      </c>
      <c r="BE467" s="0">
        <v>134783</v>
      </c>
      <c r="BF467" s="0">
        <v>5</v>
      </c>
      <c r="BG467" s="0" t="s">
        <v>4018</v>
      </c>
      <c r="BI467" s="0">
        <v>1097</v>
      </c>
      <c r="BK467" s="0" t="s">
        <v>4019</v>
      </c>
    </row>
    <row r="468">
      <c r="A468" s="0">
        <v>5077</v>
      </c>
      <c r="B468" s="0" t="s">
        <v>4020</v>
      </c>
      <c r="C468" s="0" t="s">
        <v>656</v>
      </c>
      <c r="D468" s="0" t="s">
        <v>4021</v>
      </c>
      <c r="E468" s="0" t="s">
        <v>4022</v>
      </c>
      <c r="F468" s="0">
        <v>1</v>
      </c>
      <c r="G468" s="0" t="s">
        <v>293</v>
      </c>
      <c r="H468" s="0" t="s">
        <v>294</v>
      </c>
      <c r="I468" s="0" t="s">
        <v>322</v>
      </c>
      <c r="P468" s="0" t="s">
        <v>343</v>
      </c>
      <c r="Q468" s="0" t="s">
        <v>343</v>
      </c>
      <c r="U468" s="0" t="s">
        <v>4023</v>
      </c>
      <c r="W468" s="0" t="s">
        <v>4024</v>
      </c>
      <c r="X468" s="0" t="s">
        <v>298</v>
      </c>
      <c r="Y468" s="0" t="s">
        <v>159</v>
      </c>
      <c r="Z468" s="0" t="s">
        <v>4025</v>
      </c>
      <c r="AA468" s="0" t="s">
        <v>158</v>
      </c>
      <c r="AB468" s="0" t="s">
        <v>531</v>
      </c>
      <c r="AC468" s="0" t="s">
        <v>532</v>
      </c>
      <c r="AD468" s="0" t="s">
        <v>4026</v>
      </c>
      <c r="AE468" s="0" t="s">
        <v>4027</v>
      </c>
      <c r="AF468" s="0" t="s">
        <v>301</v>
      </c>
      <c r="AP468" s="0" t="s">
        <v>305</v>
      </c>
      <c r="BA468" s="0">
        <v>486</v>
      </c>
      <c r="BB468" s="0" t="s">
        <v>232</v>
      </c>
      <c r="BC468" s="0">
        <v>2</v>
      </c>
      <c r="BD468" s="0">
        <v>10</v>
      </c>
      <c r="BE468" s="0">
        <v>519131</v>
      </c>
      <c r="BF468" s="0">
        <v>5</v>
      </c>
      <c r="BG468" s="0" t="s">
        <v>4028</v>
      </c>
      <c r="BI468" s="0">
        <v>3092</v>
      </c>
      <c r="BK468" s="0" t="s">
        <v>4029</v>
      </c>
    </row>
    <row r="469">
      <c r="A469" s="0">
        <v>5082</v>
      </c>
      <c r="B469" s="0" t="s">
        <v>4030</v>
      </c>
      <c r="C469" s="0" t="s">
        <v>315</v>
      </c>
      <c r="D469" s="0" t="s">
        <v>4021</v>
      </c>
      <c r="E469" s="0" t="s">
        <v>4031</v>
      </c>
      <c r="F469" s="0">
        <v>2</v>
      </c>
      <c r="G469" s="0" t="s">
        <v>594</v>
      </c>
      <c r="H469" s="0" t="s">
        <v>508</v>
      </c>
      <c r="I469" s="0" t="s">
        <v>3204</v>
      </c>
      <c r="J469" s="0" t="s">
        <v>319</v>
      </c>
      <c r="K469" s="0" t="s">
        <v>523</v>
      </c>
      <c r="L469" s="0" t="s">
        <v>524</v>
      </c>
      <c r="M469" s="0" t="s">
        <v>293</v>
      </c>
      <c r="N469" s="0" t="s">
        <v>294</v>
      </c>
      <c r="O469" s="0" t="s">
        <v>295</v>
      </c>
      <c r="P469" s="0" t="s">
        <v>323</v>
      </c>
      <c r="Q469" s="0" t="s">
        <v>343</v>
      </c>
      <c r="R469" s="0" t="s">
        <v>526</v>
      </c>
      <c r="U469" s="0" t="s">
        <v>4032</v>
      </c>
      <c r="W469" s="0" t="s">
        <v>4024</v>
      </c>
      <c r="X469" s="0" t="s">
        <v>298</v>
      </c>
      <c r="Y469" s="0" t="s">
        <v>159</v>
      </c>
      <c r="Z469" s="0" t="s">
        <v>4025</v>
      </c>
      <c r="AA469" s="0" t="s">
        <v>158</v>
      </c>
      <c r="AB469" s="0" t="s">
        <v>531</v>
      </c>
      <c r="AC469" s="0" t="s">
        <v>532</v>
      </c>
      <c r="AD469" s="0" t="s">
        <v>4026</v>
      </c>
      <c r="AE469" s="0" t="s">
        <v>4027</v>
      </c>
      <c r="AF469" s="0" t="s">
        <v>301</v>
      </c>
      <c r="AP469" s="0" t="s">
        <v>305</v>
      </c>
      <c r="BA469" s="0">
        <v>486</v>
      </c>
      <c r="BB469" s="0" t="s">
        <v>232</v>
      </c>
      <c r="BC469" s="0">
        <v>2</v>
      </c>
      <c r="BD469" s="0">
        <v>374043</v>
      </c>
      <c r="BE469" s="0">
        <v>519131</v>
      </c>
      <c r="BF469" s="0">
        <v>5</v>
      </c>
      <c r="BG469" s="0" t="s">
        <v>4033</v>
      </c>
      <c r="BI469" s="0">
        <v>3727</v>
      </c>
      <c r="BK469" s="0" t="s">
        <v>4034</v>
      </c>
    </row>
    <row r="470">
      <c r="A470" s="0">
        <v>5084</v>
      </c>
      <c r="B470" s="0" t="s">
        <v>4035</v>
      </c>
      <c r="C470" s="0" t="s">
        <v>290</v>
      </c>
      <c r="D470" s="0" t="s">
        <v>4021</v>
      </c>
      <c r="E470" s="0" t="s">
        <v>292</v>
      </c>
      <c r="F470" s="0">
        <v>6</v>
      </c>
      <c r="G470" s="0" t="s">
        <v>293</v>
      </c>
      <c r="H470" s="0" t="s">
        <v>294</v>
      </c>
      <c r="I470" s="0" t="s">
        <v>295</v>
      </c>
      <c r="P470" s="0" t="s">
        <v>4036</v>
      </c>
      <c r="Q470" s="0" t="s">
        <v>343</v>
      </c>
      <c r="R470" s="0" t="s">
        <v>2393</v>
      </c>
      <c r="T470" s="0" t="s">
        <v>4037</v>
      </c>
      <c r="U470" s="0" t="s">
        <v>4038</v>
      </c>
      <c r="W470" s="0" t="s">
        <v>4024</v>
      </c>
      <c r="X470" s="0" t="s">
        <v>298</v>
      </c>
      <c r="Y470" s="0" t="s">
        <v>159</v>
      </c>
      <c r="Z470" s="0" t="s">
        <v>4025</v>
      </c>
      <c r="AA470" s="0" t="s">
        <v>158</v>
      </c>
      <c r="AB470" s="0" t="s">
        <v>531</v>
      </c>
      <c r="AC470" s="0" t="s">
        <v>532</v>
      </c>
      <c r="AD470" s="0" t="s">
        <v>4026</v>
      </c>
      <c r="AE470" s="0" t="s">
        <v>4027</v>
      </c>
      <c r="AF470" s="0" t="s">
        <v>301</v>
      </c>
      <c r="AP470" s="0" t="s">
        <v>305</v>
      </c>
      <c r="BA470" s="0">
        <v>486</v>
      </c>
      <c r="BB470" s="0" t="s">
        <v>232</v>
      </c>
      <c r="BC470" s="0">
        <v>2</v>
      </c>
      <c r="BD470" s="0">
        <v>374053</v>
      </c>
      <c r="BE470" s="0">
        <v>519131</v>
      </c>
      <c r="BF470" s="0">
        <v>5</v>
      </c>
      <c r="BG470" s="0" t="s">
        <v>4039</v>
      </c>
      <c r="BI470" s="0">
        <v>3916</v>
      </c>
      <c r="BK470" s="0" t="s">
        <v>4040</v>
      </c>
    </row>
    <row r="471">
      <c r="A471" s="0">
        <v>5081</v>
      </c>
      <c r="B471" s="0" t="s">
        <v>4041</v>
      </c>
      <c r="C471" s="0" t="s">
        <v>315</v>
      </c>
      <c r="D471" s="0" t="s">
        <v>4021</v>
      </c>
      <c r="E471" s="0" t="s">
        <v>4042</v>
      </c>
      <c r="F471" s="0">
        <v>1</v>
      </c>
      <c r="G471" s="0" t="s">
        <v>594</v>
      </c>
      <c r="H471" s="0" t="s">
        <v>508</v>
      </c>
      <c r="I471" s="0" t="s">
        <v>1668</v>
      </c>
      <c r="J471" s="0" t="s">
        <v>319</v>
      </c>
      <c r="K471" s="0" t="s">
        <v>398</v>
      </c>
      <c r="L471" s="0" t="s">
        <v>948</v>
      </c>
      <c r="M471" s="0" t="s">
        <v>525</v>
      </c>
      <c r="N471" s="0" t="s">
        <v>400</v>
      </c>
      <c r="O471" s="0" t="s">
        <v>469</v>
      </c>
      <c r="P471" s="0" t="s">
        <v>323</v>
      </c>
      <c r="Q471" s="0" t="s">
        <v>343</v>
      </c>
      <c r="R471" s="0" t="s">
        <v>1783</v>
      </c>
      <c r="U471" s="0" t="s">
        <v>4043</v>
      </c>
      <c r="W471" s="0" t="s">
        <v>4024</v>
      </c>
      <c r="X471" s="0" t="s">
        <v>298</v>
      </c>
      <c r="Y471" s="0" t="s">
        <v>159</v>
      </c>
      <c r="Z471" s="0" t="s">
        <v>4025</v>
      </c>
      <c r="AA471" s="0" t="s">
        <v>158</v>
      </c>
      <c r="AB471" s="0" t="s">
        <v>531</v>
      </c>
      <c r="AC471" s="0" t="s">
        <v>532</v>
      </c>
      <c r="AD471" s="0" t="s">
        <v>4026</v>
      </c>
      <c r="AE471" s="0" t="s">
        <v>4027</v>
      </c>
      <c r="AF471" s="0" t="s">
        <v>301</v>
      </c>
      <c r="AP471" s="0" t="s">
        <v>305</v>
      </c>
      <c r="BA471" s="0">
        <v>486</v>
      </c>
      <c r="BB471" s="0" t="s">
        <v>232</v>
      </c>
      <c r="BC471" s="0">
        <v>2</v>
      </c>
      <c r="BD471" s="0">
        <v>374043</v>
      </c>
      <c r="BE471" s="0">
        <v>519131</v>
      </c>
      <c r="BF471" s="0">
        <v>5</v>
      </c>
      <c r="BG471" s="0" t="s">
        <v>4044</v>
      </c>
      <c r="BI471" s="0">
        <v>3620</v>
      </c>
      <c r="BK471" s="0" t="s">
        <v>4045</v>
      </c>
    </row>
    <row r="472">
      <c r="A472" s="0">
        <v>5078</v>
      </c>
      <c r="B472" s="0" t="s">
        <v>4046</v>
      </c>
      <c r="C472" s="0" t="s">
        <v>1139</v>
      </c>
      <c r="D472" s="0" t="s">
        <v>4021</v>
      </c>
      <c r="E472" s="0" t="s">
        <v>4047</v>
      </c>
      <c r="F472" s="0">
        <v>1</v>
      </c>
      <c r="G472" s="0" t="s">
        <v>293</v>
      </c>
      <c r="H472" s="0" t="s">
        <v>294</v>
      </c>
      <c r="I472" s="0" t="s">
        <v>295</v>
      </c>
      <c r="P472" s="0" t="s">
        <v>343</v>
      </c>
      <c r="Q472" s="0" t="s">
        <v>343</v>
      </c>
      <c r="U472" s="0" t="s">
        <v>4048</v>
      </c>
      <c r="W472" s="0" t="s">
        <v>4024</v>
      </c>
      <c r="X472" s="0" t="s">
        <v>298</v>
      </c>
      <c r="Y472" s="0" t="s">
        <v>159</v>
      </c>
      <c r="Z472" s="0" t="s">
        <v>4025</v>
      </c>
      <c r="AA472" s="0" t="s">
        <v>158</v>
      </c>
      <c r="AB472" s="0" t="s">
        <v>531</v>
      </c>
      <c r="AC472" s="0" t="s">
        <v>532</v>
      </c>
      <c r="AD472" s="0" t="s">
        <v>4026</v>
      </c>
      <c r="AE472" s="0" t="s">
        <v>4027</v>
      </c>
      <c r="AF472" s="0" t="s">
        <v>301</v>
      </c>
      <c r="AP472" s="0" t="s">
        <v>305</v>
      </c>
      <c r="BA472" s="0">
        <v>486</v>
      </c>
      <c r="BB472" s="0" t="s">
        <v>232</v>
      </c>
      <c r="BC472" s="0">
        <v>2</v>
      </c>
      <c r="BD472" s="0">
        <v>38030</v>
      </c>
      <c r="BE472" s="0">
        <v>519131</v>
      </c>
      <c r="BF472" s="0">
        <v>5</v>
      </c>
      <c r="BG472" s="0" t="s">
        <v>4049</v>
      </c>
      <c r="BI472" s="0">
        <v>3243</v>
      </c>
      <c r="BK472" s="0" t="s">
        <v>4050</v>
      </c>
    </row>
    <row r="473">
      <c r="A473" s="0">
        <v>5089</v>
      </c>
      <c r="B473" s="0" t="s">
        <v>4051</v>
      </c>
      <c r="C473" s="0" t="s">
        <v>656</v>
      </c>
      <c r="D473" s="0" t="s">
        <v>4021</v>
      </c>
      <c r="E473" s="0" t="s">
        <v>4052</v>
      </c>
      <c r="F473" s="0">
        <v>1</v>
      </c>
      <c r="G473" s="0" t="s">
        <v>293</v>
      </c>
      <c r="H473" s="0" t="s">
        <v>294</v>
      </c>
      <c r="I473" s="0" t="s">
        <v>295</v>
      </c>
      <c r="P473" s="0" t="s">
        <v>343</v>
      </c>
      <c r="Q473" s="0" t="s">
        <v>343</v>
      </c>
      <c r="U473" s="0" t="s">
        <v>4053</v>
      </c>
      <c r="W473" s="0" t="s">
        <v>4024</v>
      </c>
      <c r="X473" s="0" t="s">
        <v>298</v>
      </c>
      <c r="Y473" s="0" t="s">
        <v>159</v>
      </c>
      <c r="Z473" s="0" t="s">
        <v>4025</v>
      </c>
      <c r="AA473" s="0" t="s">
        <v>158</v>
      </c>
      <c r="AB473" s="0" t="s">
        <v>531</v>
      </c>
      <c r="AC473" s="0" t="s">
        <v>532</v>
      </c>
      <c r="AD473" s="0" t="s">
        <v>4026</v>
      </c>
      <c r="AE473" s="0" t="s">
        <v>4027</v>
      </c>
      <c r="AF473" s="0" t="s">
        <v>301</v>
      </c>
      <c r="AP473" s="0" t="s">
        <v>305</v>
      </c>
      <c r="BA473" s="0">
        <v>486</v>
      </c>
      <c r="BB473" s="0" t="s">
        <v>232</v>
      </c>
      <c r="BC473" s="0">
        <v>2</v>
      </c>
      <c r="BD473" s="0">
        <v>10</v>
      </c>
      <c r="BE473" s="0">
        <v>519131</v>
      </c>
      <c r="BF473" s="0">
        <v>5</v>
      </c>
      <c r="BG473" s="0" t="s">
        <v>4054</v>
      </c>
      <c r="BI473" s="0">
        <v>4293</v>
      </c>
      <c r="BK473" s="0" t="s">
        <v>4055</v>
      </c>
    </row>
    <row r="474">
      <c r="A474" s="0">
        <v>5090</v>
      </c>
      <c r="B474" s="0" t="s">
        <v>4056</v>
      </c>
      <c r="C474" s="0" t="s">
        <v>579</v>
      </c>
      <c r="D474" s="0" t="s">
        <v>4021</v>
      </c>
      <c r="E474" s="0" t="s">
        <v>4057</v>
      </c>
      <c r="F474" s="0">
        <v>1</v>
      </c>
      <c r="G474" s="0" t="s">
        <v>293</v>
      </c>
      <c r="H474" s="0" t="s">
        <v>294</v>
      </c>
      <c r="I474" s="0" t="s">
        <v>295</v>
      </c>
      <c r="J474" s="0" t="s">
        <v>581</v>
      </c>
      <c r="K474" s="0" t="s">
        <v>581</v>
      </c>
      <c r="L474" s="0" t="s">
        <v>583</v>
      </c>
      <c r="P474" s="0" t="s">
        <v>343</v>
      </c>
      <c r="Q474" s="0" t="s">
        <v>343</v>
      </c>
      <c r="U474" s="0" t="s">
        <v>4058</v>
      </c>
      <c r="W474" s="0" t="s">
        <v>4024</v>
      </c>
      <c r="X474" s="0" t="s">
        <v>298</v>
      </c>
      <c r="Y474" s="0" t="s">
        <v>159</v>
      </c>
      <c r="Z474" s="0" t="s">
        <v>4025</v>
      </c>
      <c r="AA474" s="0" t="s">
        <v>158</v>
      </c>
      <c r="AB474" s="0" t="s">
        <v>531</v>
      </c>
      <c r="AC474" s="0" t="s">
        <v>532</v>
      </c>
      <c r="AD474" s="0" t="s">
        <v>4026</v>
      </c>
      <c r="AE474" s="0" t="s">
        <v>4027</v>
      </c>
      <c r="AF474" s="0" t="s">
        <v>301</v>
      </c>
      <c r="AP474" s="0" t="s">
        <v>305</v>
      </c>
      <c r="BA474" s="0">
        <v>486</v>
      </c>
      <c r="BB474" s="0" t="s">
        <v>232</v>
      </c>
      <c r="BC474" s="0">
        <v>2</v>
      </c>
      <c r="BD474" s="0">
        <v>374046</v>
      </c>
      <c r="BE474" s="0">
        <v>519131</v>
      </c>
      <c r="BF474" s="0">
        <v>5</v>
      </c>
      <c r="BG474" s="0" t="s">
        <v>4059</v>
      </c>
      <c r="BI474" s="0">
        <v>4356</v>
      </c>
      <c r="BK474" s="0" t="s">
        <v>4060</v>
      </c>
    </row>
    <row r="475">
      <c r="A475" s="0">
        <v>5086</v>
      </c>
      <c r="B475" s="0" t="s">
        <v>4061</v>
      </c>
      <c r="C475" s="0" t="s">
        <v>315</v>
      </c>
      <c r="D475" s="0" t="s">
        <v>4021</v>
      </c>
      <c r="E475" s="0" t="s">
        <v>4062</v>
      </c>
      <c r="F475" s="0">
        <v>2</v>
      </c>
      <c r="G475" s="0" t="s">
        <v>319</v>
      </c>
      <c r="H475" s="0" t="s">
        <v>483</v>
      </c>
      <c r="I475" s="0" t="s">
        <v>4063</v>
      </c>
      <c r="J475" s="0" t="s">
        <v>293</v>
      </c>
      <c r="K475" s="0" t="s">
        <v>294</v>
      </c>
      <c r="L475" s="0" t="s">
        <v>295</v>
      </c>
      <c r="P475" s="0" t="s">
        <v>343</v>
      </c>
      <c r="Q475" s="0" t="s">
        <v>343</v>
      </c>
      <c r="U475" s="0" t="s">
        <v>4064</v>
      </c>
      <c r="W475" s="0" t="s">
        <v>4024</v>
      </c>
      <c r="X475" s="0" t="s">
        <v>298</v>
      </c>
      <c r="Y475" s="0" t="s">
        <v>159</v>
      </c>
      <c r="Z475" s="0" t="s">
        <v>4025</v>
      </c>
      <c r="AA475" s="0" t="s">
        <v>158</v>
      </c>
      <c r="AB475" s="0" t="s">
        <v>531</v>
      </c>
      <c r="AC475" s="0" t="s">
        <v>532</v>
      </c>
      <c r="AD475" s="0" t="s">
        <v>4026</v>
      </c>
      <c r="AE475" s="0" t="s">
        <v>4027</v>
      </c>
      <c r="AF475" s="0" t="s">
        <v>301</v>
      </c>
      <c r="AP475" s="0" t="s">
        <v>305</v>
      </c>
      <c r="BA475" s="0">
        <v>486</v>
      </c>
      <c r="BB475" s="0" t="s">
        <v>232</v>
      </c>
      <c r="BC475" s="0">
        <v>2</v>
      </c>
      <c r="BD475" s="0">
        <v>374043</v>
      </c>
      <c r="BE475" s="0">
        <v>519131</v>
      </c>
      <c r="BF475" s="0">
        <v>5</v>
      </c>
      <c r="BG475" s="0" t="s">
        <v>4065</v>
      </c>
      <c r="BI475" s="0">
        <v>4086</v>
      </c>
      <c r="BK475" s="0" t="s">
        <v>4066</v>
      </c>
    </row>
    <row r="476">
      <c r="A476" s="0">
        <v>5094</v>
      </c>
      <c r="B476" s="0" t="s">
        <v>4067</v>
      </c>
      <c r="C476" s="0" t="s">
        <v>315</v>
      </c>
      <c r="D476" s="0" t="s">
        <v>4021</v>
      </c>
      <c r="E476" s="0" t="s">
        <v>4068</v>
      </c>
      <c r="F476" s="0">
        <v>1</v>
      </c>
      <c r="G476" s="0" t="s">
        <v>543</v>
      </c>
      <c r="H476" s="0" t="s">
        <v>1112</v>
      </c>
      <c r="I476" s="0" t="s">
        <v>4069</v>
      </c>
      <c r="J476" s="0" t="s">
        <v>293</v>
      </c>
      <c r="K476" s="0" t="s">
        <v>294</v>
      </c>
      <c r="L476" s="0" t="s">
        <v>295</v>
      </c>
      <c r="P476" s="0" t="s">
        <v>343</v>
      </c>
      <c r="Q476" s="0" t="s">
        <v>343</v>
      </c>
      <c r="T476" s="0" t="s">
        <v>4070</v>
      </c>
      <c r="U476" s="0" t="s">
        <v>4071</v>
      </c>
      <c r="W476" s="0" t="s">
        <v>4024</v>
      </c>
      <c r="X476" s="0" t="s">
        <v>298</v>
      </c>
      <c r="Y476" s="0" t="s">
        <v>159</v>
      </c>
      <c r="Z476" s="0" t="s">
        <v>4025</v>
      </c>
      <c r="AA476" s="0" t="s">
        <v>158</v>
      </c>
      <c r="AB476" s="0" t="s">
        <v>531</v>
      </c>
      <c r="AC476" s="0" t="s">
        <v>532</v>
      </c>
      <c r="AD476" s="0" t="s">
        <v>4026</v>
      </c>
      <c r="AE476" s="0" t="s">
        <v>4027</v>
      </c>
      <c r="AF476" s="0" t="s">
        <v>301</v>
      </c>
      <c r="AP476" s="0" t="s">
        <v>305</v>
      </c>
      <c r="BA476" s="0">
        <v>486</v>
      </c>
      <c r="BB476" s="0" t="s">
        <v>232</v>
      </c>
      <c r="BC476" s="0">
        <v>2</v>
      </c>
      <c r="BD476" s="0">
        <v>374043</v>
      </c>
      <c r="BE476" s="0">
        <v>519131</v>
      </c>
      <c r="BF476" s="0">
        <v>5</v>
      </c>
      <c r="BG476" s="0" t="s">
        <v>4072</v>
      </c>
      <c r="BI476" s="0">
        <v>4560</v>
      </c>
      <c r="BK476" s="0" t="s">
        <v>4073</v>
      </c>
    </row>
    <row r="477">
      <c r="A477" s="0">
        <v>5068</v>
      </c>
      <c r="C477" s="0" t="s">
        <v>315</v>
      </c>
      <c r="D477" s="0" t="s">
        <v>4021</v>
      </c>
      <c r="E477" s="0" t="s">
        <v>1326</v>
      </c>
      <c r="F477" s="0">
        <v>6</v>
      </c>
      <c r="G477" s="0" t="s">
        <v>293</v>
      </c>
      <c r="H477" s="0" t="s">
        <v>294</v>
      </c>
      <c r="I477" s="0" t="s">
        <v>295</v>
      </c>
      <c r="J477" s="0" t="s">
        <v>543</v>
      </c>
      <c r="K477" s="0" t="s">
        <v>1112</v>
      </c>
      <c r="L477" s="0" t="s">
        <v>729</v>
      </c>
      <c r="P477" s="0" t="s">
        <v>323</v>
      </c>
      <c r="Q477" s="0" t="s">
        <v>343</v>
      </c>
      <c r="R477" s="0" t="s">
        <v>661</v>
      </c>
      <c r="U477" s="0" t="s">
        <v>4074</v>
      </c>
      <c r="W477" s="0" t="s">
        <v>4024</v>
      </c>
      <c r="X477" s="0" t="s">
        <v>298</v>
      </c>
      <c r="Y477" s="0" t="s">
        <v>159</v>
      </c>
      <c r="Z477" s="0" t="s">
        <v>4025</v>
      </c>
      <c r="AA477" s="0" t="s">
        <v>158</v>
      </c>
      <c r="AB477" s="0" t="s">
        <v>531</v>
      </c>
      <c r="AC477" s="0" t="s">
        <v>532</v>
      </c>
      <c r="AD477" s="0" t="s">
        <v>4026</v>
      </c>
      <c r="AE477" s="0" t="s">
        <v>4027</v>
      </c>
      <c r="AF477" s="0" t="s">
        <v>301</v>
      </c>
      <c r="AP477" s="0" t="s">
        <v>305</v>
      </c>
      <c r="BA477" s="0">
        <v>486</v>
      </c>
      <c r="BB477" s="0" t="s">
        <v>232</v>
      </c>
      <c r="BC477" s="0">
        <v>2</v>
      </c>
      <c r="BD477" s="0">
        <v>374043</v>
      </c>
      <c r="BE477" s="0">
        <v>519131</v>
      </c>
      <c r="BF477" s="0">
        <v>5</v>
      </c>
      <c r="BG477" s="0" t="s">
        <v>4075</v>
      </c>
      <c r="BI477" s="0">
        <v>1117</v>
      </c>
      <c r="BK477" s="0" t="s">
        <v>4076</v>
      </c>
    </row>
    <row r="478">
      <c r="A478" s="0">
        <v>5093</v>
      </c>
      <c r="B478" s="0" t="s">
        <v>4077</v>
      </c>
      <c r="C478" s="0" t="s">
        <v>315</v>
      </c>
      <c r="D478" s="0" t="s">
        <v>4021</v>
      </c>
      <c r="E478" s="0" t="s">
        <v>4078</v>
      </c>
      <c r="F478" s="0">
        <v>2</v>
      </c>
      <c r="G478" s="0" t="s">
        <v>594</v>
      </c>
      <c r="H478" s="0" t="s">
        <v>508</v>
      </c>
      <c r="I478" s="0" t="s">
        <v>2947</v>
      </c>
      <c r="J478" s="0" t="s">
        <v>543</v>
      </c>
      <c r="K478" s="0" t="s">
        <v>1112</v>
      </c>
      <c r="L478" s="0" t="s">
        <v>4069</v>
      </c>
      <c r="M478" s="0" t="s">
        <v>293</v>
      </c>
      <c r="N478" s="0" t="s">
        <v>294</v>
      </c>
      <c r="O478" s="0" t="s">
        <v>295</v>
      </c>
      <c r="P478" s="0" t="s">
        <v>323</v>
      </c>
      <c r="Q478" s="0" t="s">
        <v>343</v>
      </c>
      <c r="R478" s="0" t="s">
        <v>526</v>
      </c>
      <c r="T478" s="0" t="s">
        <v>4079</v>
      </c>
      <c r="U478" s="0" t="s">
        <v>4080</v>
      </c>
      <c r="W478" s="0" t="s">
        <v>4024</v>
      </c>
      <c r="X478" s="0" t="s">
        <v>298</v>
      </c>
      <c r="Y478" s="0" t="s">
        <v>159</v>
      </c>
      <c r="Z478" s="0" t="s">
        <v>4025</v>
      </c>
      <c r="AA478" s="0" t="s">
        <v>158</v>
      </c>
      <c r="AB478" s="0" t="s">
        <v>531</v>
      </c>
      <c r="AC478" s="0" t="s">
        <v>532</v>
      </c>
      <c r="AD478" s="0" t="s">
        <v>4026</v>
      </c>
      <c r="AE478" s="0" t="s">
        <v>4027</v>
      </c>
      <c r="AF478" s="0" t="s">
        <v>301</v>
      </c>
      <c r="AP478" s="0" t="s">
        <v>305</v>
      </c>
      <c r="BA478" s="0">
        <v>486</v>
      </c>
      <c r="BB478" s="0" t="s">
        <v>232</v>
      </c>
      <c r="BC478" s="0">
        <v>2</v>
      </c>
      <c r="BD478" s="0">
        <v>374043</v>
      </c>
      <c r="BE478" s="0">
        <v>519131</v>
      </c>
      <c r="BF478" s="0">
        <v>5</v>
      </c>
      <c r="BG478" s="0" t="s">
        <v>4081</v>
      </c>
      <c r="BI478" s="0">
        <v>4512</v>
      </c>
      <c r="BK478" s="0" t="s">
        <v>4082</v>
      </c>
    </row>
    <row r="479">
      <c r="A479" s="0">
        <v>5067</v>
      </c>
      <c r="C479" s="0" t="s">
        <v>315</v>
      </c>
      <c r="D479" s="0" t="s">
        <v>4021</v>
      </c>
      <c r="E479" s="0" t="s">
        <v>4083</v>
      </c>
      <c r="F479" s="0">
        <v>1</v>
      </c>
      <c r="G479" s="0" t="s">
        <v>293</v>
      </c>
      <c r="H479" s="0" t="s">
        <v>294</v>
      </c>
      <c r="I479" s="0" t="s">
        <v>322</v>
      </c>
      <c r="J479" s="0" t="s">
        <v>543</v>
      </c>
      <c r="K479" s="0" t="s">
        <v>1112</v>
      </c>
      <c r="L479" s="0" t="s">
        <v>729</v>
      </c>
      <c r="M479" s="0" t="s">
        <v>594</v>
      </c>
      <c r="N479" s="0" t="s">
        <v>508</v>
      </c>
      <c r="P479" s="0" t="s">
        <v>323</v>
      </c>
      <c r="Q479" s="0" t="s">
        <v>4084</v>
      </c>
      <c r="R479" s="0" t="s">
        <v>661</v>
      </c>
      <c r="U479" s="0" t="s">
        <v>4085</v>
      </c>
      <c r="W479" s="0" t="s">
        <v>4024</v>
      </c>
      <c r="X479" s="0" t="s">
        <v>298</v>
      </c>
      <c r="Y479" s="0" t="s">
        <v>159</v>
      </c>
      <c r="Z479" s="0" t="s">
        <v>4025</v>
      </c>
      <c r="AA479" s="0" t="s">
        <v>158</v>
      </c>
      <c r="AB479" s="0" t="s">
        <v>531</v>
      </c>
      <c r="AC479" s="0" t="s">
        <v>532</v>
      </c>
      <c r="AD479" s="0" t="s">
        <v>4026</v>
      </c>
      <c r="AE479" s="0" t="s">
        <v>4027</v>
      </c>
      <c r="AF479" s="0" t="s">
        <v>301</v>
      </c>
      <c r="AP479" s="0" t="s">
        <v>305</v>
      </c>
      <c r="BA479" s="0">
        <v>486</v>
      </c>
      <c r="BB479" s="0" t="s">
        <v>232</v>
      </c>
      <c r="BC479" s="0">
        <v>2</v>
      </c>
      <c r="BD479" s="0">
        <v>374043</v>
      </c>
      <c r="BE479" s="0">
        <v>519131</v>
      </c>
      <c r="BF479" s="0">
        <v>5</v>
      </c>
      <c r="BG479" s="0" t="s">
        <v>4086</v>
      </c>
      <c r="BI479" s="0">
        <v>786</v>
      </c>
      <c r="BK479" s="0" t="s">
        <v>4087</v>
      </c>
    </row>
    <row r="480">
      <c r="A480" s="0">
        <v>5065</v>
      </c>
      <c r="C480" s="0" t="s">
        <v>315</v>
      </c>
      <c r="D480" s="0" t="s">
        <v>4021</v>
      </c>
      <c r="E480" s="0" t="s">
        <v>4088</v>
      </c>
      <c r="F480" s="0">
        <v>1</v>
      </c>
      <c r="G480" s="0" t="s">
        <v>293</v>
      </c>
      <c r="H480" s="0" t="s">
        <v>294</v>
      </c>
      <c r="I480" s="0" t="s">
        <v>295</v>
      </c>
      <c r="J480" s="0" t="s">
        <v>543</v>
      </c>
      <c r="K480" s="0" t="s">
        <v>1112</v>
      </c>
      <c r="L480" s="0" t="s">
        <v>4069</v>
      </c>
      <c r="M480" s="0" t="s">
        <v>594</v>
      </c>
      <c r="N480" s="0" t="s">
        <v>508</v>
      </c>
      <c r="O480" s="0" t="s">
        <v>2947</v>
      </c>
      <c r="P480" s="0" t="s">
        <v>323</v>
      </c>
      <c r="Q480" s="0" t="s">
        <v>4084</v>
      </c>
      <c r="R480" s="0" t="s">
        <v>526</v>
      </c>
      <c r="U480" s="0" t="s">
        <v>4089</v>
      </c>
      <c r="W480" s="0" t="s">
        <v>4024</v>
      </c>
      <c r="X480" s="0" t="s">
        <v>298</v>
      </c>
      <c r="Y480" s="0" t="s">
        <v>159</v>
      </c>
      <c r="Z480" s="0" t="s">
        <v>4025</v>
      </c>
      <c r="AA480" s="0" t="s">
        <v>158</v>
      </c>
      <c r="AB480" s="0" t="s">
        <v>531</v>
      </c>
      <c r="AC480" s="0" t="s">
        <v>532</v>
      </c>
      <c r="AD480" s="0" t="s">
        <v>4026</v>
      </c>
      <c r="AE480" s="0" t="s">
        <v>4027</v>
      </c>
      <c r="AF480" s="0" t="s">
        <v>301</v>
      </c>
      <c r="AP480" s="0" t="s">
        <v>305</v>
      </c>
      <c r="BA480" s="0">
        <v>486</v>
      </c>
      <c r="BB480" s="0" t="s">
        <v>232</v>
      </c>
      <c r="BC480" s="0">
        <v>2</v>
      </c>
      <c r="BD480" s="0">
        <v>374043</v>
      </c>
      <c r="BE480" s="0">
        <v>519131</v>
      </c>
      <c r="BF480" s="0">
        <v>5</v>
      </c>
      <c r="BG480" s="0" t="s">
        <v>4090</v>
      </c>
      <c r="BI480" s="0">
        <v>385</v>
      </c>
      <c r="BK480" s="0" t="s">
        <v>4091</v>
      </c>
    </row>
    <row r="481">
      <c r="A481" s="0">
        <v>5074</v>
      </c>
      <c r="C481" s="0" t="s">
        <v>656</v>
      </c>
      <c r="D481" s="0" t="s">
        <v>4021</v>
      </c>
      <c r="E481" s="0" t="s">
        <v>4092</v>
      </c>
      <c r="F481" s="0">
        <v>2</v>
      </c>
      <c r="G481" s="0" t="s">
        <v>293</v>
      </c>
      <c r="H481" s="0" t="s">
        <v>294</v>
      </c>
      <c r="I481" s="0" t="s">
        <v>295</v>
      </c>
      <c r="J481" s="0" t="s">
        <v>543</v>
      </c>
      <c r="K481" s="0" t="s">
        <v>1112</v>
      </c>
      <c r="L481" s="0" t="s">
        <v>4069</v>
      </c>
      <c r="P481" s="0" t="s">
        <v>343</v>
      </c>
      <c r="Q481" s="0" t="s">
        <v>343</v>
      </c>
      <c r="U481" s="0" t="s">
        <v>4093</v>
      </c>
      <c r="W481" s="0" t="s">
        <v>4024</v>
      </c>
      <c r="X481" s="0" t="s">
        <v>298</v>
      </c>
      <c r="Y481" s="0" t="s">
        <v>159</v>
      </c>
      <c r="Z481" s="0" t="s">
        <v>4025</v>
      </c>
      <c r="AA481" s="0" t="s">
        <v>158</v>
      </c>
      <c r="AB481" s="0" t="s">
        <v>531</v>
      </c>
      <c r="AC481" s="0" t="s">
        <v>532</v>
      </c>
      <c r="AD481" s="0" t="s">
        <v>4026</v>
      </c>
      <c r="AE481" s="0" t="s">
        <v>4027</v>
      </c>
      <c r="AF481" s="0" t="s">
        <v>301</v>
      </c>
      <c r="AM481" s="0" t="s">
        <v>426</v>
      </c>
      <c r="AN481" s="0" t="s">
        <v>2213</v>
      </c>
      <c r="AO481" s="0" t="s">
        <v>311</v>
      </c>
      <c r="AP481" s="0" t="s">
        <v>305</v>
      </c>
      <c r="AQ481" s="0" t="s">
        <v>4094</v>
      </c>
      <c r="AR481" s="0" t="s">
        <v>489</v>
      </c>
      <c r="AS481" s="0">
        <v>43</v>
      </c>
      <c r="AT481" s="0">
        <v>91</v>
      </c>
      <c r="AU481" s="0">
        <v>1030</v>
      </c>
      <c r="AV481" s="0" t="s">
        <v>308</v>
      </c>
      <c r="AX481" s="0" t="s">
        <v>781</v>
      </c>
      <c r="AY481" s="0" t="s">
        <v>924</v>
      </c>
      <c r="AZ481" s="0" t="s">
        <v>373</v>
      </c>
      <c r="BA481" s="0">
        <v>486</v>
      </c>
      <c r="BB481" s="0" t="s">
        <v>232</v>
      </c>
      <c r="BC481" s="0">
        <v>2</v>
      </c>
      <c r="BD481" s="0">
        <v>10</v>
      </c>
      <c r="BE481" s="0">
        <v>519131</v>
      </c>
      <c r="BF481" s="0">
        <v>5</v>
      </c>
      <c r="BG481" s="0" t="s">
        <v>4095</v>
      </c>
      <c r="BI481" s="0">
        <v>2578</v>
      </c>
      <c r="BK481" s="0" t="s">
        <v>4096</v>
      </c>
    </row>
    <row r="482">
      <c r="A482" s="0">
        <v>5297</v>
      </c>
      <c r="B482" s="0" t="s">
        <v>4097</v>
      </c>
      <c r="C482" s="0" t="s">
        <v>656</v>
      </c>
      <c r="D482" s="0" t="s">
        <v>4021</v>
      </c>
      <c r="E482" s="0" t="s">
        <v>4092</v>
      </c>
      <c r="F482" s="0">
        <v>2</v>
      </c>
      <c r="G482" s="0" t="s">
        <v>293</v>
      </c>
      <c r="H482" s="0" t="s">
        <v>294</v>
      </c>
      <c r="I482" s="0" t="s">
        <v>322</v>
      </c>
      <c r="J482" s="0" t="s">
        <v>543</v>
      </c>
      <c r="K482" s="0" t="s">
        <v>1112</v>
      </c>
      <c r="L482" s="0" t="s">
        <v>729</v>
      </c>
      <c r="P482" s="0" t="s">
        <v>343</v>
      </c>
      <c r="Q482" s="0" t="s">
        <v>343</v>
      </c>
      <c r="R482" s="0" t="s">
        <v>343</v>
      </c>
      <c r="U482" s="0" t="s">
        <v>4098</v>
      </c>
      <c r="W482" s="0" t="s">
        <v>4024</v>
      </c>
      <c r="X482" s="0" t="s">
        <v>298</v>
      </c>
      <c r="Y482" s="0" t="s">
        <v>159</v>
      </c>
      <c r="Z482" s="0" t="s">
        <v>4025</v>
      </c>
      <c r="AA482" s="0" t="s">
        <v>158</v>
      </c>
      <c r="AB482" s="0" t="s">
        <v>531</v>
      </c>
      <c r="AC482" s="0" t="s">
        <v>532</v>
      </c>
      <c r="AD482" s="0" t="s">
        <v>4026</v>
      </c>
      <c r="AE482" s="0" t="s">
        <v>4027</v>
      </c>
      <c r="AF482" s="0" t="s">
        <v>301</v>
      </c>
      <c r="AM482" s="0" t="s">
        <v>426</v>
      </c>
      <c r="AN482" s="0" t="s">
        <v>2213</v>
      </c>
      <c r="AO482" s="0" t="s">
        <v>311</v>
      </c>
      <c r="AP482" s="0" t="s">
        <v>305</v>
      </c>
      <c r="AQ482" s="0" t="s">
        <v>4094</v>
      </c>
      <c r="AR482" s="0" t="s">
        <v>489</v>
      </c>
      <c r="AS482" s="0">
        <v>430</v>
      </c>
      <c r="AT482" s="0">
        <v>910</v>
      </c>
      <c r="AU482" s="0">
        <v>1030</v>
      </c>
      <c r="AV482" s="0" t="s">
        <v>308</v>
      </c>
      <c r="AX482" s="0" t="s">
        <v>781</v>
      </c>
      <c r="AY482" s="0" t="s">
        <v>924</v>
      </c>
      <c r="AZ482" s="0" t="s">
        <v>373</v>
      </c>
      <c r="BA482" s="0">
        <v>486</v>
      </c>
      <c r="BB482" s="0" t="s">
        <v>232</v>
      </c>
      <c r="BC482" s="0">
        <v>2</v>
      </c>
      <c r="BD482" s="0">
        <v>10</v>
      </c>
      <c r="BE482" s="0">
        <v>519131</v>
      </c>
      <c r="BF482" s="0">
        <v>5</v>
      </c>
      <c r="BG482" s="0" t="s">
        <v>4099</v>
      </c>
      <c r="BI482" s="0">
        <v>4730</v>
      </c>
      <c r="BK482" s="0" t="s">
        <v>4100</v>
      </c>
    </row>
    <row r="483">
      <c r="A483" s="0">
        <v>5069</v>
      </c>
      <c r="B483" s="0" t="s">
        <v>2475</v>
      </c>
      <c r="C483" s="0" t="s">
        <v>290</v>
      </c>
      <c r="D483" s="0" t="s">
        <v>4021</v>
      </c>
      <c r="E483" s="0" t="s">
        <v>2476</v>
      </c>
      <c r="F483" s="0">
        <v>1</v>
      </c>
      <c r="G483" s="0" t="s">
        <v>293</v>
      </c>
      <c r="H483" s="0" t="s">
        <v>294</v>
      </c>
      <c r="I483" s="0" t="s">
        <v>295</v>
      </c>
      <c r="P483" s="0" t="s">
        <v>343</v>
      </c>
      <c r="Q483" s="0" t="s">
        <v>343</v>
      </c>
      <c r="U483" s="0" t="s">
        <v>4101</v>
      </c>
      <c r="W483" s="0" t="s">
        <v>4024</v>
      </c>
      <c r="X483" s="0" t="s">
        <v>298</v>
      </c>
      <c r="Y483" s="0" t="s">
        <v>159</v>
      </c>
      <c r="Z483" s="0" t="s">
        <v>4025</v>
      </c>
      <c r="AA483" s="0" t="s">
        <v>158</v>
      </c>
      <c r="AB483" s="0" t="s">
        <v>531</v>
      </c>
      <c r="AC483" s="0" t="s">
        <v>532</v>
      </c>
      <c r="AD483" s="0" t="s">
        <v>4026</v>
      </c>
      <c r="AE483" s="0" t="s">
        <v>4027</v>
      </c>
      <c r="AF483" s="0" t="s">
        <v>301</v>
      </c>
      <c r="AP483" s="0" t="s">
        <v>305</v>
      </c>
      <c r="BA483" s="0">
        <v>486</v>
      </c>
      <c r="BB483" s="0" t="s">
        <v>232</v>
      </c>
      <c r="BC483" s="0">
        <v>2</v>
      </c>
      <c r="BD483" s="0">
        <v>374053</v>
      </c>
      <c r="BE483" s="0">
        <v>519131</v>
      </c>
      <c r="BF483" s="0">
        <v>5</v>
      </c>
      <c r="BG483" s="0" t="s">
        <v>4102</v>
      </c>
      <c r="BI483" s="0">
        <v>1424</v>
      </c>
      <c r="BK483" s="0" t="s">
        <v>4103</v>
      </c>
    </row>
    <row r="484">
      <c r="A484" s="0">
        <v>5070</v>
      </c>
      <c r="B484" s="0" t="s">
        <v>2481</v>
      </c>
      <c r="C484" s="0" t="s">
        <v>290</v>
      </c>
      <c r="D484" s="0" t="s">
        <v>4021</v>
      </c>
      <c r="E484" s="0" t="s">
        <v>2482</v>
      </c>
      <c r="F484" s="0">
        <v>1</v>
      </c>
      <c r="G484" s="0" t="s">
        <v>293</v>
      </c>
      <c r="H484" s="0" t="s">
        <v>294</v>
      </c>
      <c r="I484" s="0" t="s">
        <v>295</v>
      </c>
      <c r="P484" s="0" t="s">
        <v>343</v>
      </c>
      <c r="Q484" s="0" t="s">
        <v>343</v>
      </c>
      <c r="U484" s="0" t="s">
        <v>4104</v>
      </c>
      <c r="W484" s="0" t="s">
        <v>4024</v>
      </c>
      <c r="X484" s="0" t="s">
        <v>298</v>
      </c>
      <c r="Y484" s="0" t="s">
        <v>159</v>
      </c>
      <c r="Z484" s="0" t="s">
        <v>4025</v>
      </c>
      <c r="AA484" s="0" t="s">
        <v>158</v>
      </c>
      <c r="AB484" s="0" t="s">
        <v>531</v>
      </c>
      <c r="AC484" s="0" t="s">
        <v>532</v>
      </c>
      <c r="AD484" s="0" t="s">
        <v>4026</v>
      </c>
      <c r="AE484" s="0" t="s">
        <v>4027</v>
      </c>
      <c r="AF484" s="0" t="s">
        <v>301</v>
      </c>
      <c r="AP484" s="0" t="s">
        <v>305</v>
      </c>
      <c r="BA484" s="0">
        <v>486</v>
      </c>
      <c r="BB484" s="0" t="s">
        <v>232</v>
      </c>
      <c r="BC484" s="0">
        <v>2</v>
      </c>
      <c r="BD484" s="0">
        <v>374053</v>
      </c>
      <c r="BE484" s="0">
        <v>519131</v>
      </c>
      <c r="BF484" s="0">
        <v>5</v>
      </c>
      <c r="BG484" s="0" t="s">
        <v>4105</v>
      </c>
      <c r="BI484" s="0">
        <v>1691</v>
      </c>
      <c r="BK484" s="0" t="s">
        <v>4106</v>
      </c>
    </row>
    <row r="485">
      <c r="A485" s="0">
        <v>5092</v>
      </c>
      <c r="B485" s="0" t="s">
        <v>4107</v>
      </c>
      <c r="C485" s="0" t="s">
        <v>656</v>
      </c>
      <c r="D485" s="0" t="s">
        <v>4021</v>
      </c>
      <c r="E485" s="0" t="s">
        <v>4108</v>
      </c>
      <c r="F485" s="0">
        <v>1</v>
      </c>
      <c r="G485" s="0" t="s">
        <v>293</v>
      </c>
      <c r="H485" s="0" t="s">
        <v>294</v>
      </c>
      <c r="I485" s="0" t="s">
        <v>295</v>
      </c>
      <c r="P485" s="0" t="s">
        <v>343</v>
      </c>
      <c r="Q485" s="0" t="s">
        <v>343</v>
      </c>
      <c r="U485" s="0" t="s">
        <v>4109</v>
      </c>
      <c r="W485" s="0" t="s">
        <v>4024</v>
      </c>
      <c r="X485" s="0" t="s">
        <v>298</v>
      </c>
      <c r="Y485" s="0" t="s">
        <v>159</v>
      </c>
      <c r="Z485" s="0" t="s">
        <v>4025</v>
      </c>
      <c r="AA485" s="0" t="s">
        <v>158</v>
      </c>
      <c r="AB485" s="0" t="s">
        <v>531</v>
      </c>
      <c r="AC485" s="0" t="s">
        <v>532</v>
      </c>
      <c r="AD485" s="0" t="s">
        <v>4026</v>
      </c>
      <c r="AE485" s="0" t="s">
        <v>4027</v>
      </c>
      <c r="AF485" s="0" t="s">
        <v>301</v>
      </c>
      <c r="AM485" s="0" t="s">
        <v>517</v>
      </c>
      <c r="AN485" s="0" t="s">
        <v>504</v>
      </c>
      <c r="AO485" s="0" t="s">
        <v>387</v>
      </c>
      <c r="AP485" s="0" t="s">
        <v>305</v>
      </c>
      <c r="AQ485" s="0" t="s">
        <v>1077</v>
      </c>
      <c r="AR485" s="0" t="s">
        <v>476</v>
      </c>
      <c r="AS485" s="0">
        <v>134</v>
      </c>
      <c r="AT485" s="0">
        <v>276</v>
      </c>
      <c r="AU485" s="0">
        <v>334</v>
      </c>
      <c r="AV485" s="0" t="s">
        <v>308</v>
      </c>
      <c r="AX485" s="0" t="s">
        <v>912</v>
      </c>
      <c r="AY485" s="0" t="s">
        <v>349</v>
      </c>
      <c r="AZ485" s="0" t="s">
        <v>353</v>
      </c>
      <c r="BA485" s="0">
        <v>486</v>
      </c>
      <c r="BB485" s="0" t="s">
        <v>232</v>
      </c>
      <c r="BC485" s="0">
        <v>2</v>
      </c>
      <c r="BD485" s="0">
        <v>10</v>
      </c>
      <c r="BE485" s="0">
        <v>519131</v>
      </c>
      <c r="BF485" s="0">
        <v>5</v>
      </c>
      <c r="BG485" s="0" t="s">
        <v>4110</v>
      </c>
      <c r="BI485" s="0">
        <v>4464</v>
      </c>
      <c r="BK485" s="0" t="s">
        <v>4111</v>
      </c>
    </row>
    <row r="486">
      <c r="A486" s="0">
        <v>5091</v>
      </c>
      <c r="C486" s="0" t="s">
        <v>339</v>
      </c>
      <c r="D486" s="0" t="s">
        <v>4021</v>
      </c>
      <c r="E486" s="0" t="s">
        <v>4112</v>
      </c>
      <c r="F486" s="0">
        <v>6</v>
      </c>
      <c r="G486" s="0" t="s">
        <v>543</v>
      </c>
      <c r="H486" s="0" t="s">
        <v>1112</v>
      </c>
      <c r="I486" s="0" t="s">
        <v>729</v>
      </c>
      <c r="J486" s="0" t="s">
        <v>293</v>
      </c>
      <c r="K486" s="0" t="s">
        <v>294</v>
      </c>
      <c r="L486" s="0" t="s">
        <v>295</v>
      </c>
      <c r="P486" s="0" t="s">
        <v>343</v>
      </c>
      <c r="Q486" s="0" t="s">
        <v>343</v>
      </c>
      <c r="U486" s="0" t="s">
        <v>4113</v>
      </c>
      <c r="W486" s="0" t="s">
        <v>4024</v>
      </c>
      <c r="X486" s="0" t="s">
        <v>298</v>
      </c>
      <c r="Y486" s="0" t="s">
        <v>159</v>
      </c>
      <c r="Z486" s="0" t="s">
        <v>4025</v>
      </c>
      <c r="AA486" s="0" t="s">
        <v>158</v>
      </c>
      <c r="AB486" s="0" t="s">
        <v>531</v>
      </c>
      <c r="AC486" s="0" t="s">
        <v>532</v>
      </c>
      <c r="AD486" s="0" t="s">
        <v>4026</v>
      </c>
      <c r="AE486" s="0" t="s">
        <v>4027</v>
      </c>
      <c r="AF486" s="0" t="s">
        <v>301</v>
      </c>
      <c r="AP486" s="0" t="s">
        <v>305</v>
      </c>
      <c r="BA486" s="0">
        <v>486</v>
      </c>
      <c r="BB486" s="0" t="s">
        <v>232</v>
      </c>
      <c r="BC486" s="0">
        <v>2</v>
      </c>
      <c r="BD486" s="0">
        <v>8</v>
      </c>
      <c r="BE486" s="0">
        <v>519131</v>
      </c>
      <c r="BF486" s="0">
        <v>5</v>
      </c>
      <c r="BG486" s="0" t="s">
        <v>4114</v>
      </c>
      <c r="BI486" s="0">
        <v>4413</v>
      </c>
      <c r="BK486" s="0" t="s">
        <v>4115</v>
      </c>
    </row>
    <row r="487">
      <c r="A487" s="0">
        <v>5087</v>
      </c>
      <c r="B487" s="0" t="s">
        <v>4116</v>
      </c>
      <c r="C487" s="0" t="s">
        <v>656</v>
      </c>
      <c r="D487" s="0" t="s">
        <v>4021</v>
      </c>
      <c r="E487" s="0" t="s">
        <v>4117</v>
      </c>
      <c r="F487" s="0">
        <v>1</v>
      </c>
      <c r="G487" s="0" t="s">
        <v>293</v>
      </c>
      <c r="H487" s="0" t="s">
        <v>294</v>
      </c>
      <c r="I487" s="0" t="s">
        <v>322</v>
      </c>
      <c r="P487" s="0" t="s">
        <v>343</v>
      </c>
      <c r="Q487" s="0" t="s">
        <v>343</v>
      </c>
      <c r="U487" s="0" t="s">
        <v>4118</v>
      </c>
      <c r="W487" s="0" t="s">
        <v>4024</v>
      </c>
      <c r="X487" s="0" t="s">
        <v>298</v>
      </c>
      <c r="Y487" s="0" t="s">
        <v>159</v>
      </c>
      <c r="Z487" s="0" t="s">
        <v>4025</v>
      </c>
      <c r="AA487" s="0" t="s">
        <v>158</v>
      </c>
      <c r="AB487" s="0" t="s">
        <v>531</v>
      </c>
      <c r="AC487" s="0" t="s">
        <v>532</v>
      </c>
      <c r="AD487" s="0" t="s">
        <v>4026</v>
      </c>
      <c r="AE487" s="0" t="s">
        <v>4027</v>
      </c>
      <c r="AF487" s="0" t="s">
        <v>301</v>
      </c>
      <c r="AM487" s="0" t="s">
        <v>426</v>
      </c>
      <c r="AN487" s="0" t="s">
        <v>762</v>
      </c>
      <c r="AO487" s="0" t="s">
        <v>350</v>
      </c>
      <c r="AP487" s="0" t="s">
        <v>305</v>
      </c>
      <c r="BA487" s="0">
        <v>486</v>
      </c>
      <c r="BB487" s="0" t="s">
        <v>232</v>
      </c>
      <c r="BC487" s="0">
        <v>2</v>
      </c>
      <c r="BD487" s="0">
        <v>10</v>
      </c>
      <c r="BE487" s="0">
        <v>519131</v>
      </c>
      <c r="BF487" s="0">
        <v>5</v>
      </c>
      <c r="BG487" s="0" t="s">
        <v>4119</v>
      </c>
      <c r="BI487" s="0">
        <v>4157</v>
      </c>
      <c r="BK487" s="0" t="s">
        <v>4120</v>
      </c>
    </row>
    <row r="488">
      <c r="A488" s="0">
        <v>5088</v>
      </c>
      <c r="B488" s="0" t="s">
        <v>4121</v>
      </c>
      <c r="C488" s="0" t="s">
        <v>656</v>
      </c>
      <c r="D488" s="0" t="s">
        <v>4021</v>
      </c>
      <c r="E488" s="0" t="s">
        <v>4122</v>
      </c>
      <c r="F488" s="0">
        <v>1</v>
      </c>
      <c r="G488" s="0" t="s">
        <v>293</v>
      </c>
      <c r="H488" s="0" t="s">
        <v>294</v>
      </c>
      <c r="I488" s="0" t="s">
        <v>295</v>
      </c>
      <c r="P488" s="0" t="s">
        <v>343</v>
      </c>
      <c r="Q488" s="0" t="s">
        <v>343</v>
      </c>
      <c r="U488" s="0" t="s">
        <v>4123</v>
      </c>
      <c r="W488" s="0" t="s">
        <v>4024</v>
      </c>
      <c r="X488" s="0" t="s">
        <v>298</v>
      </c>
      <c r="Y488" s="0" t="s">
        <v>159</v>
      </c>
      <c r="Z488" s="0" t="s">
        <v>4025</v>
      </c>
      <c r="AA488" s="0" t="s">
        <v>158</v>
      </c>
      <c r="AB488" s="0" t="s">
        <v>531</v>
      </c>
      <c r="AC488" s="0" t="s">
        <v>532</v>
      </c>
      <c r="AD488" s="0" t="s">
        <v>4026</v>
      </c>
      <c r="AE488" s="0" t="s">
        <v>4027</v>
      </c>
      <c r="AF488" s="0" t="s">
        <v>301</v>
      </c>
      <c r="AM488" s="0" t="s">
        <v>426</v>
      </c>
      <c r="AN488" s="0" t="s">
        <v>862</v>
      </c>
      <c r="AO488" s="0" t="s">
        <v>350</v>
      </c>
      <c r="AP488" s="0" t="s">
        <v>305</v>
      </c>
      <c r="BA488" s="0">
        <v>486</v>
      </c>
      <c r="BB488" s="0" t="s">
        <v>232</v>
      </c>
      <c r="BC488" s="0">
        <v>2</v>
      </c>
      <c r="BD488" s="0">
        <v>10</v>
      </c>
      <c r="BE488" s="0">
        <v>519131</v>
      </c>
      <c r="BF488" s="0">
        <v>5</v>
      </c>
      <c r="BG488" s="0" t="s">
        <v>4124</v>
      </c>
      <c r="BI488" s="0">
        <v>4226</v>
      </c>
      <c r="BK488" s="0" t="s">
        <v>4125</v>
      </c>
    </row>
    <row r="489">
      <c r="A489" s="0">
        <v>5083</v>
      </c>
      <c r="B489" s="0" t="s">
        <v>4126</v>
      </c>
      <c r="C489" s="0" t="s">
        <v>656</v>
      </c>
      <c r="D489" s="0" t="s">
        <v>4021</v>
      </c>
      <c r="E489" s="0" t="s">
        <v>4127</v>
      </c>
      <c r="F489" s="0">
        <v>1</v>
      </c>
      <c r="G489" s="0" t="s">
        <v>293</v>
      </c>
      <c r="H489" s="0" t="s">
        <v>294</v>
      </c>
      <c r="I489" s="0" t="s">
        <v>295</v>
      </c>
      <c r="P489" s="0" t="s">
        <v>323</v>
      </c>
      <c r="Q489" s="0" t="s">
        <v>323</v>
      </c>
      <c r="R489" s="0" t="s">
        <v>1142</v>
      </c>
      <c r="U489" s="0" t="s">
        <v>4128</v>
      </c>
      <c r="W489" s="0" t="s">
        <v>4024</v>
      </c>
      <c r="X489" s="0" t="s">
        <v>298</v>
      </c>
      <c r="Y489" s="0" t="s">
        <v>159</v>
      </c>
      <c r="Z489" s="0" t="s">
        <v>4025</v>
      </c>
      <c r="AA489" s="0" t="s">
        <v>158</v>
      </c>
      <c r="AB489" s="0" t="s">
        <v>531</v>
      </c>
      <c r="AC489" s="0" t="s">
        <v>532</v>
      </c>
      <c r="AD489" s="0" t="s">
        <v>4026</v>
      </c>
      <c r="AE489" s="0" t="s">
        <v>4027</v>
      </c>
      <c r="AF489" s="0" t="s">
        <v>301</v>
      </c>
      <c r="AP489" s="0" t="s">
        <v>305</v>
      </c>
      <c r="BA489" s="0">
        <v>486</v>
      </c>
      <c r="BB489" s="0" t="s">
        <v>232</v>
      </c>
      <c r="BC489" s="0">
        <v>2</v>
      </c>
      <c r="BD489" s="0">
        <v>10</v>
      </c>
      <c r="BE489" s="0">
        <v>519131</v>
      </c>
      <c r="BF489" s="0">
        <v>5</v>
      </c>
      <c r="BG489" s="0" t="s">
        <v>4129</v>
      </c>
      <c r="BI489" s="0">
        <v>3826</v>
      </c>
      <c r="BK489" s="0" t="s">
        <v>4130</v>
      </c>
    </row>
    <row r="490">
      <c r="A490" s="0">
        <v>5071</v>
      </c>
      <c r="B490" s="0" t="s">
        <v>2507</v>
      </c>
      <c r="C490" s="0" t="s">
        <v>1139</v>
      </c>
      <c r="D490" s="0" t="s">
        <v>4021</v>
      </c>
      <c r="E490" s="0" t="s">
        <v>2508</v>
      </c>
      <c r="F490" s="0">
        <v>1</v>
      </c>
      <c r="G490" s="0" t="s">
        <v>293</v>
      </c>
      <c r="H490" s="0" t="s">
        <v>294</v>
      </c>
      <c r="I490" s="0" t="s">
        <v>295</v>
      </c>
      <c r="P490" s="0" t="s">
        <v>343</v>
      </c>
      <c r="Q490" s="0" t="s">
        <v>343</v>
      </c>
      <c r="U490" s="0" t="s">
        <v>4131</v>
      </c>
      <c r="W490" s="0" t="s">
        <v>4024</v>
      </c>
      <c r="X490" s="0" t="s">
        <v>298</v>
      </c>
      <c r="Y490" s="0" t="s">
        <v>159</v>
      </c>
      <c r="Z490" s="0" t="s">
        <v>4025</v>
      </c>
      <c r="AA490" s="0" t="s">
        <v>158</v>
      </c>
      <c r="AB490" s="0" t="s">
        <v>531</v>
      </c>
      <c r="AC490" s="0" t="s">
        <v>532</v>
      </c>
      <c r="AD490" s="0" t="s">
        <v>4026</v>
      </c>
      <c r="AE490" s="0" t="s">
        <v>4027</v>
      </c>
      <c r="AF490" s="0" t="s">
        <v>301</v>
      </c>
      <c r="AM490" s="0" t="s">
        <v>310</v>
      </c>
      <c r="AN490" s="0" t="s">
        <v>310</v>
      </c>
      <c r="AO490" s="0" t="s">
        <v>763</v>
      </c>
      <c r="AP490" s="0" t="s">
        <v>305</v>
      </c>
      <c r="AQ490" s="0" t="s">
        <v>1850</v>
      </c>
      <c r="AR490" s="0" t="s">
        <v>4132</v>
      </c>
      <c r="AS490" s="0">
        <v>783</v>
      </c>
      <c r="AT490" s="0">
        <v>1629</v>
      </c>
      <c r="AU490" s="0">
        <v>1906</v>
      </c>
      <c r="AV490" s="0" t="s">
        <v>332</v>
      </c>
      <c r="AW490" s="0" t="s">
        <v>332</v>
      </c>
      <c r="AX490" s="0" t="s">
        <v>1472</v>
      </c>
      <c r="AY490" s="0" t="s">
        <v>780</v>
      </c>
      <c r="AZ490" s="0" t="s">
        <v>4133</v>
      </c>
      <c r="BA490" s="0">
        <v>486</v>
      </c>
      <c r="BB490" s="0" t="s">
        <v>232</v>
      </c>
      <c r="BC490" s="0">
        <v>2</v>
      </c>
      <c r="BD490" s="0">
        <v>38030</v>
      </c>
      <c r="BE490" s="0">
        <v>519131</v>
      </c>
      <c r="BF490" s="0">
        <v>5</v>
      </c>
      <c r="BG490" s="0" t="s">
        <v>4134</v>
      </c>
      <c r="BI490" s="0">
        <v>1936</v>
      </c>
      <c r="BK490" s="0" t="s">
        <v>4135</v>
      </c>
    </row>
    <row r="491">
      <c r="A491" s="0">
        <v>5072</v>
      </c>
      <c r="B491" s="0" t="s">
        <v>2512</v>
      </c>
      <c r="C491" s="0" t="s">
        <v>1139</v>
      </c>
      <c r="D491" s="0" t="s">
        <v>4021</v>
      </c>
      <c r="E491" s="0" t="s">
        <v>2513</v>
      </c>
      <c r="F491" s="0">
        <v>1</v>
      </c>
      <c r="G491" s="0" t="s">
        <v>293</v>
      </c>
      <c r="H491" s="0" t="s">
        <v>294</v>
      </c>
      <c r="I491" s="0" t="s">
        <v>295</v>
      </c>
      <c r="P491" s="0" t="s">
        <v>343</v>
      </c>
      <c r="Q491" s="0" t="s">
        <v>343</v>
      </c>
      <c r="U491" s="0" t="s">
        <v>4136</v>
      </c>
      <c r="W491" s="0" t="s">
        <v>4024</v>
      </c>
      <c r="X491" s="0" t="s">
        <v>298</v>
      </c>
      <c r="Y491" s="0" t="s">
        <v>159</v>
      </c>
      <c r="Z491" s="0" t="s">
        <v>4025</v>
      </c>
      <c r="AA491" s="0" t="s">
        <v>158</v>
      </c>
      <c r="AB491" s="0" t="s">
        <v>531</v>
      </c>
      <c r="AC491" s="0" t="s">
        <v>532</v>
      </c>
      <c r="AD491" s="0" t="s">
        <v>4026</v>
      </c>
      <c r="AE491" s="0" t="s">
        <v>4027</v>
      </c>
      <c r="AF491" s="0" t="s">
        <v>301</v>
      </c>
      <c r="AM491" s="0" t="s">
        <v>387</v>
      </c>
      <c r="AN491" s="0" t="s">
        <v>387</v>
      </c>
      <c r="AO491" s="0" t="s">
        <v>763</v>
      </c>
      <c r="AP491" s="0" t="s">
        <v>305</v>
      </c>
      <c r="AQ491" s="0" t="s">
        <v>3086</v>
      </c>
      <c r="AR491" s="0" t="s">
        <v>3087</v>
      </c>
      <c r="AS491" s="0">
        <v>564</v>
      </c>
      <c r="AT491" s="0">
        <v>1124</v>
      </c>
      <c r="AU491" s="0">
        <v>1370</v>
      </c>
      <c r="AV491" s="0" t="s">
        <v>332</v>
      </c>
      <c r="AW491" s="0" t="s">
        <v>332</v>
      </c>
      <c r="AX491" s="0" t="s">
        <v>491</v>
      </c>
      <c r="AY491" s="0" t="s">
        <v>598</v>
      </c>
      <c r="AZ491" s="0" t="s">
        <v>4137</v>
      </c>
      <c r="BA491" s="0">
        <v>486</v>
      </c>
      <c r="BB491" s="0" t="s">
        <v>232</v>
      </c>
      <c r="BC491" s="0">
        <v>2</v>
      </c>
      <c r="BD491" s="0">
        <v>38030</v>
      </c>
      <c r="BE491" s="0">
        <v>519131</v>
      </c>
      <c r="BF491" s="0">
        <v>5</v>
      </c>
      <c r="BG491" s="0" t="s">
        <v>4138</v>
      </c>
      <c r="BI491" s="0">
        <v>2165</v>
      </c>
      <c r="BK491" s="0" t="s">
        <v>4139</v>
      </c>
    </row>
    <row r="492">
      <c r="A492" s="0">
        <v>5085</v>
      </c>
      <c r="B492" s="0" t="s">
        <v>4140</v>
      </c>
      <c r="C492" s="0" t="s">
        <v>579</v>
      </c>
      <c r="D492" s="0" t="s">
        <v>4021</v>
      </c>
      <c r="E492" s="0" t="s">
        <v>4141</v>
      </c>
      <c r="F492" s="0">
        <v>1</v>
      </c>
      <c r="G492" s="0" t="s">
        <v>293</v>
      </c>
      <c r="H492" s="0" t="s">
        <v>294</v>
      </c>
      <c r="I492" s="0" t="s">
        <v>295</v>
      </c>
      <c r="J492" s="0" t="s">
        <v>581</v>
      </c>
      <c r="K492" s="0" t="s">
        <v>581</v>
      </c>
      <c r="L492" s="0" t="s">
        <v>583</v>
      </c>
      <c r="P492" s="0" t="s">
        <v>343</v>
      </c>
      <c r="Q492" s="0" t="s">
        <v>343</v>
      </c>
      <c r="U492" s="0" t="s">
        <v>4142</v>
      </c>
      <c r="W492" s="0" t="s">
        <v>4024</v>
      </c>
      <c r="X492" s="0" t="s">
        <v>298</v>
      </c>
      <c r="Y492" s="0" t="s">
        <v>159</v>
      </c>
      <c r="Z492" s="0" t="s">
        <v>4025</v>
      </c>
      <c r="AA492" s="0" t="s">
        <v>158</v>
      </c>
      <c r="AB492" s="0" t="s">
        <v>531</v>
      </c>
      <c r="AC492" s="0" t="s">
        <v>532</v>
      </c>
      <c r="AD492" s="0" t="s">
        <v>4026</v>
      </c>
      <c r="AE492" s="0" t="s">
        <v>4027</v>
      </c>
      <c r="AF492" s="0" t="s">
        <v>301</v>
      </c>
      <c r="AP492" s="0" t="s">
        <v>305</v>
      </c>
      <c r="BA492" s="0">
        <v>486</v>
      </c>
      <c r="BB492" s="0" t="s">
        <v>232</v>
      </c>
      <c r="BC492" s="0">
        <v>2</v>
      </c>
      <c r="BD492" s="0">
        <v>374046</v>
      </c>
      <c r="BE492" s="0">
        <v>519131</v>
      </c>
      <c r="BF492" s="0">
        <v>5</v>
      </c>
      <c r="BG492" s="0" t="s">
        <v>4143</v>
      </c>
      <c r="BI492" s="0">
        <v>4003</v>
      </c>
      <c r="BK492" s="0" t="s">
        <v>4144</v>
      </c>
    </row>
    <row r="493">
      <c r="A493" s="0">
        <v>5098</v>
      </c>
      <c r="C493" s="0" t="s">
        <v>315</v>
      </c>
      <c r="D493" s="0" t="s">
        <v>4021</v>
      </c>
      <c r="E493" s="0" t="s">
        <v>4145</v>
      </c>
      <c r="F493" s="0">
        <v>1</v>
      </c>
      <c r="G493" s="0" t="s">
        <v>293</v>
      </c>
      <c r="H493" s="0" t="s">
        <v>294</v>
      </c>
      <c r="I493" s="0" t="s">
        <v>295</v>
      </c>
      <c r="J493" s="0" t="s">
        <v>594</v>
      </c>
      <c r="K493" s="0" t="s">
        <v>508</v>
      </c>
      <c r="L493" s="0" t="s">
        <v>2947</v>
      </c>
      <c r="P493" s="0" t="s">
        <v>343</v>
      </c>
      <c r="Q493" s="0" t="s">
        <v>343</v>
      </c>
      <c r="U493" s="0" t="s">
        <v>4146</v>
      </c>
      <c r="W493" s="0" t="s">
        <v>4024</v>
      </c>
      <c r="X493" s="0" t="s">
        <v>298</v>
      </c>
      <c r="Y493" s="0" t="s">
        <v>159</v>
      </c>
      <c r="Z493" s="0" t="s">
        <v>4025</v>
      </c>
      <c r="AA493" s="0" t="s">
        <v>158</v>
      </c>
      <c r="AB493" s="0" t="s">
        <v>531</v>
      </c>
      <c r="AC493" s="0" t="s">
        <v>532</v>
      </c>
      <c r="AD493" s="0" t="s">
        <v>4026</v>
      </c>
      <c r="AE493" s="0" t="s">
        <v>4027</v>
      </c>
      <c r="AF493" s="0" t="s">
        <v>301</v>
      </c>
      <c r="AP493" s="0" t="s">
        <v>305</v>
      </c>
      <c r="BA493" s="0">
        <v>486</v>
      </c>
      <c r="BB493" s="0" t="s">
        <v>232</v>
      </c>
      <c r="BC493" s="0">
        <v>2</v>
      </c>
      <c r="BD493" s="0">
        <v>374043</v>
      </c>
      <c r="BE493" s="0">
        <v>519131</v>
      </c>
      <c r="BF493" s="0">
        <v>5</v>
      </c>
      <c r="BG493" s="0" t="s">
        <v>4147</v>
      </c>
      <c r="BI493" s="0">
        <v>4705</v>
      </c>
      <c r="BK493" s="0" t="s">
        <v>4148</v>
      </c>
    </row>
    <row r="494">
      <c r="A494" s="0">
        <v>5099</v>
      </c>
      <c r="C494" s="0" t="s">
        <v>315</v>
      </c>
      <c r="D494" s="0" t="s">
        <v>4021</v>
      </c>
      <c r="E494" s="0" t="s">
        <v>4149</v>
      </c>
      <c r="F494" s="0">
        <v>6</v>
      </c>
      <c r="G494" s="0" t="s">
        <v>594</v>
      </c>
      <c r="H494" s="0" t="s">
        <v>508</v>
      </c>
      <c r="I494" s="0" t="s">
        <v>2947</v>
      </c>
      <c r="J494" s="0" t="s">
        <v>543</v>
      </c>
      <c r="K494" s="0" t="s">
        <v>1112</v>
      </c>
      <c r="L494" s="0" t="s">
        <v>4069</v>
      </c>
      <c r="P494" s="0" t="s">
        <v>323</v>
      </c>
      <c r="Q494" s="0" t="s">
        <v>343</v>
      </c>
      <c r="R494" s="0" t="s">
        <v>2393</v>
      </c>
      <c r="U494" s="0" t="s">
        <v>4150</v>
      </c>
      <c r="W494" s="0" t="s">
        <v>4024</v>
      </c>
      <c r="X494" s="0" t="s">
        <v>298</v>
      </c>
      <c r="Y494" s="0" t="s">
        <v>159</v>
      </c>
      <c r="Z494" s="0" t="s">
        <v>4025</v>
      </c>
      <c r="AA494" s="0" t="s">
        <v>158</v>
      </c>
      <c r="AB494" s="0" t="s">
        <v>531</v>
      </c>
      <c r="AC494" s="0" t="s">
        <v>532</v>
      </c>
      <c r="AD494" s="0" t="s">
        <v>4026</v>
      </c>
      <c r="AE494" s="0" t="s">
        <v>4027</v>
      </c>
      <c r="AF494" s="0" t="s">
        <v>301</v>
      </c>
      <c r="AP494" s="0" t="s">
        <v>305</v>
      </c>
      <c r="BA494" s="0">
        <v>486</v>
      </c>
      <c r="BB494" s="0" t="s">
        <v>232</v>
      </c>
      <c r="BC494" s="0">
        <v>2</v>
      </c>
      <c r="BD494" s="0">
        <v>374043</v>
      </c>
      <c r="BE494" s="0">
        <v>519131</v>
      </c>
      <c r="BF494" s="0">
        <v>5</v>
      </c>
      <c r="BG494" s="0" t="s">
        <v>4151</v>
      </c>
      <c r="BI494" s="0">
        <v>4731</v>
      </c>
      <c r="BK494" s="0" t="s">
        <v>4152</v>
      </c>
    </row>
    <row r="495">
      <c r="A495" s="0">
        <v>5079</v>
      </c>
      <c r="C495" s="0" t="s">
        <v>315</v>
      </c>
      <c r="D495" s="0" t="s">
        <v>4021</v>
      </c>
      <c r="E495" s="0" t="s">
        <v>554</v>
      </c>
      <c r="F495" s="0">
        <v>1</v>
      </c>
      <c r="G495" s="0" t="s">
        <v>594</v>
      </c>
      <c r="H495" s="0" t="s">
        <v>508</v>
      </c>
      <c r="I495" s="0" t="s">
        <v>729</v>
      </c>
      <c r="J495" s="0" t="s">
        <v>543</v>
      </c>
      <c r="K495" s="0" t="s">
        <v>1112</v>
      </c>
      <c r="L495" s="0" t="s">
        <v>729</v>
      </c>
      <c r="M495" s="0" t="s">
        <v>293</v>
      </c>
      <c r="N495" s="0" t="s">
        <v>294</v>
      </c>
      <c r="O495" s="0" t="s">
        <v>295</v>
      </c>
      <c r="P495" s="0" t="s">
        <v>323</v>
      </c>
      <c r="Q495" s="0" t="s">
        <v>323</v>
      </c>
      <c r="R495" s="0" t="s">
        <v>661</v>
      </c>
      <c r="U495" s="0" t="s">
        <v>4153</v>
      </c>
      <c r="W495" s="0" t="s">
        <v>4024</v>
      </c>
      <c r="X495" s="0" t="s">
        <v>298</v>
      </c>
      <c r="Y495" s="0" t="s">
        <v>159</v>
      </c>
      <c r="Z495" s="0" t="s">
        <v>4025</v>
      </c>
      <c r="AA495" s="0" t="s">
        <v>158</v>
      </c>
      <c r="AB495" s="0" t="s">
        <v>531</v>
      </c>
      <c r="AC495" s="0" t="s">
        <v>532</v>
      </c>
      <c r="AD495" s="0" t="s">
        <v>4026</v>
      </c>
      <c r="AE495" s="0" t="s">
        <v>4027</v>
      </c>
      <c r="AF495" s="0" t="s">
        <v>301</v>
      </c>
      <c r="AP495" s="0" t="s">
        <v>305</v>
      </c>
      <c r="BA495" s="0">
        <v>486</v>
      </c>
      <c r="BB495" s="0" t="s">
        <v>232</v>
      </c>
      <c r="BC495" s="0">
        <v>2</v>
      </c>
      <c r="BD495" s="0">
        <v>374043</v>
      </c>
      <c r="BE495" s="0">
        <v>519131</v>
      </c>
      <c r="BF495" s="0">
        <v>5</v>
      </c>
      <c r="BG495" s="0" t="s">
        <v>4154</v>
      </c>
      <c r="BI495" s="0">
        <v>3381</v>
      </c>
      <c r="BK495" s="0" t="s">
        <v>4155</v>
      </c>
    </row>
    <row r="496">
      <c r="A496" s="0">
        <v>5096</v>
      </c>
      <c r="B496" s="0" t="s">
        <v>1895</v>
      </c>
      <c r="C496" s="0" t="s">
        <v>916</v>
      </c>
      <c r="D496" s="0" t="s">
        <v>4021</v>
      </c>
      <c r="E496" s="0" t="s">
        <v>1896</v>
      </c>
      <c r="F496" s="0">
        <v>1</v>
      </c>
      <c r="G496" s="0" t="s">
        <v>293</v>
      </c>
      <c r="H496" s="0" t="s">
        <v>294</v>
      </c>
      <c r="I496" s="0" t="s">
        <v>322</v>
      </c>
      <c r="P496" s="0" t="s">
        <v>343</v>
      </c>
      <c r="Q496" s="0" t="s">
        <v>343</v>
      </c>
      <c r="U496" s="0" t="s">
        <v>4156</v>
      </c>
      <c r="W496" s="0" t="s">
        <v>4024</v>
      </c>
      <c r="X496" s="0" t="s">
        <v>298</v>
      </c>
      <c r="Y496" s="0" t="s">
        <v>159</v>
      </c>
      <c r="Z496" s="0" t="s">
        <v>4025</v>
      </c>
      <c r="AA496" s="0" t="s">
        <v>158</v>
      </c>
      <c r="AB496" s="0" t="s">
        <v>531</v>
      </c>
      <c r="AC496" s="0" t="s">
        <v>532</v>
      </c>
      <c r="AD496" s="0" t="s">
        <v>4026</v>
      </c>
      <c r="AE496" s="0" t="s">
        <v>4027</v>
      </c>
      <c r="AF496" s="0" t="s">
        <v>301</v>
      </c>
      <c r="AM496" s="0" t="s">
        <v>422</v>
      </c>
      <c r="AN496" s="0" t="s">
        <v>4157</v>
      </c>
      <c r="AO496" s="0" t="s">
        <v>487</v>
      </c>
      <c r="AP496" s="0" t="s">
        <v>305</v>
      </c>
      <c r="AQ496" s="0" t="s">
        <v>307</v>
      </c>
      <c r="AR496" s="0" t="s">
        <v>424</v>
      </c>
      <c r="AS496" s="0">
        <v>205</v>
      </c>
      <c r="AT496" s="0">
        <v>404</v>
      </c>
      <c r="AU496" s="0">
        <v>474</v>
      </c>
      <c r="AV496" s="0" t="s">
        <v>332</v>
      </c>
      <c r="AW496" s="0" t="s">
        <v>332</v>
      </c>
      <c r="AX496" s="0" t="s">
        <v>4158</v>
      </c>
      <c r="AY496" s="0" t="s">
        <v>426</v>
      </c>
      <c r="AZ496" s="0" t="s">
        <v>2742</v>
      </c>
      <c r="BA496" s="0">
        <v>486</v>
      </c>
      <c r="BB496" s="0" t="s">
        <v>232</v>
      </c>
      <c r="BC496" s="0">
        <v>2</v>
      </c>
      <c r="BD496" s="0">
        <v>15</v>
      </c>
      <c r="BE496" s="0">
        <v>519131</v>
      </c>
      <c r="BF496" s="0">
        <v>5</v>
      </c>
      <c r="BG496" s="0" t="s">
        <v>4159</v>
      </c>
      <c r="BI496" s="0">
        <v>4644</v>
      </c>
      <c r="BK496" s="0" t="s">
        <v>4160</v>
      </c>
    </row>
    <row r="497">
      <c r="A497" s="0">
        <v>5095</v>
      </c>
      <c r="B497" s="0" t="s">
        <v>1895</v>
      </c>
      <c r="C497" s="0" t="s">
        <v>916</v>
      </c>
      <c r="D497" s="0" t="s">
        <v>4021</v>
      </c>
      <c r="E497" s="0" t="s">
        <v>1896</v>
      </c>
      <c r="F497" s="0">
        <v>1</v>
      </c>
      <c r="G497" s="0" t="s">
        <v>293</v>
      </c>
      <c r="H497" s="0" t="s">
        <v>294</v>
      </c>
      <c r="I497" s="0" t="s">
        <v>295</v>
      </c>
      <c r="P497" s="0" t="s">
        <v>343</v>
      </c>
      <c r="Q497" s="0" t="s">
        <v>343</v>
      </c>
      <c r="U497" s="0" t="s">
        <v>4161</v>
      </c>
      <c r="W497" s="0" t="s">
        <v>4024</v>
      </c>
      <c r="X497" s="0" t="s">
        <v>298</v>
      </c>
      <c r="Y497" s="0" t="s">
        <v>159</v>
      </c>
      <c r="Z497" s="0" t="s">
        <v>4025</v>
      </c>
      <c r="AA497" s="0" t="s">
        <v>158</v>
      </c>
      <c r="AB497" s="0" t="s">
        <v>531</v>
      </c>
      <c r="AC497" s="0" t="s">
        <v>532</v>
      </c>
      <c r="AD497" s="0" t="s">
        <v>4026</v>
      </c>
      <c r="AE497" s="0" t="s">
        <v>4027</v>
      </c>
      <c r="AF497" s="0" t="s">
        <v>301</v>
      </c>
      <c r="AM497" s="0" t="s">
        <v>422</v>
      </c>
      <c r="AN497" s="0" t="s">
        <v>4157</v>
      </c>
      <c r="AO497" s="0" t="s">
        <v>487</v>
      </c>
      <c r="AP497" s="0" t="s">
        <v>305</v>
      </c>
      <c r="AQ497" s="0" t="s">
        <v>307</v>
      </c>
      <c r="AR497" s="0" t="s">
        <v>424</v>
      </c>
      <c r="AS497" s="0">
        <v>205</v>
      </c>
      <c r="AT497" s="0">
        <v>404</v>
      </c>
      <c r="AU497" s="0">
        <v>474</v>
      </c>
      <c r="AV497" s="0" t="s">
        <v>332</v>
      </c>
      <c r="AW497" s="0" t="s">
        <v>332</v>
      </c>
      <c r="AX497" s="0" t="s">
        <v>4158</v>
      </c>
      <c r="AY497" s="0" t="s">
        <v>426</v>
      </c>
      <c r="AZ497" s="0" t="s">
        <v>2742</v>
      </c>
      <c r="BA497" s="0">
        <v>486</v>
      </c>
      <c r="BB497" s="0" t="s">
        <v>232</v>
      </c>
      <c r="BC497" s="0">
        <v>2</v>
      </c>
      <c r="BD497" s="0">
        <v>15</v>
      </c>
      <c r="BE497" s="0">
        <v>519131</v>
      </c>
      <c r="BF497" s="0">
        <v>5</v>
      </c>
      <c r="BG497" s="0" t="s">
        <v>4162</v>
      </c>
      <c r="BI497" s="0">
        <v>4605</v>
      </c>
      <c r="BK497" s="0" t="s">
        <v>4163</v>
      </c>
    </row>
    <row r="498">
      <c r="A498" s="0">
        <v>5097</v>
      </c>
      <c r="C498" s="0" t="s">
        <v>315</v>
      </c>
      <c r="D498" s="0" t="s">
        <v>4021</v>
      </c>
      <c r="E498" s="0" t="s">
        <v>4164</v>
      </c>
      <c r="F498" s="0">
        <v>1</v>
      </c>
      <c r="G498" s="0" t="s">
        <v>293</v>
      </c>
      <c r="H498" s="0" t="s">
        <v>294</v>
      </c>
      <c r="I498" s="0" t="s">
        <v>295</v>
      </c>
      <c r="J498" s="0" t="s">
        <v>543</v>
      </c>
      <c r="K498" s="0" t="s">
        <v>1112</v>
      </c>
      <c r="L498" s="0" t="s">
        <v>729</v>
      </c>
      <c r="P498" s="0" t="s">
        <v>343</v>
      </c>
      <c r="Q498" s="0" t="s">
        <v>343</v>
      </c>
      <c r="T498" s="0" t="s">
        <v>4165</v>
      </c>
      <c r="U498" s="0" t="s">
        <v>4166</v>
      </c>
      <c r="W498" s="0" t="s">
        <v>4024</v>
      </c>
      <c r="X498" s="0" t="s">
        <v>298</v>
      </c>
      <c r="Y498" s="0" t="s">
        <v>159</v>
      </c>
      <c r="Z498" s="0" t="s">
        <v>4025</v>
      </c>
      <c r="AA498" s="0" t="s">
        <v>158</v>
      </c>
      <c r="AB498" s="0" t="s">
        <v>531</v>
      </c>
      <c r="AC498" s="0" t="s">
        <v>532</v>
      </c>
      <c r="AD498" s="0" t="s">
        <v>4026</v>
      </c>
      <c r="AE498" s="0" t="s">
        <v>4027</v>
      </c>
      <c r="AF498" s="0" t="s">
        <v>301</v>
      </c>
      <c r="AP498" s="0" t="s">
        <v>305</v>
      </c>
      <c r="BA498" s="0">
        <v>486</v>
      </c>
      <c r="BB498" s="0" t="s">
        <v>232</v>
      </c>
      <c r="BC498" s="0">
        <v>2</v>
      </c>
      <c r="BD498" s="0">
        <v>374043</v>
      </c>
      <c r="BE498" s="0">
        <v>519131</v>
      </c>
      <c r="BF498" s="0">
        <v>5</v>
      </c>
      <c r="BG498" s="0" t="s">
        <v>4167</v>
      </c>
      <c r="BI498" s="0">
        <v>4674</v>
      </c>
      <c r="BK498" s="0" t="s">
        <v>4168</v>
      </c>
    </row>
    <row r="499">
      <c r="A499" s="0">
        <v>5075</v>
      </c>
      <c r="C499" s="0" t="s">
        <v>656</v>
      </c>
      <c r="D499" s="0" t="s">
        <v>4021</v>
      </c>
      <c r="E499" s="0" t="s">
        <v>4169</v>
      </c>
      <c r="F499" s="0">
        <v>2</v>
      </c>
      <c r="G499" s="0" t="s">
        <v>293</v>
      </c>
      <c r="H499" s="0" t="s">
        <v>294</v>
      </c>
      <c r="I499" s="0" t="s">
        <v>295</v>
      </c>
      <c r="J499" s="0" t="s">
        <v>543</v>
      </c>
      <c r="K499" s="0" t="s">
        <v>1112</v>
      </c>
      <c r="L499" s="0" t="s">
        <v>4069</v>
      </c>
      <c r="P499" s="0" t="s">
        <v>343</v>
      </c>
      <c r="Q499" s="0" t="s">
        <v>343</v>
      </c>
      <c r="U499" s="0" t="s">
        <v>4170</v>
      </c>
      <c r="W499" s="0" t="s">
        <v>4024</v>
      </c>
      <c r="X499" s="0" t="s">
        <v>298</v>
      </c>
      <c r="Y499" s="0" t="s">
        <v>159</v>
      </c>
      <c r="Z499" s="0" t="s">
        <v>4025</v>
      </c>
      <c r="AA499" s="0" t="s">
        <v>158</v>
      </c>
      <c r="AB499" s="0" t="s">
        <v>531</v>
      </c>
      <c r="AC499" s="0" t="s">
        <v>532</v>
      </c>
      <c r="AD499" s="0" t="s">
        <v>4026</v>
      </c>
      <c r="AE499" s="0" t="s">
        <v>4027</v>
      </c>
      <c r="AF499" s="0" t="s">
        <v>301</v>
      </c>
      <c r="AP499" s="0" t="s">
        <v>305</v>
      </c>
      <c r="BA499" s="0">
        <v>486</v>
      </c>
      <c r="BB499" s="0" t="s">
        <v>232</v>
      </c>
      <c r="BC499" s="0">
        <v>2</v>
      </c>
      <c r="BD499" s="0">
        <v>10</v>
      </c>
      <c r="BE499" s="0">
        <v>519131</v>
      </c>
      <c r="BF499" s="0">
        <v>5</v>
      </c>
      <c r="BG499" s="0" t="s">
        <v>4171</v>
      </c>
      <c r="BI499" s="0">
        <v>2753</v>
      </c>
      <c r="BK499" s="0" t="s">
        <v>4172</v>
      </c>
    </row>
    <row r="500">
      <c r="A500" s="0">
        <v>5076</v>
      </c>
      <c r="C500" s="0" t="s">
        <v>656</v>
      </c>
      <c r="D500" s="0" t="s">
        <v>4021</v>
      </c>
      <c r="E500" s="0" t="s">
        <v>4173</v>
      </c>
      <c r="F500" s="0">
        <v>2</v>
      </c>
      <c r="G500" s="0" t="s">
        <v>293</v>
      </c>
      <c r="H500" s="0" t="s">
        <v>294</v>
      </c>
      <c r="I500" s="0" t="s">
        <v>295</v>
      </c>
      <c r="J500" s="0" t="s">
        <v>543</v>
      </c>
      <c r="K500" s="0" t="s">
        <v>1112</v>
      </c>
      <c r="L500" s="0" t="s">
        <v>4069</v>
      </c>
      <c r="P500" s="0" t="s">
        <v>343</v>
      </c>
      <c r="Q500" s="0" t="s">
        <v>343</v>
      </c>
      <c r="U500" s="0" t="s">
        <v>4174</v>
      </c>
      <c r="W500" s="0" t="s">
        <v>4024</v>
      </c>
      <c r="X500" s="0" t="s">
        <v>298</v>
      </c>
      <c r="Y500" s="0" t="s">
        <v>159</v>
      </c>
      <c r="Z500" s="0" t="s">
        <v>4025</v>
      </c>
      <c r="AA500" s="0" t="s">
        <v>158</v>
      </c>
      <c r="AB500" s="0" t="s">
        <v>531</v>
      </c>
      <c r="AC500" s="0" t="s">
        <v>532</v>
      </c>
      <c r="AD500" s="0" t="s">
        <v>4026</v>
      </c>
      <c r="AE500" s="0" t="s">
        <v>4027</v>
      </c>
      <c r="AF500" s="0" t="s">
        <v>301</v>
      </c>
      <c r="AP500" s="0" t="s">
        <v>305</v>
      </c>
      <c r="BA500" s="0">
        <v>486</v>
      </c>
      <c r="BB500" s="0" t="s">
        <v>232</v>
      </c>
      <c r="BC500" s="0">
        <v>2</v>
      </c>
      <c r="BD500" s="0">
        <v>10</v>
      </c>
      <c r="BE500" s="0">
        <v>519131</v>
      </c>
      <c r="BF500" s="0">
        <v>5</v>
      </c>
      <c r="BG500" s="0" t="s">
        <v>4175</v>
      </c>
      <c r="BI500" s="0">
        <v>2926</v>
      </c>
      <c r="BK500" s="0" t="s">
        <v>4176</v>
      </c>
    </row>
    <row r="501">
      <c r="A501" s="0">
        <v>5080</v>
      </c>
      <c r="B501" s="0" t="s">
        <v>4177</v>
      </c>
      <c r="C501" s="0" t="s">
        <v>945</v>
      </c>
      <c r="D501" s="0" t="s">
        <v>4021</v>
      </c>
      <c r="E501" s="0" t="s">
        <v>4178</v>
      </c>
      <c r="F501" s="0">
        <v>1</v>
      </c>
      <c r="G501" s="0" t="s">
        <v>594</v>
      </c>
      <c r="H501" s="0" t="s">
        <v>508</v>
      </c>
      <c r="I501" s="0" t="s">
        <v>1268</v>
      </c>
      <c r="J501" s="0" t="s">
        <v>319</v>
      </c>
      <c r="K501" s="0" t="s">
        <v>523</v>
      </c>
      <c r="L501" s="0" t="s">
        <v>1268</v>
      </c>
      <c r="P501" s="0" t="s">
        <v>343</v>
      </c>
      <c r="Q501" s="0" t="s">
        <v>343</v>
      </c>
      <c r="U501" s="0" t="s">
        <v>4179</v>
      </c>
      <c r="W501" s="0" t="s">
        <v>4024</v>
      </c>
      <c r="X501" s="0" t="s">
        <v>298</v>
      </c>
      <c r="Y501" s="0" t="s">
        <v>159</v>
      </c>
      <c r="Z501" s="0" t="s">
        <v>4025</v>
      </c>
      <c r="AA501" s="0" t="s">
        <v>158</v>
      </c>
      <c r="AB501" s="0" t="s">
        <v>531</v>
      </c>
      <c r="AC501" s="0" t="s">
        <v>532</v>
      </c>
      <c r="AD501" s="0" t="s">
        <v>4026</v>
      </c>
      <c r="AE501" s="0" t="s">
        <v>4027</v>
      </c>
      <c r="AF501" s="0" t="s">
        <v>301</v>
      </c>
      <c r="AP501" s="0" t="s">
        <v>305</v>
      </c>
      <c r="BA501" s="0">
        <v>486</v>
      </c>
      <c r="BB501" s="0" t="s">
        <v>232</v>
      </c>
      <c r="BC501" s="0">
        <v>2</v>
      </c>
      <c r="BD501" s="0">
        <v>14</v>
      </c>
      <c r="BE501" s="0">
        <v>519131</v>
      </c>
      <c r="BF501" s="0">
        <v>5</v>
      </c>
      <c r="BG501" s="0" t="s">
        <v>4180</v>
      </c>
      <c r="BI501" s="0">
        <v>3505</v>
      </c>
      <c r="BK501" s="0" t="s">
        <v>4181</v>
      </c>
    </row>
    <row r="502">
      <c r="A502" s="0">
        <v>5109</v>
      </c>
      <c r="B502" s="0" t="s">
        <v>4182</v>
      </c>
      <c r="C502" s="0" t="s">
        <v>656</v>
      </c>
      <c r="D502" s="0" t="s">
        <v>3966</v>
      </c>
      <c r="E502" s="0" t="s">
        <v>4183</v>
      </c>
      <c r="F502" s="0">
        <v>1</v>
      </c>
      <c r="G502" s="0" t="s">
        <v>293</v>
      </c>
      <c r="H502" s="0" t="s">
        <v>294</v>
      </c>
      <c r="I502" s="0" t="s">
        <v>295</v>
      </c>
      <c r="R502" s="0" t="s">
        <v>1021</v>
      </c>
      <c r="T502" s="0" t="s">
        <v>4184</v>
      </c>
      <c r="W502" s="0" t="s">
        <v>4185</v>
      </c>
      <c r="X502" s="0" t="s">
        <v>529</v>
      </c>
      <c r="Y502" s="0" t="s">
        <v>56</v>
      </c>
      <c r="Z502" s="0" t="s">
        <v>570</v>
      </c>
      <c r="AA502" s="0" t="s">
        <v>174</v>
      </c>
      <c r="AB502" s="0" t="s">
        <v>531</v>
      </c>
      <c r="AC502" s="0" t="s">
        <v>571</v>
      </c>
      <c r="AD502" s="0" t="s">
        <v>4186</v>
      </c>
      <c r="AF502" s="0" t="s">
        <v>301</v>
      </c>
      <c r="AP502" s="0" t="s">
        <v>305</v>
      </c>
      <c r="BA502" s="0">
        <v>487</v>
      </c>
      <c r="BB502" s="0" t="s">
        <v>232</v>
      </c>
      <c r="BC502" s="0">
        <v>2</v>
      </c>
      <c r="BD502" s="0">
        <v>10</v>
      </c>
      <c r="BE502" s="0">
        <v>519203</v>
      </c>
      <c r="BF502" s="0">
        <v>2</v>
      </c>
      <c r="BG502" s="0" t="s">
        <v>4187</v>
      </c>
      <c r="BI502" s="0">
        <v>2568</v>
      </c>
      <c r="BK502" s="0" t="s">
        <v>4188</v>
      </c>
    </row>
    <row r="503">
      <c r="A503" s="0">
        <v>5104</v>
      </c>
      <c r="B503" s="0" t="s">
        <v>4189</v>
      </c>
      <c r="C503" s="0" t="s">
        <v>656</v>
      </c>
      <c r="D503" s="0" t="s">
        <v>3255</v>
      </c>
      <c r="E503" s="0" t="s">
        <v>4190</v>
      </c>
      <c r="F503" s="0">
        <v>1</v>
      </c>
      <c r="G503" s="0" t="s">
        <v>4191</v>
      </c>
      <c r="I503" s="0" t="s">
        <v>295</v>
      </c>
      <c r="P503" s="0" t="s">
        <v>4192</v>
      </c>
      <c r="Q503" s="0" t="s">
        <v>4192</v>
      </c>
      <c r="R503" s="0" t="s">
        <v>880</v>
      </c>
      <c r="T503" s="0" t="s">
        <v>4193</v>
      </c>
      <c r="U503" s="0" t="s">
        <v>4194</v>
      </c>
      <c r="W503" s="0" t="s">
        <v>4185</v>
      </c>
      <c r="X503" s="0" t="s">
        <v>529</v>
      </c>
      <c r="Y503" s="0" t="s">
        <v>56</v>
      </c>
      <c r="Z503" s="0" t="s">
        <v>570</v>
      </c>
      <c r="AA503" s="0" t="s">
        <v>174</v>
      </c>
      <c r="AB503" s="0" t="s">
        <v>531</v>
      </c>
      <c r="AC503" s="0" t="s">
        <v>571</v>
      </c>
      <c r="AD503" s="0" t="s">
        <v>4186</v>
      </c>
      <c r="AF503" s="0" t="s">
        <v>301</v>
      </c>
      <c r="AP503" s="0" t="s">
        <v>305</v>
      </c>
      <c r="BA503" s="0">
        <v>487</v>
      </c>
      <c r="BB503" s="0" t="s">
        <v>232</v>
      </c>
      <c r="BC503" s="0">
        <v>2</v>
      </c>
      <c r="BD503" s="0">
        <v>10</v>
      </c>
      <c r="BE503" s="0">
        <v>519203</v>
      </c>
      <c r="BF503" s="0">
        <v>2</v>
      </c>
      <c r="BG503" s="0" t="s">
        <v>4195</v>
      </c>
      <c r="BI503" s="0">
        <v>1409</v>
      </c>
      <c r="BK503" s="0" t="s">
        <v>4196</v>
      </c>
    </row>
    <row r="504">
      <c r="A504" s="0">
        <v>5105</v>
      </c>
      <c r="B504" s="0" t="s">
        <v>4197</v>
      </c>
      <c r="C504" s="0" t="s">
        <v>656</v>
      </c>
      <c r="D504" s="0" t="s">
        <v>3966</v>
      </c>
      <c r="E504" s="0" t="s">
        <v>4198</v>
      </c>
      <c r="F504" s="0">
        <v>1</v>
      </c>
      <c r="G504" s="0" t="s">
        <v>4191</v>
      </c>
      <c r="I504" s="0" t="s">
        <v>295</v>
      </c>
      <c r="P504" s="0" t="s">
        <v>4192</v>
      </c>
      <c r="Q504" s="0" t="s">
        <v>4192</v>
      </c>
      <c r="R504" s="0" t="s">
        <v>880</v>
      </c>
      <c r="T504" s="0" t="s">
        <v>4199</v>
      </c>
      <c r="U504" s="0" t="s">
        <v>4200</v>
      </c>
      <c r="W504" s="0" t="s">
        <v>4185</v>
      </c>
      <c r="X504" s="0" t="s">
        <v>529</v>
      </c>
      <c r="Y504" s="0" t="s">
        <v>56</v>
      </c>
      <c r="Z504" s="0" t="s">
        <v>570</v>
      </c>
      <c r="AA504" s="0" t="s">
        <v>174</v>
      </c>
      <c r="AB504" s="0" t="s">
        <v>531</v>
      </c>
      <c r="AC504" s="0" t="s">
        <v>571</v>
      </c>
      <c r="AD504" s="0" t="s">
        <v>4186</v>
      </c>
      <c r="AF504" s="0" t="s">
        <v>301</v>
      </c>
      <c r="AP504" s="0" t="s">
        <v>305</v>
      </c>
      <c r="BA504" s="0">
        <v>487</v>
      </c>
      <c r="BB504" s="0" t="s">
        <v>232</v>
      </c>
      <c r="BC504" s="0">
        <v>2</v>
      </c>
      <c r="BD504" s="0">
        <v>10</v>
      </c>
      <c r="BE504" s="0">
        <v>519203</v>
      </c>
      <c r="BF504" s="0">
        <v>2</v>
      </c>
      <c r="BG504" s="0" t="s">
        <v>4201</v>
      </c>
      <c r="BI504" s="0">
        <v>1678</v>
      </c>
      <c r="BK504" s="0" t="s">
        <v>4202</v>
      </c>
    </row>
    <row r="505">
      <c r="A505" s="0">
        <v>5103</v>
      </c>
      <c r="B505" s="0" t="s">
        <v>4203</v>
      </c>
      <c r="C505" s="0" t="s">
        <v>656</v>
      </c>
      <c r="D505" s="0" t="s">
        <v>3255</v>
      </c>
      <c r="E505" s="0" t="s">
        <v>4204</v>
      </c>
      <c r="F505" s="0">
        <v>1</v>
      </c>
      <c r="G505" s="0" t="s">
        <v>4191</v>
      </c>
      <c r="I505" s="0" t="s">
        <v>295</v>
      </c>
      <c r="P505" s="0" t="s">
        <v>4192</v>
      </c>
      <c r="Q505" s="0" t="s">
        <v>4192</v>
      </c>
      <c r="R505" s="0" t="s">
        <v>880</v>
      </c>
      <c r="T505" s="0" t="s">
        <v>4205</v>
      </c>
      <c r="U505" s="0" t="s">
        <v>4206</v>
      </c>
      <c r="W505" s="0" t="s">
        <v>4185</v>
      </c>
      <c r="X505" s="0" t="s">
        <v>529</v>
      </c>
      <c r="Y505" s="0" t="s">
        <v>56</v>
      </c>
      <c r="Z505" s="0" t="s">
        <v>570</v>
      </c>
      <c r="AA505" s="0" t="s">
        <v>174</v>
      </c>
      <c r="AB505" s="0" t="s">
        <v>531</v>
      </c>
      <c r="AC505" s="0" t="s">
        <v>571</v>
      </c>
      <c r="AD505" s="0" t="s">
        <v>4186</v>
      </c>
      <c r="AF505" s="0" t="s">
        <v>301</v>
      </c>
      <c r="AP505" s="0" t="s">
        <v>305</v>
      </c>
      <c r="BA505" s="0">
        <v>487</v>
      </c>
      <c r="BB505" s="0" t="s">
        <v>232</v>
      </c>
      <c r="BC505" s="0">
        <v>2</v>
      </c>
      <c r="BD505" s="0">
        <v>10</v>
      </c>
      <c r="BE505" s="0">
        <v>519203</v>
      </c>
      <c r="BF505" s="0">
        <v>2</v>
      </c>
      <c r="BG505" s="0" t="s">
        <v>4207</v>
      </c>
      <c r="BI505" s="0">
        <v>1100</v>
      </c>
      <c r="BK505" s="0" t="s">
        <v>4208</v>
      </c>
    </row>
    <row r="506">
      <c r="A506" s="0">
        <v>5102</v>
      </c>
      <c r="B506" s="0" t="s">
        <v>4209</v>
      </c>
      <c r="C506" s="0" t="s">
        <v>656</v>
      </c>
      <c r="D506" s="0" t="s">
        <v>3255</v>
      </c>
      <c r="E506" s="0" t="s">
        <v>4210</v>
      </c>
      <c r="F506" s="0">
        <v>1</v>
      </c>
      <c r="G506" s="0" t="s">
        <v>4191</v>
      </c>
      <c r="I506" s="0" t="s">
        <v>295</v>
      </c>
      <c r="P506" s="0" t="s">
        <v>4192</v>
      </c>
      <c r="Q506" s="0" t="s">
        <v>4192</v>
      </c>
      <c r="R506" s="0" t="s">
        <v>880</v>
      </c>
      <c r="T506" s="0" t="s">
        <v>4211</v>
      </c>
      <c r="U506" s="0" t="s">
        <v>4212</v>
      </c>
      <c r="W506" s="0" t="s">
        <v>4185</v>
      </c>
      <c r="X506" s="0" t="s">
        <v>529</v>
      </c>
      <c r="Y506" s="0" t="s">
        <v>56</v>
      </c>
      <c r="Z506" s="0" t="s">
        <v>570</v>
      </c>
      <c r="AA506" s="0" t="s">
        <v>174</v>
      </c>
      <c r="AB506" s="0" t="s">
        <v>531</v>
      </c>
      <c r="AC506" s="0" t="s">
        <v>571</v>
      </c>
      <c r="AD506" s="0" t="s">
        <v>4186</v>
      </c>
      <c r="AF506" s="0" t="s">
        <v>301</v>
      </c>
      <c r="AP506" s="0" t="s">
        <v>305</v>
      </c>
      <c r="BA506" s="0">
        <v>487</v>
      </c>
      <c r="BB506" s="0" t="s">
        <v>232</v>
      </c>
      <c r="BC506" s="0">
        <v>2</v>
      </c>
      <c r="BD506" s="0">
        <v>10</v>
      </c>
      <c r="BE506" s="0">
        <v>519203</v>
      </c>
      <c r="BF506" s="0">
        <v>2</v>
      </c>
      <c r="BG506" s="0" t="s">
        <v>4213</v>
      </c>
      <c r="BI506" s="0">
        <v>767</v>
      </c>
      <c r="BK506" s="0" t="s">
        <v>4214</v>
      </c>
    </row>
    <row r="507">
      <c r="A507" s="0">
        <v>5106</v>
      </c>
      <c r="B507" s="0" t="s">
        <v>4215</v>
      </c>
      <c r="C507" s="0" t="s">
        <v>290</v>
      </c>
      <c r="D507" s="0" t="s">
        <v>3255</v>
      </c>
      <c r="E507" s="0" t="s">
        <v>4216</v>
      </c>
      <c r="F507" s="0">
        <v>1</v>
      </c>
      <c r="G507" s="0" t="s">
        <v>4191</v>
      </c>
      <c r="I507" s="0" t="s">
        <v>295</v>
      </c>
      <c r="J507" s="0" t="s">
        <v>592</v>
      </c>
      <c r="L507" s="0" t="s">
        <v>4217</v>
      </c>
      <c r="T507" s="0" t="s">
        <v>4218</v>
      </c>
      <c r="W507" s="0" t="s">
        <v>4185</v>
      </c>
      <c r="X507" s="0" t="s">
        <v>529</v>
      </c>
      <c r="Y507" s="0" t="s">
        <v>56</v>
      </c>
      <c r="Z507" s="0" t="s">
        <v>570</v>
      </c>
      <c r="AA507" s="0" t="s">
        <v>174</v>
      </c>
      <c r="AB507" s="0" t="s">
        <v>531</v>
      </c>
      <c r="AC507" s="0" t="s">
        <v>571</v>
      </c>
      <c r="AD507" s="0" t="s">
        <v>4186</v>
      </c>
      <c r="AF507" s="0" t="s">
        <v>301</v>
      </c>
      <c r="AP507" s="0" t="s">
        <v>305</v>
      </c>
      <c r="BA507" s="0">
        <v>487</v>
      </c>
      <c r="BB507" s="0" t="s">
        <v>232</v>
      </c>
      <c r="BC507" s="0">
        <v>2</v>
      </c>
      <c r="BD507" s="0">
        <v>374053</v>
      </c>
      <c r="BE507" s="0">
        <v>519203</v>
      </c>
      <c r="BF507" s="0">
        <v>2</v>
      </c>
      <c r="BG507" s="0" t="s">
        <v>4219</v>
      </c>
      <c r="BI507" s="0">
        <v>1923</v>
      </c>
      <c r="BK507" s="0" t="s">
        <v>4220</v>
      </c>
    </row>
    <row r="508">
      <c r="A508" s="0">
        <v>5108</v>
      </c>
      <c r="B508" s="0" t="s">
        <v>4221</v>
      </c>
      <c r="C508" s="0" t="s">
        <v>656</v>
      </c>
      <c r="D508" s="0" t="s">
        <v>3255</v>
      </c>
      <c r="E508" s="0" t="s">
        <v>4222</v>
      </c>
      <c r="F508" s="0">
        <v>1</v>
      </c>
      <c r="G508" s="0" t="s">
        <v>4191</v>
      </c>
      <c r="I508" s="0" t="s">
        <v>4223</v>
      </c>
      <c r="R508" s="0" t="s">
        <v>324</v>
      </c>
      <c r="T508" s="0" t="s">
        <v>4224</v>
      </c>
      <c r="U508" s="0" t="s">
        <v>4225</v>
      </c>
      <c r="W508" s="0" t="s">
        <v>4185</v>
      </c>
      <c r="X508" s="0" t="s">
        <v>529</v>
      </c>
      <c r="Y508" s="0" t="s">
        <v>56</v>
      </c>
      <c r="Z508" s="0" t="s">
        <v>570</v>
      </c>
      <c r="AA508" s="0" t="s">
        <v>174</v>
      </c>
      <c r="AB508" s="0" t="s">
        <v>531</v>
      </c>
      <c r="AC508" s="0" t="s">
        <v>571</v>
      </c>
      <c r="AD508" s="0" t="s">
        <v>4186</v>
      </c>
      <c r="AF508" s="0" t="s">
        <v>301</v>
      </c>
      <c r="AP508" s="0" t="s">
        <v>305</v>
      </c>
      <c r="BA508" s="0">
        <v>487</v>
      </c>
      <c r="BB508" s="0" t="s">
        <v>232</v>
      </c>
      <c r="BC508" s="0">
        <v>2</v>
      </c>
      <c r="BD508" s="0">
        <v>10</v>
      </c>
      <c r="BE508" s="0">
        <v>519203</v>
      </c>
      <c r="BF508" s="0">
        <v>2</v>
      </c>
      <c r="BG508" s="0" t="s">
        <v>4226</v>
      </c>
      <c r="BI508" s="0">
        <v>2371</v>
      </c>
      <c r="BK508" s="0" t="s">
        <v>4227</v>
      </c>
    </row>
    <row r="509">
      <c r="A509" s="0">
        <v>5107</v>
      </c>
      <c r="B509" s="0" t="s">
        <v>4228</v>
      </c>
      <c r="C509" s="0" t="s">
        <v>656</v>
      </c>
      <c r="D509" s="0" t="s">
        <v>3255</v>
      </c>
      <c r="E509" s="0" t="s">
        <v>4229</v>
      </c>
      <c r="F509" s="0">
        <v>1</v>
      </c>
      <c r="G509" s="0" t="s">
        <v>4191</v>
      </c>
      <c r="I509" s="0" t="s">
        <v>4223</v>
      </c>
      <c r="R509" s="0" t="s">
        <v>324</v>
      </c>
      <c r="T509" s="0" t="s">
        <v>4230</v>
      </c>
      <c r="U509" s="0" t="s">
        <v>4231</v>
      </c>
      <c r="W509" s="0" t="s">
        <v>4185</v>
      </c>
      <c r="X509" s="0" t="s">
        <v>529</v>
      </c>
      <c r="Y509" s="0" t="s">
        <v>56</v>
      </c>
      <c r="Z509" s="0" t="s">
        <v>570</v>
      </c>
      <c r="AA509" s="0" t="s">
        <v>174</v>
      </c>
      <c r="AB509" s="0" t="s">
        <v>531</v>
      </c>
      <c r="AC509" s="0" t="s">
        <v>571</v>
      </c>
      <c r="AD509" s="0" t="s">
        <v>4186</v>
      </c>
      <c r="AF509" s="0" t="s">
        <v>301</v>
      </c>
      <c r="AP509" s="0" t="s">
        <v>305</v>
      </c>
      <c r="BA509" s="0">
        <v>487</v>
      </c>
      <c r="BB509" s="0" t="s">
        <v>232</v>
      </c>
      <c r="BC509" s="0">
        <v>2</v>
      </c>
      <c r="BD509" s="0">
        <v>10</v>
      </c>
      <c r="BE509" s="0">
        <v>519203</v>
      </c>
      <c r="BF509" s="0">
        <v>2</v>
      </c>
      <c r="BG509" s="0" t="s">
        <v>4232</v>
      </c>
      <c r="BI509" s="0">
        <v>2155</v>
      </c>
      <c r="BK509" s="0" t="s">
        <v>4233</v>
      </c>
    </row>
    <row r="510">
      <c r="A510" s="0">
        <v>5121</v>
      </c>
      <c r="B510" s="0" t="s">
        <v>4234</v>
      </c>
      <c r="C510" s="0" t="s">
        <v>315</v>
      </c>
      <c r="D510" s="0" t="s">
        <v>3966</v>
      </c>
      <c r="E510" s="0" t="s">
        <v>4235</v>
      </c>
      <c r="F510" s="0">
        <v>1</v>
      </c>
      <c r="G510" s="0" t="s">
        <v>555</v>
      </c>
      <c r="H510" s="0" t="s">
        <v>593</v>
      </c>
      <c r="I510" s="0" t="s">
        <v>1683</v>
      </c>
      <c r="J510" s="0" t="s">
        <v>293</v>
      </c>
      <c r="K510" s="0" t="s">
        <v>294</v>
      </c>
      <c r="L510" s="0" t="s">
        <v>295</v>
      </c>
      <c r="P510" s="0" t="s">
        <v>323</v>
      </c>
      <c r="Q510" s="0" t="s">
        <v>323</v>
      </c>
      <c r="R510" s="0" t="s">
        <v>4236</v>
      </c>
      <c r="T510" s="0" t="s">
        <v>4237</v>
      </c>
      <c r="W510" s="0" t="s">
        <v>4185</v>
      </c>
      <c r="X510" s="0" t="s">
        <v>529</v>
      </c>
      <c r="Y510" s="0" t="s">
        <v>56</v>
      </c>
      <c r="Z510" s="0" t="s">
        <v>570</v>
      </c>
      <c r="AA510" s="0" t="s">
        <v>174</v>
      </c>
      <c r="AB510" s="0" t="s">
        <v>531</v>
      </c>
      <c r="AC510" s="0" t="s">
        <v>571</v>
      </c>
      <c r="AD510" s="0" t="s">
        <v>4186</v>
      </c>
      <c r="AF510" s="0" t="s">
        <v>301</v>
      </c>
      <c r="AP510" s="0" t="s">
        <v>305</v>
      </c>
      <c r="BA510" s="0">
        <v>487</v>
      </c>
      <c r="BB510" s="0" t="s">
        <v>232</v>
      </c>
      <c r="BC510" s="0">
        <v>2</v>
      </c>
      <c r="BD510" s="0">
        <v>374043</v>
      </c>
      <c r="BE510" s="0">
        <v>519203</v>
      </c>
      <c r="BF510" s="0">
        <v>2</v>
      </c>
      <c r="BG510" s="0" t="s">
        <v>4238</v>
      </c>
      <c r="BI510" s="0">
        <v>4079</v>
      </c>
      <c r="BK510" s="0" t="s">
        <v>4239</v>
      </c>
    </row>
    <row r="511">
      <c r="A511" s="0">
        <v>5123</v>
      </c>
      <c r="B511" s="0" t="s">
        <v>4240</v>
      </c>
      <c r="C511" s="0" t="s">
        <v>315</v>
      </c>
      <c r="D511" s="0" t="s">
        <v>3966</v>
      </c>
      <c r="E511" s="0" t="s">
        <v>4241</v>
      </c>
      <c r="F511" s="0">
        <v>1</v>
      </c>
      <c r="G511" s="0" t="s">
        <v>555</v>
      </c>
      <c r="H511" s="0" t="s">
        <v>593</v>
      </c>
      <c r="I511" s="0" t="s">
        <v>1683</v>
      </c>
      <c r="J511" s="0" t="s">
        <v>293</v>
      </c>
      <c r="K511" s="0" t="s">
        <v>294</v>
      </c>
      <c r="L511" s="0" t="s">
        <v>295</v>
      </c>
      <c r="P511" s="0" t="s">
        <v>323</v>
      </c>
      <c r="Q511" s="0" t="s">
        <v>323</v>
      </c>
      <c r="R511" s="0" t="s">
        <v>4236</v>
      </c>
      <c r="T511" s="0" t="s">
        <v>4242</v>
      </c>
      <c r="W511" s="0" t="s">
        <v>4185</v>
      </c>
      <c r="X511" s="0" t="s">
        <v>529</v>
      </c>
      <c r="Y511" s="0" t="s">
        <v>56</v>
      </c>
      <c r="Z511" s="0" t="s">
        <v>570</v>
      </c>
      <c r="AA511" s="0" t="s">
        <v>174</v>
      </c>
      <c r="AB511" s="0" t="s">
        <v>531</v>
      </c>
      <c r="AC511" s="0" t="s">
        <v>571</v>
      </c>
      <c r="AD511" s="0" t="s">
        <v>4186</v>
      </c>
      <c r="AF511" s="0" t="s">
        <v>301</v>
      </c>
      <c r="AP511" s="0" t="s">
        <v>305</v>
      </c>
      <c r="BA511" s="0">
        <v>487</v>
      </c>
      <c r="BB511" s="0" t="s">
        <v>232</v>
      </c>
      <c r="BC511" s="0">
        <v>2</v>
      </c>
      <c r="BD511" s="0">
        <v>374043</v>
      </c>
      <c r="BE511" s="0">
        <v>519203</v>
      </c>
      <c r="BF511" s="0">
        <v>2</v>
      </c>
      <c r="BG511" s="0" t="s">
        <v>4243</v>
      </c>
      <c r="BI511" s="0">
        <v>4222</v>
      </c>
      <c r="BK511" s="0" t="s">
        <v>4244</v>
      </c>
    </row>
    <row r="512">
      <c r="A512" s="0">
        <v>5122</v>
      </c>
      <c r="B512" s="0" t="s">
        <v>4245</v>
      </c>
      <c r="C512" s="0" t="s">
        <v>315</v>
      </c>
      <c r="D512" s="0" t="s">
        <v>3966</v>
      </c>
      <c r="E512" s="0" t="s">
        <v>4246</v>
      </c>
      <c r="F512" s="0">
        <v>1</v>
      </c>
      <c r="G512" s="0" t="s">
        <v>555</v>
      </c>
      <c r="H512" s="0" t="s">
        <v>593</v>
      </c>
      <c r="I512" s="0" t="s">
        <v>1683</v>
      </c>
      <c r="J512" s="0" t="s">
        <v>293</v>
      </c>
      <c r="K512" s="0" t="s">
        <v>294</v>
      </c>
      <c r="L512" s="0" t="s">
        <v>295</v>
      </c>
      <c r="P512" s="0" t="s">
        <v>323</v>
      </c>
      <c r="Q512" s="0" t="s">
        <v>323</v>
      </c>
      <c r="R512" s="0" t="s">
        <v>4236</v>
      </c>
      <c r="T512" s="0" t="s">
        <v>4237</v>
      </c>
      <c r="W512" s="0" t="s">
        <v>4185</v>
      </c>
      <c r="X512" s="0" t="s">
        <v>529</v>
      </c>
      <c r="Y512" s="0" t="s">
        <v>56</v>
      </c>
      <c r="Z512" s="0" t="s">
        <v>570</v>
      </c>
      <c r="AA512" s="0" t="s">
        <v>174</v>
      </c>
      <c r="AB512" s="0" t="s">
        <v>531</v>
      </c>
      <c r="AC512" s="0" t="s">
        <v>571</v>
      </c>
      <c r="AD512" s="0" t="s">
        <v>4186</v>
      </c>
      <c r="AF512" s="0" t="s">
        <v>301</v>
      </c>
      <c r="AP512" s="0" t="s">
        <v>305</v>
      </c>
      <c r="BA512" s="0">
        <v>487</v>
      </c>
      <c r="BB512" s="0" t="s">
        <v>232</v>
      </c>
      <c r="BC512" s="0">
        <v>2</v>
      </c>
      <c r="BD512" s="0">
        <v>374043</v>
      </c>
      <c r="BE512" s="0">
        <v>519203</v>
      </c>
      <c r="BF512" s="0">
        <v>2</v>
      </c>
      <c r="BG512" s="0" t="s">
        <v>4247</v>
      </c>
      <c r="BI512" s="0">
        <v>4152</v>
      </c>
      <c r="BK512" s="0" t="s">
        <v>4248</v>
      </c>
    </row>
    <row r="513">
      <c r="A513" s="0">
        <v>5124</v>
      </c>
      <c r="B513" s="0" t="s">
        <v>4249</v>
      </c>
      <c r="C513" s="0" t="s">
        <v>315</v>
      </c>
      <c r="D513" s="0" t="s">
        <v>3966</v>
      </c>
      <c r="E513" s="0" t="s">
        <v>4250</v>
      </c>
      <c r="F513" s="0">
        <v>1</v>
      </c>
      <c r="G513" s="0" t="s">
        <v>293</v>
      </c>
      <c r="H513" s="0" t="s">
        <v>294</v>
      </c>
      <c r="I513" s="0" t="s">
        <v>295</v>
      </c>
      <c r="T513" s="0" t="s">
        <v>4251</v>
      </c>
      <c r="W513" s="0" t="s">
        <v>4185</v>
      </c>
      <c r="X513" s="0" t="s">
        <v>529</v>
      </c>
      <c r="Y513" s="0" t="s">
        <v>56</v>
      </c>
      <c r="Z513" s="0" t="s">
        <v>570</v>
      </c>
      <c r="AA513" s="0" t="s">
        <v>174</v>
      </c>
      <c r="AB513" s="0" t="s">
        <v>531</v>
      </c>
      <c r="AC513" s="0" t="s">
        <v>571</v>
      </c>
      <c r="AD513" s="0" t="s">
        <v>4186</v>
      </c>
      <c r="AF513" s="0" t="s">
        <v>301</v>
      </c>
      <c r="AP513" s="0" t="s">
        <v>305</v>
      </c>
      <c r="BA513" s="0">
        <v>487</v>
      </c>
      <c r="BB513" s="0" t="s">
        <v>232</v>
      </c>
      <c r="BC513" s="0">
        <v>2</v>
      </c>
      <c r="BD513" s="0">
        <v>374043</v>
      </c>
      <c r="BE513" s="0">
        <v>519203</v>
      </c>
      <c r="BF513" s="0">
        <v>2</v>
      </c>
      <c r="BG513" s="0" t="s">
        <v>4252</v>
      </c>
      <c r="BI513" s="0">
        <v>4289</v>
      </c>
      <c r="BK513" s="0" t="s">
        <v>4253</v>
      </c>
    </row>
    <row r="514">
      <c r="A514" s="0">
        <v>5125</v>
      </c>
      <c r="B514" s="0" t="s">
        <v>4254</v>
      </c>
      <c r="C514" s="0" t="s">
        <v>315</v>
      </c>
      <c r="D514" s="0" t="s">
        <v>3966</v>
      </c>
      <c r="E514" s="0" t="s">
        <v>4255</v>
      </c>
      <c r="F514" s="0">
        <v>1</v>
      </c>
      <c r="G514" s="0" t="s">
        <v>555</v>
      </c>
      <c r="H514" s="0" t="s">
        <v>593</v>
      </c>
      <c r="I514" s="0" t="s">
        <v>1683</v>
      </c>
      <c r="J514" s="0" t="s">
        <v>293</v>
      </c>
      <c r="K514" s="0" t="s">
        <v>294</v>
      </c>
      <c r="L514" s="0" t="s">
        <v>295</v>
      </c>
      <c r="P514" s="0" t="s">
        <v>323</v>
      </c>
      <c r="Q514" s="0" t="s">
        <v>343</v>
      </c>
      <c r="R514" s="0" t="s">
        <v>4236</v>
      </c>
      <c r="T514" s="0" t="s">
        <v>4256</v>
      </c>
      <c r="W514" s="0" t="s">
        <v>4185</v>
      </c>
      <c r="X514" s="0" t="s">
        <v>529</v>
      </c>
      <c r="Y514" s="0" t="s">
        <v>56</v>
      </c>
      <c r="Z514" s="0" t="s">
        <v>570</v>
      </c>
      <c r="AA514" s="0" t="s">
        <v>174</v>
      </c>
      <c r="AB514" s="0" t="s">
        <v>531</v>
      </c>
      <c r="AC514" s="0" t="s">
        <v>571</v>
      </c>
      <c r="AD514" s="0" t="s">
        <v>4186</v>
      </c>
      <c r="AF514" s="0" t="s">
        <v>301</v>
      </c>
      <c r="AP514" s="0" t="s">
        <v>305</v>
      </c>
      <c r="BA514" s="0">
        <v>487</v>
      </c>
      <c r="BB514" s="0" t="s">
        <v>232</v>
      </c>
      <c r="BC514" s="0">
        <v>2</v>
      </c>
      <c r="BD514" s="0">
        <v>374043</v>
      </c>
      <c r="BE514" s="0">
        <v>519203</v>
      </c>
      <c r="BF514" s="0">
        <v>2</v>
      </c>
      <c r="BG514" s="0" t="s">
        <v>4257</v>
      </c>
      <c r="BI514" s="0">
        <v>4352</v>
      </c>
      <c r="BK514" s="0" t="s">
        <v>4258</v>
      </c>
    </row>
    <row r="515">
      <c r="A515" s="0">
        <v>5119</v>
      </c>
      <c r="B515" s="0" t="s">
        <v>4259</v>
      </c>
      <c r="C515" s="0" t="s">
        <v>315</v>
      </c>
      <c r="D515" s="0" t="s">
        <v>3966</v>
      </c>
      <c r="E515" s="0" t="s">
        <v>4260</v>
      </c>
      <c r="F515" s="0">
        <v>1</v>
      </c>
      <c r="G515" s="0" t="s">
        <v>555</v>
      </c>
      <c r="H515" s="0" t="s">
        <v>593</v>
      </c>
      <c r="I515" s="0" t="s">
        <v>1683</v>
      </c>
      <c r="J515" s="0" t="s">
        <v>293</v>
      </c>
      <c r="K515" s="0" t="s">
        <v>294</v>
      </c>
      <c r="L515" s="0" t="s">
        <v>295</v>
      </c>
      <c r="P515" s="0" t="s">
        <v>323</v>
      </c>
      <c r="Q515" s="0" t="s">
        <v>323</v>
      </c>
      <c r="R515" s="0" t="s">
        <v>4236</v>
      </c>
      <c r="T515" s="0" t="s">
        <v>4261</v>
      </c>
      <c r="W515" s="0" t="s">
        <v>4185</v>
      </c>
      <c r="X515" s="0" t="s">
        <v>529</v>
      </c>
      <c r="Y515" s="0" t="s">
        <v>56</v>
      </c>
      <c r="Z515" s="0" t="s">
        <v>570</v>
      </c>
      <c r="AA515" s="0" t="s">
        <v>174</v>
      </c>
      <c r="AB515" s="0" t="s">
        <v>531</v>
      </c>
      <c r="AC515" s="0" t="s">
        <v>571</v>
      </c>
      <c r="AD515" s="0" t="s">
        <v>4186</v>
      </c>
      <c r="AF515" s="0" t="s">
        <v>301</v>
      </c>
      <c r="AP515" s="0" t="s">
        <v>305</v>
      </c>
      <c r="BA515" s="0">
        <v>487</v>
      </c>
      <c r="BB515" s="0" t="s">
        <v>232</v>
      </c>
      <c r="BC515" s="0">
        <v>2</v>
      </c>
      <c r="BD515" s="0">
        <v>374043</v>
      </c>
      <c r="BE515" s="0">
        <v>519203</v>
      </c>
      <c r="BF515" s="0">
        <v>2</v>
      </c>
      <c r="BG515" s="0" t="s">
        <v>4262</v>
      </c>
      <c r="BI515" s="0">
        <v>3909</v>
      </c>
      <c r="BK515" s="0" t="s">
        <v>4263</v>
      </c>
    </row>
    <row r="516">
      <c r="A516" s="0">
        <v>5118</v>
      </c>
      <c r="B516" s="0" t="s">
        <v>4264</v>
      </c>
      <c r="C516" s="0" t="s">
        <v>315</v>
      </c>
      <c r="D516" s="0" t="s">
        <v>3966</v>
      </c>
      <c r="E516" s="0" t="s">
        <v>4265</v>
      </c>
      <c r="F516" s="0">
        <v>1</v>
      </c>
      <c r="G516" s="0" t="s">
        <v>555</v>
      </c>
      <c r="H516" s="0" t="s">
        <v>593</v>
      </c>
      <c r="I516" s="0" t="s">
        <v>1683</v>
      </c>
      <c r="J516" s="0" t="s">
        <v>293</v>
      </c>
      <c r="K516" s="0" t="s">
        <v>294</v>
      </c>
      <c r="L516" s="0" t="s">
        <v>295</v>
      </c>
      <c r="P516" s="0" t="s">
        <v>323</v>
      </c>
      <c r="Q516" s="0" t="s">
        <v>323</v>
      </c>
      <c r="R516" s="0" t="s">
        <v>4236</v>
      </c>
      <c r="T516" s="0" t="s">
        <v>4266</v>
      </c>
      <c r="W516" s="0" t="s">
        <v>4185</v>
      </c>
      <c r="X516" s="0" t="s">
        <v>529</v>
      </c>
      <c r="Y516" s="0" t="s">
        <v>56</v>
      </c>
      <c r="Z516" s="0" t="s">
        <v>570</v>
      </c>
      <c r="AA516" s="0" t="s">
        <v>174</v>
      </c>
      <c r="AB516" s="0" t="s">
        <v>531</v>
      </c>
      <c r="AC516" s="0" t="s">
        <v>571</v>
      </c>
      <c r="AD516" s="0" t="s">
        <v>4186</v>
      </c>
      <c r="AF516" s="0" t="s">
        <v>301</v>
      </c>
      <c r="AP516" s="0" t="s">
        <v>305</v>
      </c>
      <c r="BA516" s="0">
        <v>487</v>
      </c>
      <c r="BB516" s="0" t="s">
        <v>232</v>
      </c>
      <c r="BC516" s="0">
        <v>2</v>
      </c>
      <c r="BD516" s="0">
        <v>374043</v>
      </c>
      <c r="BE516" s="0">
        <v>519203</v>
      </c>
      <c r="BF516" s="0">
        <v>2</v>
      </c>
      <c r="BG516" s="0" t="s">
        <v>4267</v>
      </c>
      <c r="BI516" s="0">
        <v>3820</v>
      </c>
      <c r="BK516" s="0" t="s">
        <v>4268</v>
      </c>
    </row>
    <row r="517">
      <c r="A517" s="0">
        <v>5120</v>
      </c>
      <c r="B517" s="0" t="s">
        <v>4269</v>
      </c>
      <c r="C517" s="0" t="s">
        <v>315</v>
      </c>
      <c r="D517" s="0" t="s">
        <v>3966</v>
      </c>
      <c r="E517" s="0" t="s">
        <v>4270</v>
      </c>
      <c r="F517" s="0">
        <v>1</v>
      </c>
      <c r="G517" s="0" t="s">
        <v>293</v>
      </c>
      <c r="H517" s="0" t="s">
        <v>294</v>
      </c>
      <c r="I517" s="0" t="s">
        <v>295</v>
      </c>
      <c r="T517" s="0" t="s">
        <v>4271</v>
      </c>
      <c r="W517" s="0" t="s">
        <v>4185</v>
      </c>
      <c r="X517" s="0" t="s">
        <v>529</v>
      </c>
      <c r="Y517" s="0" t="s">
        <v>56</v>
      </c>
      <c r="Z517" s="0" t="s">
        <v>570</v>
      </c>
      <c r="AA517" s="0" t="s">
        <v>174</v>
      </c>
      <c r="AB517" s="0" t="s">
        <v>531</v>
      </c>
      <c r="AC517" s="0" t="s">
        <v>571</v>
      </c>
      <c r="AD517" s="0" t="s">
        <v>4186</v>
      </c>
      <c r="AF517" s="0" t="s">
        <v>301</v>
      </c>
      <c r="AP517" s="0" t="s">
        <v>305</v>
      </c>
      <c r="BA517" s="0">
        <v>487</v>
      </c>
      <c r="BB517" s="0" t="s">
        <v>232</v>
      </c>
      <c r="BC517" s="0">
        <v>2</v>
      </c>
      <c r="BD517" s="0">
        <v>374043</v>
      </c>
      <c r="BE517" s="0">
        <v>519203</v>
      </c>
      <c r="BF517" s="0">
        <v>2</v>
      </c>
      <c r="BG517" s="0" t="s">
        <v>4272</v>
      </c>
      <c r="BI517" s="0">
        <v>3997</v>
      </c>
      <c r="BK517" s="0" t="s">
        <v>4273</v>
      </c>
    </row>
    <row r="518">
      <c r="A518" s="0">
        <v>5114</v>
      </c>
      <c r="B518" s="0" t="s">
        <v>4274</v>
      </c>
      <c r="C518" s="0" t="s">
        <v>656</v>
      </c>
      <c r="D518" s="0" t="s">
        <v>3966</v>
      </c>
      <c r="E518" s="0" t="s">
        <v>4275</v>
      </c>
      <c r="F518" s="0">
        <v>1</v>
      </c>
      <c r="G518" s="0" t="s">
        <v>293</v>
      </c>
      <c r="H518" s="0" t="s">
        <v>294</v>
      </c>
      <c r="I518" s="0" t="s">
        <v>4223</v>
      </c>
      <c r="T518" s="0" t="s">
        <v>4276</v>
      </c>
      <c r="U518" s="0" t="s">
        <v>4277</v>
      </c>
      <c r="W518" s="0" t="s">
        <v>4185</v>
      </c>
      <c r="X518" s="0" t="s">
        <v>529</v>
      </c>
      <c r="Y518" s="0" t="s">
        <v>56</v>
      </c>
      <c r="Z518" s="0" t="s">
        <v>570</v>
      </c>
      <c r="AA518" s="0" t="s">
        <v>174</v>
      </c>
      <c r="AB518" s="0" t="s">
        <v>531</v>
      </c>
      <c r="AC518" s="0" t="s">
        <v>571</v>
      </c>
      <c r="AD518" s="0" t="s">
        <v>4186</v>
      </c>
      <c r="AF518" s="0" t="s">
        <v>301</v>
      </c>
      <c r="AP518" s="0" t="s">
        <v>305</v>
      </c>
      <c r="BA518" s="0">
        <v>487</v>
      </c>
      <c r="BB518" s="0" t="s">
        <v>232</v>
      </c>
      <c r="BC518" s="0">
        <v>2</v>
      </c>
      <c r="BD518" s="0">
        <v>10</v>
      </c>
      <c r="BE518" s="0">
        <v>519203</v>
      </c>
      <c r="BF518" s="0">
        <v>2</v>
      </c>
      <c r="BG518" s="0" t="s">
        <v>4278</v>
      </c>
      <c r="BI518" s="0">
        <v>3374</v>
      </c>
      <c r="BK518" s="0" t="s">
        <v>4279</v>
      </c>
    </row>
    <row r="519">
      <c r="A519" s="0">
        <v>5115</v>
      </c>
      <c r="B519" s="0" t="s">
        <v>4280</v>
      </c>
      <c r="C519" s="0" t="s">
        <v>656</v>
      </c>
      <c r="D519" s="0" t="s">
        <v>3966</v>
      </c>
      <c r="E519" s="0" t="s">
        <v>4281</v>
      </c>
      <c r="F519" s="0">
        <v>1</v>
      </c>
      <c r="G519" s="0" t="s">
        <v>293</v>
      </c>
      <c r="H519" s="0" t="s">
        <v>294</v>
      </c>
      <c r="I519" s="0" t="s">
        <v>4223</v>
      </c>
      <c r="T519" s="0" t="s">
        <v>4276</v>
      </c>
      <c r="U519" s="0" t="s">
        <v>4282</v>
      </c>
      <c r="W519" s="0" t="s">
        <v>4185</v>
      </c>
      <c r="X519" s="0" t="s">
        <v>529</v>
      </c>
      <c r="Y519" s="0" t="s">
        <v>56</v>
      </c>
      <c r="Z519" s="0" t="s">
        <v>570</v>
      </c>
      <c r="AA519" s="0" t="s">
        <v>174</v>
      </c>
      <c r="AB519" s="0" t="s">
        <v>531</v>
      </c>
      <c r="AC519" s="0" t="s">
        <v>571</v>
      </c>
      <c r="AD519" s="0" t="s">
        <v>4186</v>
      </c>
      <c r="AF519" s="0" t="s">
        <v>301</v>
      </c>
      <c r="AP519" s="0" t="s">
        <v>305</v>
      </c>
      <c r="BA519" s="0">
        <v>487</v>
      </c>
      <c r="BB519" s="0" t="s">
        <v>232</v>
      </c>
      <c r="BC519" s="0">
        <v>2</v>
      </c>
      <c r="BD519" s="0">
        <v>10</v>
      </c>
      <c r="BE519" s="0">
        <v>519203</v>
      </c>
      <c r="BF519" s="0">
        <v>2</v>
      </c>
      <c r="BG519" s="0" t="s">
        <v>4283</v>
      </c>
      <c r="BI519" s="0">
        <v>3500</v>
      </c>
      <c r="BK519" s="0" t="s">
        <v>4284</v>
      </c>
    </row>
    <row r="520">
      <c r="A520" s="0">
        <v>5066</v>
      </c>
      <c r="B520" s="0" t="s">
        <v>4285</v>
      </c>
      <c r="C520" s="0" t="s">
        <v>339</v>
      </c>
      <c r="D520" s="0" t="s">
        <v>3172</v>
      </c>
      <c r="E520" s="0" t="s">
        <v>4286</v>
      </c>
      <c r="F520" s="0">
        <v>1</v>
      </c>
      <c r="G520" s="0" t="s">
        <v>508</v>
      </c>
      <c r="I520" s="0" t="s">
        <v>1268</v>
      </c>
      <c r="J520" s="0" t="s">
        <v>319</v>
      </c>
      <c r="K520" s="0" t="s">
        <v>1997</v>
      </c>
      <c r="L520" s="0" t="s">
        <v>1268</v>
      </c>
      <c r="P520" s="0" t="s">
        <v>4287</v>
      </c>
      <c r="Q520" s="0" t="s">
        <v>4287</v>
      </c>
      <c r="R520" s="0" t="s">
        <v>324</v>
      </c>
      <c r="T520" s="0" t="s">
        <v>4288</v>
      </c>
      <c r="U520" s="0" t="s">
        <v>4289</v>
      </c>
      <c r="W520" s="0" t="s">
        <v>4185</v>
      </c>
      <c r="X520" s="0" t="s">
        <v>529</v>
      </c>
      <c r="Y520" s="0" t="s">
        <v>56</v>
      </c>
      <c r="Z520" s="0" t="s">
        <v>570</v>
      </c>
      <c r="AA520" s="0" t="s">
        <v>174</v>
      </c>
      <c r="AB520" s="0" t="s">
        <v>531</v>
      </c>
      <c r="AC520" s="0" t="s">
        <v>571</v>
      </c>
      <c r="AD520" s="0" t="s">
        <v>4186</v>
      </c>
      <c r="AF520" s="0" t="s">
        <v>301</v>
      </c>
      <c r="AM520" s="0" t="s">
        <v>4290</v>
      </c>
      <c r="AN520" s="0" t="s">
        <v>4291</v>
      </c>
      <c r="AO520" s="0" t="s">
        <v>1398</v>
      </c>
      <c r="AP520" s="0" t="s">
        <v>305</v>
      </c>
      <c r="AQ520" s="0" t="s">
        <v>1399</v>
      </c>
      <c r="AR520" s="0" t="s">
        <v>303</v>
      </c>
      <c r="AS520" s="0">
        <v>13</v>
      </c>
      <c r="AT520" s="0">
        <v>28</v>
      </c>
      <c r="AU520" s="0">
        <v>42</v>
      </c>
      <c r="AV520" s="0" t="s">
        <v>332</v>
      </c>
      <c r="AW520" s="0" t="s">
        <v>977</v>
      </c>
      <c r="AX520" s="0" t="s">
        <v>911</v>
      </c>
      <c r="AY520" s="0" t="s">
        <v>747</v>
      </c>
      <c r="AZ520" s="0" t="s">
        <v>503</v>
      </c>
      <c r="BA520" s="0">
        <v>487</v>
      </c>
      <c r="BB520" s="0" t="s">
        <v>232</v>
      </c>
      <c r="BC520" s="0">
        <v>2</v>
      </c>
      <c r="BD520" s="0">
        <v>8</v>
      </c>
      <c r="BE520" s="0">
        <v>519203</v>
      </c>
      <c r="BF520" s="0">
        <v>2</v>
      </c>
      <c r="BG520" s="0" t="s">
        <v>4292</v>
      </c>
      <c r="BI520" s="0">
        <v>364</v>
      </c>
      <c r="BK520" s="0" t="s">
        <v>4293</v>
      </c>
    </row>
    <row r="521">
      <c r="A521" s="0">
        <v>5112</v>
      </c>
      <c r="B521" s="0" t="s">
        <v>4294</v>
      </c>
      <c r="C521" s="0" t="s">
        <v>315</v>
      </c>
      <c r="D521" s="0" t="s">
        <v>3966</v>
      </c>
      <c r="E521" s="0" t="s">
        <v>4295</v>
      </c>
      <c r="F521" s="0">
        <v>1</v>
      </c>
      <c r="G521" s="0" t="s">
        <v>555</v>
      </c>
      <c r="H521" s="0" t="s">
        <v>593</v>
      </c>
      <c r="I521" s="0" t="s">
        <v>2947</v>
      </c>
      <c r="J521" s="0" t="s">
        <v>400</v>
      </c>
      <c r="K521" s="0" t="s">
        <v>1190</v>
      </c>
      <c r="L521" s="0" t="s">
        <v>2947</v>
      </c>
      <c r="P521" s="0" t="s">
        <v>323</v>
      </c>
      <c r="Q521" s="0" t="s">
        <v>343</v>
      </c>
      <c r="R521" s="0" t="s">
        <v>324</v>
      </c>
      <c r="T521" s="0" t="s">
        <v>4296</v>
      </c>
      <c r="W521" s="0" t="s">
        <v>4185</v>
      </c>
      <c r="X521" s="0" t="s">
        <v>529</v>
      </c>
      <c r="Y521" s="0" t="s">
        <v>56</v>
      </c>
      <c r="Z521" s="0" t="s">
        <v>570</v>
      </c>
      <c r="AA521" s="0" t="s">
        <v>174</v>
      </c>
      <c r="AB521" s="0" t="s">
        <v>531</v>
      </c>
      <c r="AC521" s="0" t="s">
        <v>571</v>
      </c>
      <c r="AD521" s="0" t="s">
        <v>4186</v>
      </c>
      <c r="AF521" s="0" t="s">
        <v>301</v>
      </c>
      <c r="AP521" s="0" t="s">
        <v>305</v>
      </c>
      <c r="BA521" s="0">
        <v>487</v>
      </c>
      <c r="BB521" s="0" t="s">
        <v>232</v>
      </c>
      <c r="BC521" s="0">
        <v>2</v>
      </c>
      <c r="BD521" s="0">
        <v>374043</v>
      </c>
      <c r="BE521" s="0">
        <v>519203</v>
      </c>
      <c r="BF521" s="0">
        <v>2</v>
      </c>
      <c r="BG521" s="0" t="s">
        <v>4297</v>
      </c>
      <c r="BI521" s="0">
        <v>3084</v>
      </c>
      <c r="BK521" s="0" t="s">
        <v>4298</v>
      </c>
    </row>
    <row r="522">
      <c r="A522" s="0">
        <v>5113</v>
      </c>
      <c r="B522" s="0" t="s">
        <v>4299</v>
      </c>
      <c r="C522" s="0" t="s">
        <v>315</v>
      </c>
      <c r="D522" s="0" t="s">
        <v>3966</v>
      </c>
      <c r="E522" s="0" t="s">
        <v>4300</v>
      </c>
      <c r="F522" s="0">
        <v>1</v>
      </c>
      <c r="G522" s="0" t="s">
        <v>555</v>
      </c>
      <c r="H522" s="0" t="s">
        <v>593</v>
      </c>
      <c r="I522" s="0" t="s">
        <v>2947</v>
      </c>
      <c r="J522" s="0" t="s">
        <v>400</v>
      </c>
      <c r="K522" s="0" t="s">
        <v>1190</v>
      </c>
      <c r="L522" s="0" t="s">
        <v>2947</v>
      </c>
      <c r="P522" s="0" t="s">
        <v>323</v>
      </c>
      <c r="Q522" s="0" t="s">
        <v>343</v>
      </c>
      <c r="R522" s="0" t="s">
        <v>324</v>
      </c>
      <c r="T522" s="0" t="s">
        <v>4301</v>
      </c>
      <c r="W522" s="0" t="s">
        <v>4185</v>
      </c>
      <c r="X522" s="0" t="s">
        <v>529</v>
      </c>
      <c r="Y522" s="0" t="s">
        <v>56</v>
      </c>
      <c r="Z522" s="0" t="s">
        <v>570</v>
      </c>
      <c r="AA522" s="0" t="s">
        <v>174</v>
      </c>
      <c r="AB522" s="0" t="s">
        <v>531</v>
      </c>
      <c r="AC522" s="0" t="s">
        <v>571</v>
      </c>
      <c r="AD522" s="0" t="s">
        <v>4186</v>
      </c>
      <c r="AF522" s="0" t="s">
        <v>301</v>
      </c>
      <c r="AP522" s="0" t="s">
        <v>305</v>
      </c>
      <c r="BA522" s="0">
        <v>487</v>
      </c>
      <c r="BB522" s="0" t="s">
        <v>232</v>
      </c>
      <c r="BC522" s="0">
        <v>2</v>
      </c>
      <c r="BD522" s="0">
        <v>374043</v>
      </c>
      <c r="BE522" s="0">
        <v>519203</v>
      </c>
      <c r="BF522" s="0">
        <v>2</v>
      </c>
      <c r="BG522" s="0" t="s">
        <v>4302</v>
      </c>
      <c r="BI522" s="0">
        <v>3236</v>
      </c>
      <c r="BK522" s="0" t="s">
        <v>4303</v>
      </c>
    </row>
    <row r="523">
      <c r="A523" s="0">
        <v>5111</v>
      </c>
      <c r="B523" s="0" t="s">
        <v>4304</v>
      </c>
      <c r="C523" s="0" t="s">
        <v>315</v>
      </c>
      <c r="D523" s="0" t="s">
        <v>3966</v>
      </c>
      <c r="E523" s="0" t="s">
        <v>4305</v>
      </c>
      <c r="F523" s="0">
        <v>1</v>
      </c>
      <c r="G523" s="0" t="s">
        <v>555</v>
      </c>
      <c r="H523" s="0" t="s">
        <v>593</v>
      </c>
      <c r="I523" s="0" t="s">
        <v>2947</v>
      </c>
      <c r="J523" s="0" t="s">
        <v>525</v>
      </c>
      <c r="K523" s="0" t="s">
        <v>400</v>
      </c>
      <c r="L523" s="0" t="s">
        <v>4306</v>
      </c>
      <c r="P523" s="0" t="s">
        <v>323</v>
      </c>
      <c r="Q523" s="0" t="s">
        <v>343</v>
      </c>
      <c r="R523" s="0" t="s">
        <v>324</v>
      </c>
      <c r="T523" s="0" t="s">
        <v>4296</v>
      </c>
      <c r="W523" s="0" t="s">
        <v>4185</v>
      </c>
      <c r="X523" s="0" t="s">
        <v>529</v>
      </c>
      <c r="Y523" s="0" t="s">
        <v>56</v>
      </c>
      <c r="Z523" s="0" t="s">
        <v>570</v>
      </c>
      <c r="AA523" s="0" t="s">
        <v>174</v>
      </c>
      <c r="AB523" s="0" t="s">
        <v>531</v>
      </c>
      <c r="AC523" s="0" t="s">
        <v>571</v>
      </c>
      <c r="AD523" s="0" t="s">
        <v>4186</v>
      </c>
      <c r="AF523" s="0" t="s">
        <v>301</v>
      </c>
      <c r="AP523" s="0" t="s">
        <v>305</v>
      </c>
      <c r="BA523" s="0">
        <v>487</v>
      </c>
      <c r="BB523" s="0" t="s">
        <v>232</v>
      </c>
      <c r="BC523" s="0">
        <v>2</v>
      </c>
      <c r="BD523" s="0">
        <v>374043</v>
      </c>
      <c r="BE523" s="0">
        <v>519203</v>
      </c>
      <c r="BF523" s="0">
        <v>2</v>
      </c>
      <c r="BG523" s="0" t="s">
        <v>4307</v>
      </c>
      <c r="BI523" s="0">
        <v>2918</v>
      </c>
      <c r="BK523" s="0" t="s">
        <v>4308</v>
      </c>
    </row>
    <row r="524">
      <c r="A524" s="0">
        <v>5117</v>
      </c>
      <c r="B524" s="0" t="s">
        <v>4309</v>
      </c>
      <c r="C524" s="0" t="s">
        <v>315</v>
      </c>
      <c r="D524" s="0" t="s">
        <v>3966</v>
      </c>
      <c r="E524" s="0" t="s">
        <v>4310</v>
      </c>
      <c r="F524" s="0">
        <v>1</v>
      </c>
      <c r="G524" s="0" t="s">
        <v>525</v>
      </c>
      <c r="H524" s="0" t="s">
        <v>508</v>
      </c>
      <c r="I524" s="0" t="s">
        <v>1133</v>
      </c>
      <c r="J524" s="0" t="s">
        <v>293</v>
      </c>
      <c r="K524" s="0" t="s">
        <v>294</v>
      </c>
      <c r="L524" s="0" t="s">
        <v>295</v>
      </c>
      <c r="T524" s="0" t="s">
        <v>4311</v>
      </c>
      <c r="W524" s="0" t="s">
        <v>4185</v>
      </c>
      <c r="X524" s="0" t="s">
        <v>529</v>
      </c>
      <c r="Y524" s="0" t="s">
        <v>56</v>
      </c>
      <c r="Z524" s="0" t="s">
        <v>570</v>
      </c>
      <c r="AA524" s="0" t="s">
        <v>174</v>
      </c>
      <c r="AB524" s="0" t="s">
        <v>531</v>
      </c>
      <c r="AC524" s="0" t="s">
        <v>571</v>
      </c>
      <c r="AD524" s="0" t="s">
        <v>4186</v>
      </c>
      <c r="AF524" s="0" t="s">
        <v>301</v>
      </c>
      <c r="AP524" s="0" t="s">
        <v>305</v>
      </c>
      <c r="BA524" s="0">
        <v>487</v>
      </c>
      <c r="BB524" s="0" t="s">
        <v>232</v>
      </c>
      <c r="BC524" s="0">
        <v>2</v>
      </c>
      <c r="BD524" s="0">
        <v>374043</v>
      </c>
      <c r="BE524" s="0">
        <v>519203</v>
      </c>
      <c r="BF524" s="0">
        <v>2</v>
      </c>
      <c r="BG524" s="0" t="s">
        <v>4312</v>
      </c>
      <c r="BI524" s="0">
        <v>3721</v>
      </c>
      <c r="BK524" s="0" t="s">
        <v>4313</v>
      </c>
    </row>
    <row r="525">
      <c r="A525" s="0">
        <v>5116</v>
      </c>
      <c r="B525" s="0" t="s">
        <v>4314</v>
      </c>
      <c r="C525" s="0" t="s">
        <v>315</v>
      </c>
      <c r="D525" s="0" t="s">
        <v>3966</v>
      </c>
      <c r="E525" s="0" t="s">
        <v>4315</v>
      </c>
      <c r="F525" s="0">
        <v>1</v>
      </c>
      <c r="G525" s="0" t="s">
        <v>525</v>
      </c>
      <c r="H525" s="0" t="s">
        <v>508</v>
      </c>
      <c r="I525" s="0" t="s">
        <v>1133</v>
      </c>
      <c r="J525" s="0" t="s">
        <v>293</v>
      </c>
      <c r="K525" s="0" t="s">
        <v>294</v>
      </c>
      <c r="L525" s="0" t="s">
        <v>295</v>
      </c>
      <c r="T525" s="0" t="s">
        <v>4311</v>
      </c>
      <c r="W525" s="0" t="s">
        <v>4185</v>
      </c>
      <c r="X525" s="0" t="s">
        <v>529</v>
      </c>
      <c r="Y525" s="0" t="s">
        <v>56</v>
      </c>
      <c r="Z525" s="0" t="s">
        <v>570</v>
      </c>
      <c r="AA525" s="0" t="s">
        <v>174</v>
      </c>
      <c r="AB525" s="0" t="s">
        <v>531</v>
      </c>
      <c r="AC525" s="0" t="s">
        <v>571</v>
      </c>
      <c r="AD525" s="0" t="s">
        <v>4186</v>
      </c>
      <c r="AF525" s="0" t="s">
        <v>301</v>
      </c>
      <c r="AP525" s="0" t="s">
        <v>305</v>
      </c>
      <c r="BA525" s="0">
        <v>487</v>
      </c>
      <c r="BB525" s="0" t="s">
        <v>232</v>
      </c>
      <c r="BC525" s="0">
        <v>2</v>
      </c>
      <c r="BD525" s="0">
        <v>374043</v>
      </c>
      <c r="BE525" s="0">
        <v>519203</v>
      </c>
      <c r="BF525" s="0">
        <v>2</v>
      </c>
      <c r="BG525" s="0" t="s">
        <v>4316</v>
      </c>
      <c r="BI525" s="0">
        <v>3614</v>
      </c>
      <c r="BK525" s="0" t="s">
        <v>4317</v>
      </c>
    </row>
    <row r="526">
      <c r="A526" s="0">
        <v>5110</v>
      </c>
      <c r="B526" s="0" t="s">
        <v>4318</v>
      </c>
      <c r="C526" s="0" t="s">
        <v>656</v>
      </c>
      <c r="D526" s="0" t="s">
        <v>3966</v>
      </c>
      <c r="E526" s="0" t="s">
        <v>4319</v>
      </c>
      <c r="F526" s="0">
        <v>1</v>
      </c>
      <c r="G526" s="0" t="s">
        <v>293</v>
      </c>
      <c r="H526" s="0" t="s">
        <v>294</v>
      </c>
      <c r="I526" s="0" t="s">
        <v>295</v>
      </c>
      <c r="T526" s="0" t="s">
        <v>4320</v>
      </c>
      <c r="U526" s="0" t="s">
        <v>4321</v>
      </c>
      <c r="W526" s="0" t="s">
        <v>4185</v>
      </c>
      <c r="X526" s="0" t="s">
        <v>529</v>
      </c>
      <c r="Y526" s="0" t="s">
        <v>56</v>
      </c>
      <c r="Z526" s="0" t="s">
        <v>570</v>
      </c>
      <c r="AA526" s="0" t="s">
        <v>174</v>
      </c>
      <c r="AB526" s="0" t="s">
        <v>531</v>
      </c>
      <c r="AC526" s="0" t="s">
        <v>571</v>
      </c>
      <c r="AD526" s="0" t="s">
        <v>4186</v>
      </c>
      <c r="AF526" s="0" t="s">
        <v>301</v>
      </c>
      <c r="AP526" s="0" t="s">
        <v>305</v>
      </c>
      <c r="BA526" s="0">
        <v>487</v>
      </c>
      <c r="BB526" s="0" t="s">
        <v>232</v>
      </c>
      <c r="BC526" s="0">
        <v>2</v>
      </c>
      <c r="BD526" s="0">
        <v>10</v>
      </c>
      <c r="BE526" s="0">
        <v>519203</v>
      </c>
      <c r="BF526" s="0">
        <v>2</v>
      </c>
      <c r="BG526" s="0" t="s">
        <v>4322</v>
      </c>
      <c r="BI526" s="0">
        <v>2743</v>
      </c>
      <c r="BK526" s="0" t="s">
        <v>4323</v>
      </c>
    </row>
    <row r="527">
      <c r="A527" s="0">
        <v>5126</v>
      </c>
      <c r="B527" s="0" t="s">
        <v>4324</v>
      </c>
      <c r="C527" s="0" t="s">
        <v>4325</v>
      </c>
      <c r="D527" s="0" t="s">
        <v>3966</v>
      </c>
      <c r="E527" s="0" t="s">
        <v>4326</v>
      </c>
      <c r="F527" s="0">
        <v>1</v>
      </c>
      <c r="G527" s="0" t="s">
        <v>525</v>
      </c>
      <c r="H527" s="0" t="s">
        <v>508</v>
      </c>
      <c r="J527" s="0" t="s">
        <v>319</v>
      </c>
      <c r="K527" s="0" t="s">
        <v>4327</v>
      </c>
      <c r="L527" s="0" t="s">
        <v>4328</v>
      </c>
      <c r="P527" s="0" t="s">
        <v>323</v>
      </c>
      <c r="Q527" s="0" t="s">
        <v>323</v>
      </c>
      <c r="R527" s="0" t="s">
        <v>324</v>
      </c>
      <c r="T527" s="0" t="s">
        <v>4329</v>
      </c>
      <c r="W527" s="0" t="s">
        <v>4185</v>
      </c>
      <c r="X527" s="0" t="s">
        <v>529</v>
      </c>
      <c r="Y527" s="0" t="s">
        <v>56</v>
      </c>
      <c r="Z527" s="0" t="s">
        <v>570</v>
      </c>
      <c r="AA527" s="0" t="s">
        <v>174</v>
      </c>
      <c r="AB527" s="0" t="s">
        <v>531</v>
      </c>
      <c r="AC527" s="0" t="s">
        <v>571</v>
      </c>
      <c r="AD527" s="0" t="s">
        <v>4186</v>
      </c>
      <c r="AF527" s="0" t="s">
        <v>301</v>
      </c>
      <c r="AP527" s="0" t="s">
        <v>305</v>
      </c>
      <c r="BA527" s="0">
        <v>487</v>
      </c>
      <c r="BB527" s="0" t="s">
        <v>232</v>
      </c>
      <c r="BC527" s="0">
        <v>2</v>
      </c>
      <c r="BD527" s="0">
        <v>374056</v>
      </c>
      <c r="BE527" s="0">
        <v>519203</v>
      </c>
      <c r="BF527" s="0">
        <v>2</v>
      </c>
      <c r="BG527" s="0" t="s">
        <v>4330</v>
      </c>
      <c r="BI527" s="0">
        <v>4409</v>
      </c>
      <c r="BK527" s="0" t="s">
        <v>4331</v>
      </c>
    </row>
    <row r="528">
      <c r="A528" s="0">
        <v>5168</v>
      </c>
      <c r="B528" s="0" t="s">
        <v>4332</v>
      </c>
      <c r="C528" s="0" t="s">
        <v>315</v>
      </c>
      <c r="D528" s="0" t="s">
        <v>4333</v>
      </c>
      <c r="E528" s="0" t="s">
        <v>4334</v>
      </c>
      <c r="F528" s="0">
        <v>1</v>
      </c>
      <c r="G528" s="0" t="s">
        <v>319</v>
      </c>
      <c r="H528" s="0" t="s">
        <v>1987</v>
      </c>
      <c r="I528" s="0" t="s">
        <v>4335</v>
      </c>
      <c r="J528" s="0" t="s">
        <v>293</v>
      </c>
      <c r="K528" s="0" t="s">
        <v>294</v>
      </c>
      <c r="L528" s="0" t="s">
        <v>4336</v>
      </c>
      <c r="M528" s="0" t="s">
        <v>525</v>
      </c>
      <c r="N528" s="0" t="s">
        <v>594</v>
      </c>
      <c r="O528" s="0" t="s">
        <v>1683</v>
      </c>
      <c r="P528" s="0" t="s">
        <v>1203</v>
      </c>
      <c r="Q528" s="0" t="s">
        <v>1203</v>
      </c>
      <c r="T528" s="0" t="s">
        <v>4337</v>
      </c>
      <c r="U528" s="0" t="s">
        <v>4338</v>
      </c>
      <c r="W528" s="0" t="s">
        <v>4333</v>
      </c>
      <c r="X528" s="0" t="s">
        <v>529</v>
      </c>
      <c r="Y528" s="0" t="s">
        <v>77</v>
      </c>
      <c r="Z528" s="0" t="s">
        <v>3973</v>
      </c>
      <c r="AA528" s="0" t="s">
        <v>173</v>
      </c>
      <c r="AB528" s="0" t="s">
        <v>300</v>
      </c>
      <c r="AD528" s="0" t="s">
        <v>4339</v>
      </c>
      <c r="AF528" s="0" t="s">
        <v>301</v>
      </c>
      <c r="AM528" s="0" t="s">
        <v>2774</v>
      </c>
      <c r="AN528" s="0" t="s">
        <v>2774</v>
      </c>
      <c r="AO528" s="0" t="s">
        <v>2774</v>
      </c>
      <c r="AP528" s="0" t="s">
        <v>305</v>
      </c>
      <c r="BA528" s="0">
        <v>490</v>
      </c>
      <c r="BB528" s="0" t="s">
        <v>232</v>
      </c>
      <c r="BC528" s="0">
        <v>2</v>
      </c>
      <c r="BD528" s="0">
        <v>374043</v>
      </c>
      <c r="BE528" s="0">
        <v>519953</v>
      </c>
      <c r="BF528" s="0">
        <v>2</v>
      </c>
      <c r="BG528" s="0" t="s">
        <v>4340</v>
      </c>
      <c r="BI528" s="0">
        <v>367</v>
      </c>
      <c r="BK528" s="0" t="s">
        <v>4341</v>
      </c>
    </row>
    <row r="529">
      <c r="A529" s="0">
        <v>5182</v>
      </c>
      <c r="B529" s="0" t="s">
        <v>4342</v>
      </c>
      <c r="C529" s="0" t="s">
        <v>315</v>
      </c>
      <c r="D529" s="0" t="s">
        <v>4333</v>
      </c>
      <c r="E529" s="0" t="s">
        <v>4343</v>
      </c>
      <c r="F529" s="0">
        <v>1</v>
      </c>
      <c r="G529" s="0" t="s">
        <v>319</v>
      </c>
      <c r="H529" s="0" t="s">
        <v>1987</v>
      </c>
      <c r="I529" s="0" t="s">
        <v>4344</v>
      </c>
      <c r="J529" s="0" t="s">
        <v>293</v>
      </c>
      <c r="K529" s="0" t="s">
        <v>294</v>
      </c>
      <c r="L529" s="0" t="s">
        <v>918</v>
      </c>
      <c r="M529" s="0" t="s">
        <v>525</v>
      </c>
      <c r="N529" s="0" t="s">
        <v>594</v>
      </c>
      <c r="O529" s="0" t="s">
        <v>1683</v>
      </c>
      <c r="P529" s="0" t="s">
        <v>1191</v>
      </c>
      <c r="Q529" s="0" t="s">
        <v>1191</v>
      </c>
      <c r="R529" s="0" t="s">
        <v>1232</v>
      </c>
      <c r="T529" s="0" t="s">
        <v>4345</v>
      </c>
      <c r="U529" s="0" t="s">
        <v>4346</v>
      </c>
      <c r="W529" s="0" t="s">
        <v>4333</v>
      </c>
      <c r="X529" s="0" t="s">
        <v>529</v>
      </c>
      <c r="Y529" s="0" t="s">
        <v>77</v>
      </c>
      <c r="Z529" s="0" t="s">
        <v>3973</v>
      </c>
      <c r="AA529" s="0" t="s">
        <v>173</v>
      </c>
      <c r="AB529" s="0" t="s">
        <v>300</v>
      </c>
      <c r="AD529" s="0" t="s">
        <v>4339</v>
      </c>
      <c r="AF529" s="0" t="s">
        <v>301</v>
      </c>
      <c r="AP529" s="0" t="s">
        <v>305</v>
      </c>
      <c r="BA529" s="0">
        <v>490</v>
      </c>
      <c r="BB529" s="0" t="s">
        <v>232</v>
      </c>
      <c r="BC529" s="0">
        <v>2</v>
      </c>
      <c r="BD529" s="0">
        <v>374043</v>
      </c>
      <c r="BE529" s="0">
        <v>519953</v>
      </c>
      <c r="BF529" s="0">
        <v>2</v>
      </c>
      <c r="BG529" s="0" t="s">
        <v>4347</v>
      </c>
      <c r="BI529" s="0">
        <v>1412</v>
      </c>
      <c r="BK529" s="0" t="s">
        <v>4348</v>
      </c>
    </row>
    <row r="530">
      <c r="A530" s="0">
        <v>5169</v>
      </c>
      <c r="B530" s="0" t="s">
        <v>4349</v>
      </c>
      <c r="C530" s="0" t="s">
        <v>315</v>
      </c>
      <c r="D530" s="0" t="s">
        <v>4333</v>
      </c>
      <c r="E530" s="0" t="s">
        <v>4350</v>
      </c>
      <c r="F530" s="0">
        <v>1</v>
      </c>
      <c r="G530" s="0" t="s">
        <v>319</v>
      </c>
      <c r="H530" s="0" t="s">
        <v>1987</v>
      </c>
      <c r="I530" s="0" t="s">
        <v>4344</v>
      </c>
      <c r="J530" s="0" t="s">
        <v>293</v>
      </c>
      <c r="K530" s="0" t="s">
        <v>294</v>
      </c>
      <c r="L530" s="0" t="s">
        <v>4336</v>
      </c>
      <c r="P530" s="0" t="s">
        <v>1203</v>
      </c>
      <c r="Q530" s="0" t="s">
        <v>1203</v>
      </c>
      <c r="T530" s="0" t="s">
        <v>4351</v>
      </c>
      <c r="U530" s="0" t="s">
        <v>4352</v>
      </c>
      <c r="W530" s="0" t="s">
        <v>4333</v>
      </c>
      <c r="X530" s="0" t="s">
        <v>529</v>
      </c>
      <c r="Y530" s="0" t="s">
        <v>77</v>
      </c>
      <c r="Z530" s="0" t="s">
        <v>3973</v>
      </c>
      <c r="AA530" s="0" t="s">
        <v>173</v>
      </c>
      <c r="AB530" s="0" t="s">
        <v>300</v>
      </c>
      <c r="AD530" s="0" t="s">
        <v>4339</v>
      </c>
      <c r="AF530" s="0" t="s">
        <v>301</v>
      </c>
      <c r="AP530" s="0" t="s">
        <v>305</v>
      </c>
      <c r="BA530" s="0">
        <v>490</v>
      </c>
      <c r="BB530" s="0" t="s">
        <v>232</v>
      </c>
      <c r="BC530" s="0">
        <v>2</v>
      </c>
      <c r="BD530" s="0">
        <v>374043</v>
      </c>
      <c r="BE530" s="0">
        <v>519953</v>
      </c>
      <c r="BF530" s="0">
        <v>2</v>
      </c>
      <c r="BG530" s="0" t="s">
        <v>4353</v>
      </c>
      <c r="BI530" s="0">
        <v>770</v>
      </c>
      <c r="BK530" s="0" t="s">
        <v>4354</v>
      </c>
    </row>
    <row r="531">
      <c r="A531" s="0">
        <v>5181</v>
      </c>
      <c r="B531" s="0" t="s">
        <v>4355</v>
      </c>
      <c r="C531" s="0" t="s">
        <v>315</v>
      </c>
      <c r="D531" s="0" t="s">
        <v>4333</v>
      </c>
      <c r="E531" s="0" t="s">
        <v>4356</v>
      </c>
      <c r="F531" s="0">
        <v>1</v>
      </c>
      <c r="G531" s="0" t="s">
        <v>319</v>
      </c>
      <c r="H531" s="0" t="s">
        <v>1987</v>
      </c>
      <c r="I531" s="0" t="s">
        <v>4335</v>
      </c>
      <c r="J531" s="0" t="s">
        <v>293</v>
      </c>
      <c r="K531" s="0" t="s">
        <v>294</v>
      </c>
      <c r="L531" s="0" t="s">
        <v>918</v>
      </c>
      <c r="M531" s="0" t="s">
        <v>525</v>
      </c>
      <c r="N531" s="0" t="s">
        <v>594</v>
      </c>
      <c r="O531" s="0" t="s">
        <v>1683</v>
      </c>
      <c r="P531" s="0" t="s">
        <v>1191</v>
      </c>
      <c r="Q531" s="0" t="s">
        <v>1191</v>
      </c>
      <c r="R531" s="0" t="s">
        <v>1232</v>
      </c>
      <c r="T531" s="0" t="s">
        <v>4357</v>
      </c>
      <c r="U531" s="0" t="s">
        <v>4358</v>
      </c>
      <c r="W531" s="0" t="s">
        <v>4333</v>
      </c>
      <c r="X531" s="0" t="s">
        <v>529</v>
      </c>
      <c r="Y531" s="0" t="s">
        <v>77</v>
      </c>
      <c r="Z531" s="0" t="s">
        <v>3973</v>
      </c>
      <c r="AA531" s="0" t="s">
        <v>173</v>
      </c>
      <c r="AB531" s="0" t="s">
        <v>300</v>
      </c>
      <c r="AD531" s="0" t="s">
        <v>4339</v>
      </c>
      <c r="AF531" s="0" t="s">
        <v>301</v>
      </c>
      <c r="AP531" s="0" t="s">
        <v>305</v>
      </c>
      <c r="BA531" s="0">
        <v>490</v>
      </c>
      <c r="BB531" s="0" t="s">
        <v>232</v>
      </c>
      <c r="BC531" s="0">
        <v>2</v>
      </c>
      <c r="BD531" s="0">
        <v>374043</v>
      </c>
      <c r="BE531" s="0">
        <v>519953</v>
      </c>
      <c r="BF531" s="0">
        <v>2</v>
      </c>
      <c r="BG531" s="0" t="s">
        <v>4359</v>
      </c>
      <c r="BI531" s="0">
        <v>1103</v>
      </c>
      <c r="BK531" s="0" t="s">
        <v>4360</v>
      </c>
    </row>
    <row r="532">
      <c r="A532" s="0">
        <v>5184</v>
      </c>
      <c r="B532" s="0" t="s">
        <v>4361</v>
      </c>
      <c r="C532" s="0" t="s">
        <v>315</v>
      </c>
      <c r="D532" s="0" t="s">
        <v>4333</v>
      </c>
      <c r="E532" s="0" t="s">
        <v>4362</v>
      </c>
      <c r="F532" s="0">
        <v>1</v>
      </c>
      <c r="G532" s="0" t="s">
        <v>319</v>
      </c>
      <c r="H532" s="0" t="s">
        <v>4363</v>
      </c>
      <c r="I532" s="0" t="s">
        <v>4364</v>
      </c>
      <c r="J532" s="0" t="s">
        <v>525</v>
      </c>
      <c r="K532" s="0" t="s">
        <v>400</v>
      </c>
      <c r="L532" s="0" t="s">
        <v>1133</v>
      </c>
      <c r="P532" s="0" t="s">
        <v>1191</v>
      </c>
      <c r="Q532" s="0" t="s">
        <v>1191</v>
      </c>
      <c r="R532" s="0" t="s">
        <v>1232</v>
      </c>
      <c r="T532" s="0" t="s">
        <v>4365</v>
      </c>
      <c r="U532" s="0" t="s">
        <v>4366</v>
      </c>
      <c r="W532" s="0" t="s">
        <v>4333</v>
      </c>
      <c r="X532" s="0" t="s">
        <v>529</v>
      </c>
      <c r="Y532" s="0" t="s">
        <v>77</v>
      </c>
      <c r="Z532" s="0" t="s">
        <v>3973</v>
      </c>
      <c r="AA532" s="0" t="s">
        <v>173</v>
      </c>
      <c r="AB532" s="0" t="s">
        <v>300</v>
      </c>
      <c r="AD532" s="0" t="s">
        <v>4339</v>
      </c>
      <c r="AF532" s="0" t="s">
        <v>301</v>
      </c>
      <c r="AP532" s="0" t="s">
        <v>305</v>
      </c>
      <c r="BA532" s="0">
        <v>490</v>
      </c>
      <c r="BB532" s="0" t="s">
        <v>232</v>
      </c>
      <c r="BC532" s="0">
        <v>2</v>
      </c>
      <c r="BD532" s="0">
        <v>374043</v>
      </c>
      <c r="BE532" s="0">
        <v>519953</v>
      </c>
      <c r="BF532" s="0">
        <v>2</v>
      </c>
      <c r="BG532" s="0" t="s">
        <v>4367</v>
      </c>
      <c r="BI532" s="0">
        <v>1925</v>
      </c>
      <c r="BK532" s="0" t="s">
        <v>4368</v>
      </c>
    </row>
    <row r="533">
      <c r="A533" s="0">
        <v>5183</v>
      </c>
      <c r="B533" s="0" t="s">
        <v>4369</v>
      </c>
      <c r="C533" s="0" t="s">
        <v>315</v>
      </c>
      <c r="D533" s="0" t="s">
        <v>4333</v>
      </c>
      <c r="E533" s="0" t="s">
        <v>4370</v>
      </c>
      <c r="F533" s="0">
        <v>1</v>
      </c>
      <c r="G533" s="0" t="s">
        <v>293</v>
      </c>
      <c r="H533" s="0" t="s">
        <v>294</v>
      </c>
      <c r="I533" s="0" t="s">
        <v>295</v>
      </c>
      <c r="J533" s="0" t="s">
        <v>525</v>
      </c>
      <c r="K533" s="0" t="s">
        <v>400</v>
      </c>
      <c r="L533" s="0" t="s">
        <v>1133</v>
      </c>
      <c r="P533" s="0" t="s">
        <v>1203</v>
      </c>
      <c r="Q533" s="0" t="s">
        <v>1203</v>
      </c>
      <c r="T533" s="0" t="s">
        <v>4371</v>
      </c>
      <c r="U533" s="0" t="s">
        <v>4372</v>
      </c>
      <c r="W533" s="0" t="s">
        <v>4333</v>
      </c>
      <c r="X533" s="0" t="s">
        <v>529</v>
      </c>
      <c r="Y533" s="0" t="s">
        <v>77</v>
      </c>
      <c r="Z533" s="0" t="s">
        <v>3973</v>
      </c>
      <c r="AA533" s="0" t="s">
        <v>173</v>
      </c>
      <c r="AB533" s="0" t="s">
        <v>300</v>
      </c>
      <c r="AD533" s="0" t="s">
        <v>4339</v>
      </c>
      <c r="AF533" s="0" t="s">
        <v>301</v>
      </c>
      <c r="AP533" s="0" t="s">
        <v>305</v>
      </c>
      <c r="BA533" s="0">
        <v>490</v>
      </c>
      <c r="BB533" s="0" t="s">
        <v>232</v>
      </c>
      <c r="BC533" s="0">
        <v>2</v>
      </c>
      <c r="BD533" s="0">
        <v>374043</v>
      </c>
      <c r="BE533" s="0">
        <v>519953</v>
      </c>
      <c r="BF533" s="0">
        <v>2</v>
      </c>
      <c r="BG533" s="0" t="s">
        <v>4373</v>
      </c>
      <c r="BI533" s="0">
        <v>1679</v>
      </c>
      <c r="BK533" s="0" t="s">
        <v>4374</v>
      </c>
    </row>
    <row r="534">
      <c r="A534" s="0">
        <v>5174</v>
      </c>
      <c r="B534" s="0" t="s">
        <v>4375</v>
      </c>
      <c r="C534" s="0" t="s">
        <v>4376</v>
      </c>
      <c r="D534" s="0" t="s">
        <v>4377</v>
      </c>
      <c r="E534" s="0" t="s">
        <v>4378</v>
      </c>
      <c r="F534" s="0">
        <v>1</v>
      </c>
      <c r="G534" s="0" t="s">
        <v>319</v>
      </c>
      <c r="H534" s="0" t="s">
        <v>1745</v>
      </c>
      <c r="I534" s="0" t="s">
        <v>1746</v>
      </c>
      <c r="K534" s="0" t="s">
        <v>400</v>
      </c>
      <c r="P534" s="0" t="s">
        <v>323</v>
      </c>
      <c r="Q534" s="0" t="s">
        <v>323</v>
      </c>
      <c r="R534" s="0" t="s">
        <v>961</v>
      </c>
      <c r="T534" s="0" t="s">
        <v>4379</v>
      </c>
      <c r="U534" s="0" t="s">
        <v>4380</v>
      </c>
      <c r="W534" s="0" t="s">
        <v>4377</v>
      </c>
      <c r="X534" s="0" t="s">
        <v>529</v>
      </c>
      <c r="Y534" s="0" t="s">
        <v>171</v>
      </c>
      <c r="Z534" s="0" t="s">
        <v>1735</v>
      </c>
      <c r="AA534" s="0" t="s">
        <v>170</v>
      </c>
      <c r="AB534" s="0" t="s">
        <v>531</v>
      </c>
      <c r="AC534" s="0" t="s">
        <v>532</v>
      </c>
      <c r="AD534" s="0" t="s">
        <v>4381</v>
      </c>
      <c r="AF534" s="0" t="s">
        <v>301</v>
      </c>
      <c r="AP534" s="0" t="s">
        <v>305</v>
      </c>
      <c r="BA534" s="0">
        <v>491</v>
      </c>
      <c r="BB534" s="0" t="s">
        <v>232</v>
      </c>
      <c r="BC534" s="0">
        <v>2</v>
      </c>
      <c r="BD534" s="0">
        <v>374062</v>
      </c>
      <c r="BE534" s="0">
        <v>412</v>
      </c>
      <c r="BF534" s="0">
        <v>2</v>
      </c>
      <c r="BG534" s="0" t="s">
        <v>4382</v>
      </c>
      <c r="BI534" s="0">
        <v>373</v>
      </c>
      <c r="BK534" s="0" t="s">
        <v>4383</v>
      </c>
    </row>
    <row r="535">
      <c r="A535" s="0">
        <v>5175</v>
      </c>
      <c r="B535" s="0" t="s">
        <v>1846</v>
      </c>
      <c r="C535" s="0" t="s">
        <v>315</v>
      </c>
      <c r="D535" s="0" t="s">
        <v>4377</v>
      </c>
      <c r="E535" s="0" t="s">
        <v>1681</v>
      </c>
      <c r="F535" s="0">
        <v>1</v>
      </c>
      <c r="G535" s="0" t="s">
        <v>319</v>
      </c>
      <c r="H535" s="0" t="s">
        <v>1745</v>
      </c>
      <c r="I535" s="0" t="s">
        <v>1746</v>
      </c>
      <c r="K535" s="0" t="s">
        <v>400</v>
      </c>
      <c r="P535" s="0" t="s">
        <v>323</v>
      </c>
      <c r="Q535" s="0" t="s">
        <v>323</v>
      </c>
      <c r="R535" s="0" t="s">
        <v>961</v>
      </c>
      <c r="U535" s="0" t="s">
        <v>4384</v>
      </c>
      <c r="W535" s="0" t="s">
        <v>4377</v>
      </c>
      <c r="X535" s="0" t="s">
        <v>529</v>
      </c>
      <c r="Y535" s="0" t="s">
        <v>171</v>
      </c>
      <c r="Z535" s="0" t="s">
        <v>1735</v>
      </c>
      <c r="AA535" s="0" t="s">
        <v>170</v>
      </c>
      <c r="AB535" s="0" t="s">
        <v>531</v>
      </c>
      <c r="AC535" s="0" t="s">
        <v>532</v>
      </c>
      <c r="AD535" s="0" t="s">
        <v>4381</v>
      </c>
      <c r="AF535" s="0" t="s">
        <v>301</v>
      </c>
      <c r="AP535" s="0" t="s">
        <v>305</v>
      </c>
      <c r="BA535" s="0">
        <v>491</v>
      </c>
      <c r="BB535" s="0" t="s">
        <v>232</v>
      </c>
      <c r="BC535" s="0">
        <v>2</v>
      </c>
      <c r="BD535" s="0">
        <v>374043</v>
      </c>
      <c r="BE535" s="0">
        <v>412</v>
      </c>
      <c r="BF535" s="0">
        <v>2</v>
      </c>
      <c r="BG535" s="0" t="s">
        <v>4385</v>
      </c>
      <c r="BI535" s="0">
        <v>776</v>
      </c>
      <c r="BK535" s="0" t="s">
        <v>4386</v>
      </c>
    </row>
    <row r="536">
      <c r="A536" s="0">
        <v>5178</v>
      </c>
      <c r="B536" s="0" t="s">
        <v>4387</v>
      </c>
      <c r="C536" s="0" t="s">
        <v>315</v>
      </c>
      <c r="D536" s="0" t="s">
        <v>4377</v>
      </c>
      <c r="E536" s="0" t="s">
        <v>4388</v>
      </c>
      <c r="F536" s="0">
        <v>1</v>
      </c>
      <c r="G536" s="0" t="s">
        <v>293</v>
      </c>
      <c r="H536" s="0" t="s">
        <v>294</v>
      </c>
      <c r="I536" s="0" t="s">
        <v>295</v>
      </c>
      <c r="J536" s="0" t="s">
        <v>555</v>
      </c>
      <c r="K536" s="0" t="s">
        <v>1693</v>
      </c>
      <c r="L536" s="0" t="s">
        <v>2947</v>
      </c>
      <c r="P536" s="0" t="s">
        <v>1667</v>
      </c>
      <c r="Q536" s="0" t="s">
        <v>1686</v>
      </c>
      <c r="R536" s="0" t="s">
        <v>1232</v>
      </c>
      <c r="T536" s="0" t="s">
        <v>4389</v>
      </c>
      <c r="U536" s="0" t="s">
        <v>4390</v>
      </c>
      <c r="X536" s="0" t="s">
        <v>529</v>
      </c>
      <c r="Y536" s="0" t="s">
        <v>150</v>
      </c>
      <c r="Z536" s="0" t="s">
        <v>1919</v>
      </c>
      <c r="AA536" s="0" t="s">
        <v>212</v>
      </c>
      <c r="AB536" s="0" t="s">
        <v>300</v>
      </c>
      <c r="AE536" s="0" t="s">
        <v>4391</v>
      </c>
      <c r="AF536" s="0" t="s">
        <v>301</v>
      </c>
      <c r="AP536" s="0" t="s">
        <v>305</v>
      </c>
      <c r="BA536" s="0">
        <v>492</v>
      </c>
      <c r="BB536" s="0" t="s">
        <v>232</v>
      </c>
      <c r="BC536" s="0">
        <v>2</v>
      </c>
      <c r="BD536" s="0">
        <v>374043</v>
      </c>
      <c r="BE536" s="0">
        <v>142781</v>
      </c>
      <c r="BF536" s="0">
        <v>2</v>
      </c>
      <c r="BG536" s="0" t="s">
        <v>4392</v>
      </c>
      <c r="BI536" s="0">
        <v>1107</v>
      </c>
      <c r="BK536" s="0" t="s">
        <v>4393</v>
      </c>
    </row>
    <row r="537">
      <c r="A537" s="0">
        <v>5179</v>
      </c>
      <c r="B537" s="0" t="s">
        <v>4394</v>
      </c>
      <c r="C537" s="0" t="s">
        <v>339</v>
      </c>
      <c r="D537" s="0" t="s">
        <v>4377</v>
      </c>
      <c r="E537" s="0" t="s">
        <v>4395</v>
      </c>
      <c r="F537" s="0">
        <v>1</v>
      </c>
      <c r="G537" s="0" t="s">
        <v>319</v>
      </c>
      <c r="H537" s="0" t="s">
        <v>523</v>
      </c>
      <c r="I537" s="0" t="s">
        <v>524</v>
      </c>
      <c r="J537" s="0" t="s">
        <v>508</v>
      </c>
      <c r="P537" s="0" t="s">
        <v>1667</v>
      </c>
      <c r="Q537" s="0" t="s">
        <v>1203</v>
      </c>
      <c r="R537" s="0" t="s">
        <v>419</v>
      </c>
      <c r="T537" s="0" t="s">
        <v>4396</v>
      </c>
      <c r="U537" s="0" t="s">
        <v>4397</v>
      </c>
      <c r="X537" s="0" t="s">
        <v>529</v>
      </c>
      <c r="Y537" s="0" t="s">
        <v>150</v>
      </c>
      <c r="Z537" s="0" t="s">
        <v>1919</v>
      </c>
      <c r="AA537" s="0" t="s">
        <v>212</v>
      </c>
      <c r="AB537" s="0" t="s">
        <v>300</v>
      </c>
      <c r="AE537" s="0" t="s">
        <v>4391</v>
      </c>
      <c r="AF537" s="0" t="s">
        <v>301</v>
      </c>
      <c r="AM537" s="0" t="s">
        <v>438</v>
      </c>
      <c r="AN537" s="0" t="s">
        <v>439</v>
      </c>
      <c r="AO537" s="0" t="s">
        <v>440</v>
      </c>
      <c r="AP537" s="0" t="s">
        <v>305</v>
      </c>
      <c r="AQ537" s="0" t="s">
        <v>441</v>
      </c>
      <c r="AR537" s="0" t="s">
        <v>442</v>
      </c>
      <c r="AU537" s="0">
        <v>42</v>
      </c>
      <c r="AV537" s="0" t="s">
        <v>977</v>
      </c>
      <c r="AW537" s="0" t="s">
        <v>332</v>
      </c>
      <c r="AX537" s="0" t="s">
        <v>443</v>
      </c>
      <c r="AY537" s="0" t="s">
        <v>444</v>
      </c>
      <c r="AZ537" s="0" t="s">
        <v>445</v>
      </c>
      <c r="BA537" s="0">
        <v>492</v>
      </c>
      <c r="BB537" s="0" t="s">
        <v>232</v>
      </c>
      <c r="BC537" s="0">
        <v>2</v>
      </c>
      <c r="BD537" s="0">
        <v>8</v>
      </c>
      <c r="BE537" s="0">
        <v>142781</v>
      </c>
      <c r="BF537" s="0">
        <v>2</v>
      </c>
      <c r="BG537" s="0" t="s">
        <v>4398</v>
      </c>
      <c r="BI537" s="0">
        <v>1415</v>
      </c>
      <c r="BK537" s="0" t="s">
        <v>4399</v>
      </c>
    </row>
    <row r="538">
      <c r="A538" s="0">
        <v>5247</v>
      </c>
      <c r="B538" s="0" t="s">
        <v>4400</v>
      </c>
      <c r="C538" s="0" t="s">
        <v>2620</v>
      </c>
      <c r="E538" s="0" t="s">
        <v>4401</v>
      </c>
      <c r="F538" s="0">
        <v>1</v>
      </c>
      <c r="G538" s="0" t="s">
        <v>319</v>
      </c>
      <c r="H538" s="0" t="s">
        <v>879</v>
      </c>
      <c r="I538" s="0" t="s">
        <v>471</v>
      </c>
      <c r="J538" s="0" t="s">
        <v>400</v>
      </c>
      <c r="K538" s="0" t="s">
        <v>1190</v>
      </c>
      <c r="L538" s="0" t="s">
        <v>469</v>
      </c>
      <c r="P538" s="0" t="s">
        <v>1667</v>
      </c>
      <c r="Q538" s="0" t="s">
        <v>1686</v>
      </c>
      <c r="R538" s="0" t="s">
        <v>1695</v>
      </c>
      <c r="X538" s="0" t="s">
        <v>1116</v>
      </c>
      <c r="Y538" s="0" t="s">
        <v>150</v>
      </c>
      <c r="Z538" s="0" t="s">
        <v>1919</v>
      </c>
      <c r="AA538" s="0" t="s">
        <v>212</v>
      </c>
      <c r="AB538" s="0" t="s">
        <v>300</v>
      </c>
      <c r="AE538" s="0" t="s">
        <v>4391</v>
      </c>
      <c r="AF538" s="0" t="s">
        <v>301</v>
      </c>
      <c r="AP538" s="0" t="s">
        <v>305</v>
      </c>
      <c r="BA538" s="0">
        <v>492</v>
      </c>
      <c r="BB538" s="0" t="s">
        <v>232</v>
      </c>
      <c r="BC538" s="0">
        <v>2</v>
      </c>
      <c r="BD538" s="0">
        <v>34</v>
      </c>
      <c r="BE538" s="0">
        <v>142781</v>
      </c>
      <c r="BF538" s="0">
        <v>1</v>
      </c>
      <c r="BG538" s="0" t="s">
        <v>4402</v>
      </c>
      <c r="BI538" s="0">
        <v>2223</v>
      </c>
      <c r="BK538" s="0" t="s">
        <v>4403</v>
      </c>
    </row>
    <row r="539">
      <c r="A539" s="0">
        <v>5176</v>
      </c>
      <c r="B539" s="0" t="s">
        <v>4404</v>
      </c>
      <c r="C539" s="0" t="s">
        <v>315</v>
      </c>
      <c r="D539" s="0" t="s">
        <v>4377</v>
      </c>
      <c r="E539" s="0" t="s">
        <v>4405</v>
      </c>
      <c r="F539" s="0">
        <v>1</v>
      </c>
      <c r="G539" s="0" t="s">
        <v>319</v>
      </c>
      <c r="H539" s="0" t="s">
        <v>398</v>
      </c>
      <c r="J539" s="0" t="s">
        <v>508</v>
      </c>
      <c r="K539" s="0" t="s">
        <v>4406</v>
      </c>
      <c r="P539" s="0" t="s">
        <v>1667</v>
      </c>
      <c r="Q539" s="0" t="s">
        <v>1686</v>
      </c>
      <c r="T539" s="0" t="s">
        <v>4407</v>
      </c>
      <c r="U539" s="0" t="s">
        <v>4408</v>
      </c>
      <c r="X539" s="0" t="s">
        <v>529</v>
      </c>
      <c r="Y539" s="0" t="s">
        <v>150</v>
      </c>
      <c r="Z539" s="0" t="s">
        <v>1919</v>
      </c>
      <c r="AA539" s="0" t="s">
        <v>212</v>
      </c>
      <c r="AB539" s="0" t="s">
        <v>300</v>
      </c>
      <c r="AE539" s="0" t="s">
        <v>4391</v>
      </c>
      <c r="AF539" s="0" t="s">
        <v>301</v>
      </c>
      <c r="AP539" s="0" t="s">
        <v>305</v>
      </c>
      <c r="BA539" s="0">
        <v>492</v>
      </c>
      <c r="BB539" s="0" t="s">
        <v>232</v>
      </c>
      <c r="BC539" s="0">
        <v>2</v>
      </c>
      <c r="BD539" s="0">
        <v>374043</v>
      </c>
      <c r="BE539" s="0">
        <v>142781</v>
      </c>
      <c r="BF539" s="0">
        <v>2</v>
      </c>
      <c r="BG539" s="0" t="s">
        <v>4409</v>
      </c>
      <c r="BI539" s="0">
        <v>374</v>
      </c>
      <c r="BK539" s="0" t="s">
        <v>4410</v>
      </c>
    </row>
    <row r="540">
      <c r="A540" s="0">
        <v>5180</v>
      </c>
      <c r="B540" s="0" t="s">
        <v>4411</v>
      </c>
      <c r="C540" s="0" t="s">
        <v>290</v>
      </c>
      <c r="D540" s="0" t="s">
        <v>4377</v>
      </c>
      <c r="E540" s="0" t="s">
        <v>4412</v>
      </c>
      <c r="F540" s="0">
        <v>1</v>
      </c>
      <c r="G540" s="0" t="s">
        <v>378</v>
      </c>
      <c r="H540" s="0" t="s">
        <v>379</v>
      </c>
      <c r="I540" s="0" t="s">
        <v>359</v>
      </c>
      <c r="J540" s="0" t="s">
        <v>592</v>
      </c>
      <c r="K540" s="0" t="s">
        <v>381</v>
      </c>
      <c r="P540" s="0" t="s">
        <v>434</v>
      </c>
      <c r="Q540" s="0" t="s">
        <v>434</v>
      </c>
      <c r="T540" s="0" t="s">
        <v>4413</v>
      </c>
      <c r="U540" s="0" t="s">
        <v>4414</v>
      </c>
      <c r="X540" s="0" t="s">
        <v>529</v>
      </c>
      <c r="Y540" s="0" t="s">
        <v>150</v>
      </c>
      <c r="Z540" s="0" t="s">
        <v>1919</v>
      </c>
      <c r="AA540" s="0" t="s">
        <v>212</v>
      </c>
      <c r="AB540" s="0" t="s">
        <v>300</v>
      </c>
      <c r="AE540" s="0" t="s">
        <v>4391</v>
      </c>
      <c r="AF540" s="0" t="s">
        <v>301</v>
      </c>
      <c r="AP540" s="0" t="s">
        <v>305</v>
      </c>
      <c r="BA540" s="0">
        <v>492</v>
      </c>
      <c r="BB540" s="0" t="s">
        <v>232</v>
      </c>
      <c r="BC540" s="0">
        <v>2</v>
      </c>
      <c r="BD540" s="0">
        <v>374053</v>
      </c>
      <c r="BE540" s="0">
        <v>142781</v>
      </c>
      <c r="BF540" s="0">
        <v>2</v>
      </c>
      <c r="BG540" s="0" t="s">
        <v>4415</v>
      </c>
      <c r="BI540" s="0">
        <v>1682</v>
      </c>
      <c r="BK540" s="0" t="s">
        <v>4416</v>
      </c>
    </row>
    <row r="541">
      <c r="A541" s="0">
        <v>5177</v>
      </c>
      <c r="B541" s="0" t="s">
        <v>4417</v>
      </c>
      <c r="C541" s="0" t="s">
        <v>945</v>
      </c>
      <c r="D541" s="0" t="s">
        <v>4377</v>
      </c>
      <c r="E541" s="0" t="s">
        <v>4418</v>
      </c>
      <c r="F541" s="0">
        <v>1</v>
      </c>
      <c r="G541" s="0" t="s">
        <v>543</v>
      </c>
      <c r="H541" s="0" t="s">
        <v>4419</v>
      </c>
      <c r="I541" s="0" t="s">
        <v>729</v>
      </c>
      <c r="J541" s="0" t="s">
        <v>400</v>
      </c>
      <c r="K541" s="0" t="s">
        <v>4406</v>
      </c>
      <c r="L541" s="0" t="s">
        <v>729</v>
      </c>
      <c r="P541" s="0" t="s">
        <v>1667</v>
      </c>
      <c r="Q541" s="0" t="s">
        <v>1686</v>
      </c>
      <c r="R541" s="0" t="s">
        <v>324</v>
      </c>
      <c r="T541" s="0" t="s">
        <v>4420</v>
      </c>
      <c r="U541" s="0" t="s">
        <v>4421</v>
      </c>
      <c r="X541" s="0" t="s">
        <v>529</v>
      </c>
      <c r="Y541" s="0" t="s">
        <v>150</v>
      </c>
      <c r="Z541" s="0" t="s">
        <v>1919</v>
      </c>
      <c r="AA541" s="0" t="s">
        <v>212</v>
      </c>
      <c r="AB541" s="0" t="s">
        <v>300</v>
      </c>
      <c r="AE541" s="0" t="s">
        <v>4391</v>
      </c>
      <c r="AF541" s="0" t="s">
        <v>301</v>
      </c>
      <c r="AP541" s="0" t="s">
        <v>305</v>
      </c>
      <c r="BA541" s="0">
        <v>492</v>
      </c>
      <c r="BB541" s="0" t="s">
        <v>232</v>
      </c>
      <c r="BC541" s="0">
        <v>2</v>
      </c>
      <c r="BD541" s="0">
        <v>14</v>
      </c>
      <c r="BE541" s="0">
        <v>142781</v>
      </c>
      <c r="BF541" s="0">
        <v>2</v>
      </c>
      <c r="BG541" s="0" t="s">
        <v>4422</v>
      </c>
      <c r="BI541" s="0">
        <v>775</v>
      </c>
      <c r="BK541" s="0" t="s">
        <v>4423</v>
      </c>
    </row>
    <row r="542">
      <c r="A542" s="0">
        <v>5188</v>
      </c>
      <c r="B542" s="0" t="s">
        <v>4424</v>
      </c>
      <c r="C542" s="0" t="s">
        <v>945</v>
      </c>
      <c r="D542" s="0" t="s">
        <v>4377</v>
      </c>
      <c r="E542" s="0" t="s">
        <v>4425</v>
      </c>
      <c r="F542" s="0">
        <v>1</v>
      </c>
      <c r="G542" s="0" t="s">
        <v>400</v>
      </c>
      <c r="H542" s="0" t="s">
        <v>729</v>
      </c>
      <c r="J542" s="0" t="s">
        <v>543</v>
      </c>
      <c r="K542" s="0" t="s">
        <v>729</v>
      </c>
      <c r="T542" s="0" t="s">
        <v>4426</v>
      </c>
      <c r="U542" s="0" t="s">
        <v>4427</v>
      </c>
      <c r="X542" s="0" t="s">
        <v>529</v>
      </c>
      <c r="Y542" s="0" t="s">
        <v>150</v>
      </c>
      <c r="Z542" s="0" t="s">
        <v>1919</v>
      </c>
      <c r="AA542" s="0" t="s">
        <v>212</v>
      </c>
      <c r="AB542" s="0" t="s">
        <v>300</v>
      </c>
      <c r="AE542" s="0" t="s">
        <v>4391</v>
      </c>
      <c r="AF542" s="0" t="s">
        <v>301</v>
      </c>
      <c r="AP542" s="0" t="s">
        <v>305</v>
      </c>
      <c r="BA542" s="0">
        <v>492</v>
      </c>
      <c r="BB542" s="0" t="s">
        <v>232</v>
      </c>
      <c r="BC542" s="0">
        <v>2</v>
      </c>
      <c r="BD542" s="0">
        <v>14</v>
      </c>
      <c r="BE542" s="0">
        <v>142781</v>
      </c>
      <c r="BF542" s="0">
        <v>2</v>
      </c>
      <c r="BG542" s="0" t="s">
        <v>4428</v>
      </c>
      <c r="BI542" s="0">
        <v>2158</v>
      </c>
      <c r="BK542" s="0" t="s">
        <v>4429</v>
      </c>
    </row>
    <row r="543">
      <c r="A543" s="0">
        <v>5187</v>
      </c>
      <c r="B543" s="0" t="s">
        <v>4430</v>
      </c>
      <c r="C543" s="0" t="s">
        <v>945</v>
      </c>
      <c r="D543" s="0" t="s">
        <v>4377</v>
      </c>
      <c r="E543" s="0" t="s">
        <v>4431</v>
      </c>
      <c r="F543" s="0">
        <v>1</v>
      </c>
      <c r="G543" s="0" t="s">
        <v>400</v>
      </c>
      <c r="H543" s="0" t="s">
        <v>729</v>
      </c>
      <c r="J543" s="0" t="s">
        <v>543</v>
      </c>
      <c r="K543" s="0" t="s">
        <v>729</v>
      </c>
      <c r="P543" s="0" t="s">
        <v>4432</v>
      </c>
      <c r="R543" s="0" t="s">
        <v>324</v>
      </c>
      <c r="T543" s="0" t="s">
        <v>4433</v>
      </c>
      <c r="U543" s="0" t="s">
        <v>4434</v>
      </c>
      <c r="X543" s="0" t="s">
        <v>529</v>
      </c>
      <c r="Y543" s="0" t="s">
        <v>150</v>
      </c>
      <c r="Z543" s="0" t="s">
        <v>1919</v>
      </c>
      <c r="AA543" s="0" t="s">
        <v>212</v>
      </c>
      <c r="AB543" s="0" t="s">
        <v>300</v>
      </c>
      <c r="AE543" s="0" t="s">
        <v>4391</v>
      </c>
      <c r="AF543" s="0" t="s">
        <v>301</v>
      </c>
      <c r="AP543" s="0" t="s">
        <v>305</v>
      </c>
      <c r="BA543" s="0">
        <v>492</v>
      </c>
      <c r="BB543" s="0" t="s">
        <v>232</v>
      </c>
      <c r="BC543" s="0">
        <v>2</v>
      </c>
      <c r="BD543" s="0">
        <v>14</v>
      </c>
      <c r="BE543" s="0">
        <v>142781</v>
      </c>
      <c r="BF543" s="0">
        <v>2</v>
      </c>
      <c r="BG543" s="0" t="s">
        <v>4435</v>
      </c>
      <c r="BI543" s="0">
        <v>1928</v>
      </c>
      <c r="BK543" s="0" t="s">
        <v>4436</v>
      </c>
    </row>
    <row r="544">
      <c r="A544" s="0">
        <v>5193</v>
      </c>
      <c r="B544" s="0" t="s">
        <v>4437</v>
      </c>
      <c r="C544" s="0" t="s">
        <v>656</v>
      </c>
      <c r="D544" s="0" t="s">
        <v>4438</v>
      </c>
      <c r="E544" s="0" t="s">
        <v>4439</v>
      </c>
      <c r="F544" s="0">
        <v>2</v>
      </c>
      <c r="G544" s="0" t="s">
        <v>293</v>
      </c>
      <c r="H544" s="0" t="s">
        <v>294</v>
      </c>
      <c r="I544" s="0" t="s">
        <v>295</v>
      </c>
      <c r="P544" s="0" t="s">
        <v>2040</v>
      </c>
      <c r="R544" s="0" t="s">
        <v>324</v>
      </c>
      <c r="T544" s="0" t="s">
        <v>4440</v>
      </c>
      <c r="U544" s="0" t="s">
        <v>4441</v>
      </c>
      <c r="W544" s="0" t="s">
        <v>4442</v>
      </c>
      <c r="X544" s="0" t="s">
        <v>347</v>
      </c>
      <c r="Y544" s="0" t="s">
        <v>56</v>
      </c>
      <c r="Z544" s="0" t="s">
        <v>570</v>
      </c>
      <c r="AA544" s="0" t="s">
        <v>172</v>
      </c>
      <c r="AB544" s="0" t="s">
        <v>531</v>
      </c>
      <c r="AC544" s="0" t="s">
        <v>532</v>
      </c>
      <c r="AD544" s="0" t="s">
        <v>572</v>
      </c>
      <c r="AF544" s="0" t="s">
        <v>301</v>
      </c>
      <c r="AM544" s="0" t="s">
        <v>1482</v>
      </c>
      <c r="AN544" s="0" t="s">
        <v>762</v>
      </c>
      <c r="AO544" s="0" t="s">
        <v>393</v>
      </c>
      <c r="AP544" s="0" t="s">
        <v>305</v>
      </c>
      <c r="AQ544" s="0" t="s">
        <v>4133</v>
      </c>
      <c r="AR544" s="0" t="s">
        <v>1271</v>
      </c>
      <c r="AU544" s="0">
        <v>873</v>
      </c>
      <c r="AV544" s="0" t="s">
        <v>332</v>
      </c>
      <c r="AX544" s="0" t="s">
        <v>3023</v>
      </c>
      <c r="AY544" s="0" t="s">
        <v>2998</v>
      </c>
      <c r="AZ544" s="0" t="s">
        <v>1772</v>
      </c>
      <c r="BA544" s="0">
        <v>493</v>
      </c>
      <c r="BB544" s="0" t="s">
        <v>232</v>
      </c>
      <c r="BC544" s="0">
        <v>2</v>
      </c>
      <c r="BD544" s="0">
        <v>10</v>
      </c>
      <c r="BE544" s="0">
        <v>519203</v>
      </c>
      <c r="BF544" s="0">
        <v>4</v>
      </c>
      <c r="BG544" s="0" t="s">
        <v>4443</v>
      </c>
      <c r="BI544" s="0">
        <v>1681</v>
      </c>
      <c r="BK544" s="0" t="s">
        <v>4444</v>
      </c>
    </row>
    <row r="545">
      <c r="A545" s="0">
        <v>5190</v>
      </c>
      <c r="B545" s="0" t="s">
        <v>4445</v>
      </c>
      <c r="C545" s="0" t="s">
        <v>656</v>
      </c>
      <c r="D545" s="0" t="s">
        <v>4438</v>
      </c>
      <c r="E545" s="0" t="s">
        <v>4446</v>
      </c>
      <c r="F545" s="0">
        <v>2</v>
      </c>
      <c r="G545" s="0" t="s">
        <v>293</v>
      </c>
      <c r="H545" s="0" t="s">
        <v>294</v>
      </c>
      <c r="I545" s="0" t="s">
        <v>295</v>
      </c>
      <c r="P545" s="0" t="s">
        <v>4447</v>
      </c>
      <c r="Q545" s="0" t="s">
        <v>4448</v>
      </c>
      <c r="R545" s="0" t="s">
        <v>324</v>
      </c>
      <c r="T545" s="0" t="s">
        <v>4449</v>
      </c>
      <c r="U545" s="0" t="s">
        <v>4450</v>
      </c>
      <c r="W545" s="0" t="s">
        <v>4442</v>
      </c>
      <c r="X545" s="0" t="s">
        <v>347</v>
      </c>
      <c r="Y545" s="0" t="s">
        <v>56</v>
      </c>
      <c r="Z545" s="0" t="s">
        <v>570</v>
      </c>
      <c r="AA545" s="0" t="s">
        <v>172</v>
      </c>
      <c r="AB545" s="0" t="s">
        <v>531</v>
      </c>
      <c r="AC545" s="0" t="s">
        <v>532</v>
      </c>
      <c r="AD545" s="0" t="s">
        <v>572</v>
      </c>
      <c r="AF545" s="0" t="s">
        <v>301</v>
      </c>
      <c r="AM545" s="0" t="s">
        <v>627</v>
      </c>
      <c r="AN545" s="0" t="s">
        <v>460</v>
      </c>
      <c r="AO545" s="0" t="s">
        <v>1472</v>
      </c>
      <c r="AP545" s="0" t="s">
        <v>305</v>
      </c>
      <c r="AQ545" s="0" t="s">
        <v>1070</v>
      </c>
      <c r="AR545" s="0" t="s">
        <v>2879</v>
      </c>
      <c r="AU545" s="0">
        <v>140</v>
      </c>
      <c r="AV545" s="0" t="s">
        <v>332</v>
      </c>
      <c r="AX545" s="0" t="s">
        <v>391</v>
      </c>
      <c r="AY545" s="0" t="s">
        <v>3039</v>
      </c>
      <c r="AZ545" s="0" t="s">
        <v>4451</v>
      </c>
      <c r="BA545" s="0">
        <v>493</v>
      </c>
      <c r="BB545" s="0" t="s">
        <v>232</v>
      </c>
      <c r="BC545" s="0">
        <v>2</v>
      </c>
      <c r="BD545" s="0">
        <v>10</v>
      </c>
      <c r="BE545" s="0">
        <v>519203</v>
      </c>
      <c r="BF545" s="0">
        <v>4</v>
      </c>
      <c r="BG545" s="0" t="s">
        <v>4452</v>
      </c>
      <c r="BI545" s="0">
        <v>774</v>
      </c>
      <c r="BK545" s="0" t="s">
        <v>4453</v>
      </c>
    </row>
    <row r="546">
      <c r="A546" s="0">
        <v>5490</v>
      </c>
      <c r="B546" s="0" t="s">
        <v>4454</v>
      </c>
      <c r="C546" s="0" t="s">
        <v>656</v>
      </c>
      <c r="D546" s="0" t="s">
        <v>4455</v>
      </c>
      <c r="E546" s="0" t="s">
        <v>4210</v>
      </c>
      <c r="F546" s="0">
        <v>2</v>
      </c>
      <c r="G546" s="0" t="s">
        <v>293</v>
      </c>
      <c r="H546" s="0" t="s">
        <v>294</v>
      </c>
      <c r="I546" s="0" t="s">
        <v>295</v>
      </c>
      <c r="P546" s="0" t="s">
        <v>4456</v>
      </c>
      <c r="Q546" s="0" t="s">
        <v>4456</v>
      </c>
      <c r="R546" s="0" t="s">
        <v>324</v>
      </c>
      <c r="T546" s="0" t="s">
        <v>4457</v>
      </c>
      <c r="U546" s="0" t="s">
        <v>4458</v>
      </c>
      <c r="W546" s="0" t="s">
        <v>4442</v>
      </c>
      <c r="X546" s="0" t="s">
        <v>347</v>
      </c>
      <c r="Y546" s="0" t="s">
        <v>56</v>
      </c>
      <c r="Z546" s="0" t="s">
        <v>570</v>
      </c>
      <c r="AA546" s="0" t="s">
        <v>172</v>
      </c>
      <c r="AB546" s="0" t="s">
        <v>531</v>
      </c>
      <c r="AC546" s="0" t="s">
        <v>532</v>
      </c>
      <c r="AD546" s="0" t="s">
        <v>572</v>
      </c>
      <c r="AF546" s="0" t="s">
        <v>301</v>
      </c>
      <c r="AM546" s="0" t="s">
        <v>627</v>
      </c>
      <c r="AN546" s="0" t="s">
        <v>573</v>
      </c>
      <c r="AO546" s="0" t="s">
        <v>1472</v>
      </c>
      <c r="AP546" s="0" t="s">
        <v>305</v>
      </c>
      <c r="AQ546" s="0" t="s">
        <v>475</v>
      </c>
      <c r="AR546" s="0" t="s">
        <v>2742</v>
      </c>
      <c r="AU546" s="0">
        <v>195</v>
      </c>
      <c r="AV546" s="0" t="s">
        <v>332</v>
      </c>
      <c r="AX546" s="0" t="s">
        <v>461</v>
      </c>
      <c r="AY546" s="0" t="s">
        <v>391</v>
      </c>
      <c r="AZ546" s="0" t="s">
        <v>4451</v>
      </c>
      <c r="BA546" s="0">
        <v>493</v>
      </c>
      <c r="BB546" s="0" t="s">
        <v>232</v>
      </c>
      <c r="BC546" s="0">
        <v>2</v>
      </c>
      <c r="BD546" s="0">
        <v>10</v>
      </c>
      <c r="BE546" s="0">
        <v>519203</v>
      </c>
      <c r="BF546" s="0">
        <v>4</v>
      </c>
      <c r="BG546" s="0" t="s">
        <v>4459</v>
      </c>
      <c r="BI546" s="0">
        <v>4561</v>
      </c>
      <c r="BK546" s="0" t="s">
        <v>4460</v>
      </c>
    </row>
    <row r="547">
      <c r="A547" s="0">
        <v>5189</v>
      </c>
      <c r="B547" s="0" t="s">
        <v>4461</v>
      </c>
      <c r="C547" s="0" t="s">
        <v>656</v>
      </c>
      <c r="D547" s="0" t="s">
        <v>4438</v>
      </c>
      <c r="E547" s="0" t="s">
        <v>4462</v>
      </c>
      <c r="F547" s="0">
        <v>2</v>
      </c>
      <c r="G547" s="0" t="s">
        <v>293</v>
      </c>
      <c r="H547" s="0" t="s">
        <v>294</v>
      </c>
      <c r="I547" s="0" t="s">
        <v>295</v>
      </c>
      <c r="P547" s="0" t="s">
        <v>2040</v>
      </c>
      <c r="Q547" s="0" t="s">
        <v>2040</v>
      </c>
      <c r="R547" s="0" t="s">
        <v>324</v>
      </c>
      <c r="T547" s="0" t="s">
        <v>4463</v>
      </c>
      <c r="U547" s="0" t="s">
        <v>4464</v>
      </c>
      <c r="W547" s="0" t="s">
        <v>4442</v>
      </c>
      <c r="X547" s="0" t="s">
        <v>347</v>
      </c>
      <c r="Y547" s="0" t="s">
        <v>56</v>
      </c>
      <c r="Z547" s="0" t="s">
        <v>570</v>
      </c>
      <c r="AA547" s="0" t="s">
        <v>172</v>
      </c>
      <c r="AB547" s="0" t="s">
        <v>531</v>
      </c>
      <c r="AC547" s="0" t="s">
        <v>532</v>
      </c>
      <c r="AD547" s="0" t="s">
        <v>572</v>
      </c>
      <c r="AF547" s="0" t="s">
        <v>301</v>
      </c>
      <c r="AM547" s="0" t="s">
        <v>627</v>
      </c>
      <c r="AN547" s="0" t="s">
        <v>4465</v>
      </c>
      <c r="AO547" s="0" t="s">
        <v>1472</v>
      </c>
      <c r="AP547" s="0" t="s">
        <v>305</v>
      </c>
      <c r="AQ547" s="0" t="s">
        <v>442</v>
      </c>
      <c r="AR547" s="0" t="s">
        <v>2998</v>
      </c>
      <c r="AU547" s="0">
        <v>86</v>
      </c>
      <c r="AV547" s="0" t="s">
        <v>332</v>
      </c>
      <c r="AX547" s="0" t="s">
        <v>391</v>
      </c>
      <c r="AY547" s="0" t="s">
        <v>754</v>
      </c>
      <c r="AZ547" s="0" t="s">
        <v>4451</v>
      </c>
      <c r="BA547" s="0">
        <v>493</v>
      </c>
      <c r="BB547" s="0" t="s">
        <v>232</v>
      </c>
      <c r="BC547" s="0">
        <v>2</v>
      </c>
      <c r="BD547" s="0">
        <v>10</v>
      </c>
      <c r="BE547" s="0">
        <v>519203</v>
      </c>
      <c r="BF547" s="0">
        <v>4</v>
      </c>
      <c r="BG547" s="0" t="s">
        <v>4466</v>
      </c>
      <c r="BI547" s="0">
        <v>371</v>
      </c>
      <c r="BK547" s="0" t="s">
        <v>4467</v>
      </c>
    </row>
    <row r="548">
      <c r="A548" s="0">
        <v>5200</v>
      </c>
      <c r="B548" s="0" t="s">
        <v>4468</v>
      </c>
      <c r="C548" s="0" t="s">
        <v>315</v>
      </c>
      <c r="D548" s="0" t="s">
        <v>4438</v>
      </c>
      <c r="E548" s="0" t="s">
        <v>4469</v>
      </c>
      <c r="F548" s="0">
        <v>4</v>
      </c>
      <c r="G548" s="0" t="s">
        <v>293</v>
      </c>
      <c r="H548" s="0" t="s">
        <v>294</v>
      </c>
      <c r="I548" s="0" t="s">
        <v>295</v>
      </c>
      <c r="J548" s="0" t="s">
        <v>592</v>
      </c>
      <c r="K548" s="0" t="s">
        <v>4470</v>
      </c>
      <c r="L548" s="0" t="s">
        <v>4471</v>
      </c>
      <c r="T548" s="0" t="s">
        <v>4472</v>
      </c>
      <c r="U548" s="0" t="s">
        <v>4473</v>
      </c>
      <c r="W548" s="0" t="s">
        <v>4442</v>
      </c>
      <c r="X548" s="0" t="s">
        <v>529</v>
      </c>
      <c r="Y548" s="0" t="s">
        <v>56</v>
      </c>
      <c r="Z548" s="0" t="s">
        <v>570</v>
      </c>
      <c r="AA548" s="0" t="s">
        <v>172</v>
      </c>
      <c r="AB548" s="0" t="s">
        <v>531</v>
      </c>
      <c r="AC548" s="0" t="s">
        <v>532</v>
      </c>
      <c r="AD548" s="0" t="s">
        <v>572</v>
      </c>
      <c r="AF548" s="0" t="s">
        <v>301</v>
      </c>
      <c r="AP548" s="0" t="s">
        <v>305</v>
      </c>
      <c r="BA548" s="0">
        <v>493</v>
      </c>
      <c r="BB548" s="0" t="s">
        <v>232</v>
      </c>
      <c r="BC548" s="0">
        <v>2</v>
      </c>
      <c r="BD548" s="0">
        <v>374043</v>
      </c>
      <c r="BE548" s="0">
        <v>519203</v>
      </c>
      <c r="BF548" s="0">
        <v>2</v>
      </c>
      <c r="BG548" s="0" t="s">
        <v>4474</v>
      </c>
      <c r="BI548" s="0">
        <v>3087</v>
      </c>
      <c r="BK548" s="0" t="s">
        <v>4475</v>
      </c>
    </row>
    <row r="549">
      <c r="A549" s="0">
        <v>5206</v>
      </c>
      <c r="B549" s="0" t="s">
        <v>4476</v>
      </c>
      <c r="C549" s="0" t="s">
        <v>1855</v>
      </c>
      <c r="D549" s="0" t="s">
        <v>4438</v>
      </c>
      <c r="E549" s="0" t="s">
        <v>4477</v>
      </c>
      <c r="F549" s="0">
        <v>2</v>
      </c>
      <c r="G549" s="0" t="s">
        <v>525</v>
      </c>
      <c r="H549" s="0" t="s">
        <v>400</v>
      </c>
      <c r="I549" s="0" t="s">
        <v>1133</v>
      </c>
      <c r="J549" s="0" t="s">
        <v>581</v>
      </c>
      <c r="L549" s="0" t="s">
        <v>583</v>
      </c>
      <c r="T549" s="0" t="s">
        <v>4478</v>
      </c>
      <c r="U549" s="0" t="s">
        <v>4479</v>
      </c>
      <c r="W549" s="0" t="s">
        <v>4442</v>
      </c>
      <c r="X549" s="0" t="s">
        <v>529</v>
      </c>
      <c r="Y549" s="0" t="s">
        <v>56</v>
      </c>
      <c r="Z549" s="0" t="s">
        <v>570</v>
      </c>
      <c r="AA549" s="0" t="s">
        <v>172</v>
      </c>
      <c r="AB549" s="0" t="s">
        <v>531</v>
      </c>
      <c r="AC549" s="0" t="s">
        <v>532</v>
      </c>
      <c r="AD549" s="0" t="s">
        <v>572</v>
      </c>
      <c r="AF549" s="0" t="s">
        <v>301</v>
      </c>
      <c r="AP549" s="0" t="s">
        <v>305</v>
      </c>
      <c r="BA549" s="0">
        <v>493</v>
      </c>
      <c r="BB549" s="0" t="s">
        <v>232</v>
      </c>
      <c r="BC549" s="0">
        <v>2</v>
      </c>
      <c r="BD549" s="0">
        <v>28</v>
      </c>
      <c r="BE549" s="0">
        <v>519203</v>
      </c>
      <c r="BF549" s="0">
        <v>2</v>
      </c>
      <c r="BG549" s="0" t="s">
        <v>4480</v>
      </c>
      <c r="BI549" s="0">
        <v>3822</v>
      </c>
      <c r="BK549" s="0" t="s">
        <v>4481</v>
      </c>
    </row>
    <row r="550">
      <c r="A550" s="0">
        <v>5205</v>
      </c>
      <c r="B550" s="0" t="s">
        <v>4482</v>
      </c>
      <c r="C550" s="0" t="s">
        <v>1855</v>
      </c>
      <c r="D550" s="0" t="s">
        <v>4438</v>
      </c>
      <c r="E550" s="0" t="s">
        <v>4483</v>
      </c>
      <c r="F550" s="0">
        <v>2</v>
      </c>
      <c r="G550" s="0" t="s">
        <v>525</v>
      </c>
      <c r="H550" s="0" t="s">
        <v>400</v>
      </c>
      <c r="I550" s="0" t="s">
        <v>1133</v>
      </c>
      <c r="J550" s="0" t="s">
        <v>581</v>
      </c>
      <c r="L550" s="0" t="s">
        <v>583</v>
      </c>
      <c r="T550" s="0" t="s">
        <v>4484</v>
      </c>
      <c r="U550" s="0" t="s">
        <v>4485</v>
      </c>
      <c r="W550" s="0" t="s">
        <v>4442</v>
      </c>
      <c r="X550" s="0" t="s">
        <v>529</v>
      </c>
      <c r="Y550" s="0" t="s">
        <v>56</v>
      </c>
      <c r="Z550" s="0" t="s">
        <v>570</v>
      </c>
      <c r="AA550" s="0" t="s">
        <v>172</v>
      </c>
      <c r="AB550" s="0" t="s">
        <v>531</v>
      </c>
      <c r="AC550" s="0" t="s">
        <v>532</v>
      </c>
      <c r="AD550" s="0" t="s">
        <v>572</v>
      </c>
      <c r="AF550" s="0" t="s">
        <v>301</v>
      </c>
      <c r="AP550" s="0" t="s">
        <v>305</v>
      </c>
      <c r="BA550" s="0">
        <v>493</v>
      </c>
      <c r="BB550" s="0" t="s">
        <v>232</v>
      </c>
      <c r="BC550" s="0">
        <v>2</v>
      </c>
      <c r="BD550" s="0">
        <v>28</v>
      </c>
      <c r="BE550" s="0">
        <v>519203</v>
      </c>
      <c r="BF550" s="0">
        <v>2</v>
      </c>
      <c r="BG550" s="0" t="s">
        <v>4486</v>
      </c>
      <c r="BI550" s="0">
        <v>3723</v>
      </c>
      <c r="BK550" s="0" t="s">
        <v>4487</v>
      </c>
    </row>
    <row r="551">
      <c r="A551" s="0">
        <v>5397</v>
      </c>
      <c r="B551" s="0" t="s">
        <v>4488</v>
      </c>
      <c r="C551" s="0" t="s">
        <v>315</v>
      </c>
      <c r="D551" s="0" t="s">
        <v>1411</v>
      </c>
      <c r="E551" s="0" t="s">
        <v>4489</v>
      </c>
      <c r="F551" s="0">
        <v>2</v>
      </c>
      <c r="G551" s="0" t="s">
        <v>400</v>
      </c>
      <c r="I551" s="0" t="s">
        <v>469</v>
      </c>
      <c r="J551" s="0" t="s">
        <v>508</v>
      </c>
      <c r="L551" s="0" t="s">
        <v>469</v>
      </c>
      <c r="M551" s="0" t="s">
        <v>555</v>
      </c>
      <c r="N551" s="0" t="s">
        <v>4490</v>
      </c>
      <c r="O551" s="0" t="s">
        <v>469</v>
      </c>
      <c r="P551" s="0" t="s">
        <v>4491</v>
      </c>
      <c r="Q551" s="0" t="s">
        <v>343</v>
      </c>
      <c r="R551" s="0" t="s">
        <v>2007</v>
      </c>
      <c r="T551" s="0" t="s">
        <v>4492</v>
      </c>
      <c r="U551" s="0" t="s">
        <v>4493</v>
      </c>
      <c r="W551" s="0" t="s">
        <v>4442</v>
      </c>
      <c r="X551" s="0" t="s">
        <v>529</v>
      </c>
      <c r="Y551" s="0" t="s">
        <v>56</v>
      </c>
      <c r="Z551" s="0" t="s">
        <v>570</v>
      </c>
      <c r="AA551" s="0" t="s">
        <v>172</v>
      </c>
      <c r="AB551" s="0" t="s">
        <v>531</v>
      </c>
      <c r="AC551" s="0" t="s">
        <v>532</v>
      </c>
      <c r="AD551" s="0" t="s">
        <v>572</v>
      </c>
      <c r="AF551" s="0" t="s">
        <v>301</v>
      </c>
      <c r="AP551" s="0" t="s">
        <v>305</v>
      </c>
      <c r="BA551" s="0">
        <v>493</v>
      </c>
      <c r="BB551" s="0" t="s">
        <v>232</v>
      </c>
      <c r="BC551" s="0">
        <v>2</v>
      </c>
      <c r="BD551" s="0">
        <v>374043</v>
      </c>
      <c r="BE551" s="0">
        <v>519203</v>
      </c>
      <c r="BF551" s="0">
        <v>2</v>
      </c>
      <c r="BG551" s="0" t="s">
        <v>4494</v>
      </c>
      <c r="BI551" s="0">
        <v>4291</v>
      </c>
      <c r="BK551" s="0" t="s">
        <v>4495</v>
      </c>
    </row>
    <row r="552">
      <c r="A552" s="0">
        <v>5393</v>
      </c>
      <c r="B552" s="0" t="s">
        <v>4496</v>
      </c>
      <c r="C552" s="0" t="s">
        <v>315</v>
      </c>
      <c r="D552" s="0" t="s">
        <v>1411</v>
      </c>
      <c r="E552" s="0" t="s">
        <v>4497</v>
      </c>
      <c r="F552" s="0">
        <v>2</v>
      </c>
      <c r="G552" s="0" t="s">
        <v>400</v>
      </c>
      <c r="I552" s="0" t="s">
        <v>469</v>
      </c>
      <c r="J552" s="0" t="s">
        <v>555</v>
      </c>
      <c r="K552" s="0" t="s">
        <v>4490</v>
      </c>
      <c r="L552" s="0" t="s">
        <v>469</v>
      </c>
      <c r="M552" s="0" t="s">
        <v>508</v>
      </c>
      <c r="O552" s="0" t="s">
        <v>469</v>
      </c>
      <c r="P552" s="0" t="s">
        <v>4498</v>
      </c>
      <c r="Q552" s="0" t="s">
        <v>4499</v>
      </c>
      <c r="R552" s="0" t="s">
        <v>2007</v>
      </c>
      <c r="T552" s="0" t="s">
        <v>4500</v>
      </c>
      <c r="U552" s="0" t="s">
        <v>4501</v>
      </c>
      <c r="W552" s="0" t="s">
        <v>4442</v>
      </c>
      <c r="X552" s="0" t="s">
        <v>529</v>
      </c>
      <c r="Y552" s="0" t="s">
        <v>56</v>
      </c>
      <c r="Z552" s="0" t="s">
        <v>570</v>
      </c>
      <c r="AA552" s="0" t="s">
        <v>172</v>
      </c>
      <c r="AB552" s="0" t="s">
        <v>531</v>
      </c>
      <c r="AC552" s="0" t="s">
        <v>532</v>
      </c>
      <c r="AD552" s="0" t="s">
        <v>572</v>
      </c>
      <c r="AF552" s="0" t="s">
        <v>301</v>
      </c>
      <c r="AP552" s="0" t="s">
        <v>305</v>
      </c>
      <c r="BA552" s="0">
        <v>493</v>
      </c>
      <c r="BB552" s="0" t="s">
        <v>232</v>
      </c>
      <c r="BC552" s="0">
        <v>2</v>
      </c>
      <c r="BD552" s="0">
        <v>374043</v>
      </c>
      <c r="BE552" s="0">
        <v>519203</v>
      </c>
      <c r="BF552" s="0">
        <v>2</v>
      </c>
      <c r="BG552" s="0" t="s">
        <v>4502</v>
      </c>
      <c r="BI552" s="0">
        <v>4224</v>
      </c>
      <c r="BK552" s="0" t="s">
        <v>4503</v>
      </c>
    </row>
    <row r="553">
      <c r="A553" s="0">
        <v>5195</v>
      </c>
      <c r="B553" s="0" t="s">
        <v>4504</v>
      </c>
      <c r="C553" s="0" t="s">
        <v>656</v>
      </c>
      <c r="D553" s="0" t="s">
        <v>4438</v>
      </c>
      <c r="E553" s="0" t="s">
        <v>4222</v>
      </c>
      <c r="F553" s="0">
        <v>2</v>
      </c>
      <c r="G553" s="0" t="s">
        <v>293</v>
      </c>
      <c r="H553" s="0" t="s">
        <v>294</v>
      </c>
      <c r="I553" s="0" t="s">
        <v>4223</v>
      </c>
      <c r="P553" s="0" t="s">
        <v>4505</v>
      </c>
      <c r="Q553" s="0" t="s">
        <v>323</v>
      </c>
      <c r="R553" s="0" t="s">
        <v>1253</v>
      </c>
      <c r="T553" s="0" t="s">
        <v>4506</v>
      </c>
      <c r="U553" s="0" t="s">
        <v>4507</v>
      </c>
      <c r="W553" s="0" t="s">
        <v>4442</v>
      </c>
      <c r="X553" s="0" t="s">
        <v>347</v>
      </c>
      <c r="Y553" s="0" t="s">
        <v>56</v>
      </c>
      <c r="Z553" s="0" t="s">
        <v>570</v>
      </c>
      <c r="AA553" s="0" t="s">
        <v>172</v>
      </c>
      <c r="AB553" s="0" t="s">
        <v>531</v>
      </c>
      <c r="AC553" s="0" t="s">
        <v>532</v>
      </c>
      <c r="AD553" s="0" t="s">
        <v>572</v>
      </c>
      <c r="AF553" s="0" t="s">
        <v>301</v>
      </c>
      <c r="AM553" s="0" t="s">
        <v>611</v>
      </c>
      <c r="AN553" s="0" t="s">
        <v>444</v>
      </c>
      <c r="AO553" s="0" t="s">
        <v>512</v>
      </c>
      <c r="AP553" s="0" t="s">
        <v>305</v>
      </c>
      <c r="AQ553" s="0" t="s">
        <v>2998</v>
      </c>
      <c r="AR553" s="0" t="s">
        <v>393</v>
      </c>
      <c r="AU553" s="0">
        <v>105</v>
      </c>
      <c r="AV553" s="0" t="s">
        <v>332</v>
      </c>
      <c r="AX553" s="0" t="s">
        <v>4508</v>
      </c>
      <c r="AY553" s="0" t="s">
        <v>351</v>
      </c>
      <c r="AZ553" s="0" t="s">
        <v>302</v>
      </c>
      <c r="BA553" s="0">
        <v>493</v>
      </c>
      <c r="BB553" s="0" t="s">
        <v>232</v>
      </c>
      <c r="BC553" s="0">
        <v>2</v>
      </c>
      <c r="BD553" s="0">
        <v>10</v>
      </c>
      <c r="BE553" s="0">
        <v>519203</v>
      </c>
      <c r="BF553" s="0">
        <v>4</v>
      </c>
      <c r="BG553" s="0" t="s">
        <v>4509</v>
      </c>
      <c r="BI553" s="0">
        <v>2157</v>
      </c>
      <c r="BK553" s="0" t="s">
        <v>4510</v>
      </c>
    </row>
    <row r="554">
      <c r="A554" s="0">
        <v>5194</v>
      </c>
      <c r="B554" s="0" t="s">
        <v>4511</v>
      </c>
      <c r="C554" s="0" t="s">
        <v>656</v>
      </c>
      <c r="D554" s="0" t="s">
        <v>4438</v>
      </c>
      <c r="E554" s="0" t="s">
        <v>4229</v>
      </c>
      <c r="F554" s="0">
        <v>2</v>
      </c>
      <c r="G554" s="0" t="s">
        <v>293</v>
      </c>
      <c r="H554" s="0" t="s">
        <v>294</v>
      </c>
      <c r="I554" s="0" t="s">
        <v>4223</v>
      </c>
      <c r="P554" s="0" t="s">
        <v>2040</v>
      </c>
      <c r="Q554" s="0" t="s">
        <v>323</v>
      </c>
      <c r="R554" s="0" t="s">
        <v>1253</v>
      </c>
      <c r="T554" s="0" t="s">
        <v>4512</v>
      </c>
      <c r="U554" s="0" t="s">
        <v>4513</v>
      </c>
      <c r="W554" s="0" t="s">
        <v>4442</v>
      </c>
      <c r="X554" s="0" t="s">
        <v>347</v>
      </c>
      <c r="Y554" s="0" t="s">
        <v>56</v>
      </c>
      <c r="Z554" s="0" t="s">
        <v>570</v>
      </c>
      <c r="AA554" s="0" t="s">
        <v>172</v>
      </c>
      <c r="AB554" s="0" t="s">
        <v>531</v>
      </c>
      <c r="AC554" s="0" t="s">
        <v>532</v>
      </c>
      <c r="AD554" s="0" t="s">
        <v>572</v>
      </c>
      <c r="AF554" s="0" t="s">
        <v>301</v>
      </c>
      <c r="AM554" s="0" t="s">
        <v>611</v>
      </c>
      <c r="AN554" s="0" t="s">
        <v>490</v>
      </c>
      <c r="AO554" s="0" t="s">
        <v>512</v>
      </c>
      <c r="AP554" s="0" t="s">
        <v>305</v>
      </c>
      <c r="AQ554" s="0" t="s">
        <v>516</v>
      </c>
      <c r="AR554" s="0" t="s">
        <v>1432</v>
      </c>
      <c r="AU554" s="0">
        <v>210</v>
      </c>
      <c r="AV554" s="0" t="s">
        <v>332</v>
      </c>
      <c r="AX554" s="0" t="s">
        <v>651</v>
      </c>
      <c r="AY554" s="0" t="s">
        <v>388</v>
      </c>
      <c r="AZ554" s="0" t="s">
        <v>303</v>
      </c>
      <c r="BA554" s="0">
        <v>493</v>
      </c>
      <c r="BB554" s="0" t="s">
        <v>232</v>
      </c>
      <c r="BC554" s="0">
        <v>2</v>
      </c>
      <c r="BD554" s="0">
        <v>10</v>
      </c>
      <c r="BE554" s="0">
        <v>519203</v>
      </c>
      <c r="BF554" s="0">
        <v>4</v>
      </c>
      <c r="BG554" s="0" t="s">
        <v>4514</v>
      </c>
      <c r="BI554" s="0">
        <v>1927</v>
      </c>
      <c r="BK554" s="0" t="s">
        <v>4515</v>
      </c>
    </row>
    <row r="555">
      <c r="A555" s="0">
        <v>5196</v>
      </c>
      <c r="B555" s="0" t="s">
        <v>4516</v>
      </c>
      <c r="C555" s="0" t="s">
        <v>656</v>
      </c>
      <c r="D555" s="0" t="s">
        <v>4438</v>
      </c>
      <c r="E555" s="0" t="s">
        <v>4517</v>
      </c>
      <c r="F555" s="0">
        <v>2</v>
      </c>
      <c r="G555" s="0" t="s">
        <v>293</v>
      </c>
      <c r="H555" s="0" t="s">
        <v>294</v>
      </c>
      <c r="I555" s="0" t="s">
        <v>4223</v>
      </c>
      <c r="T555" s="0" t="s">
        <v>4518</v>
      </c>
      <c r="U555" s="0" t="s">
        <v>4519</v>
      </c>
      <c r="W555" s="0" t="s">
        <v>4442</v>
      </c>
      <c r="X555" s="0" t="s">
        <v>347</v>
      </c>
      <c r="Y555" s="0" t="s">
        <v>56</v>
      </c>
      <c r="Z555" s="0" t="s">
        <v>570</v>
      </c>
      <c r="AA555" s="0" t="s">
        <v>172</v>
      </c>
      <c r="AB555" s="0" t="s">
        <v>531</v>
      </c>
      <c r="AC555" s="0" t="s">
        <v>532</v>
      </c>
      <c r="AD555" s="0" t="s">
        <v>572</v>
      </c>
      <c r="AF555" s="0" t="s">
        <v>301</v>
      </c>
      <c r="AM555" s="0" t="s">
        <v>350</v>
      </c>
      <c r="AN555" s="0" t="s">
        <v>350</v>
      </c>
      <c r="AO555" s="0" t="s">
        <v>1105</v>
      </c>
      <c r="AP555" s="0" t="s">
        <v>305</v>
      </c>
      <c r="AQ555" s="0" t="s">
        <v>1084</v>
      </c>
      <c r="AR555" s="0" t="s">
        <v>883</v>
      </c>
      <c r="AU555" s="0">
        <v>780</v>
      </c>
      <c r="AV555" s="0" t="s">
        <v>332</v>
      </c>
      <c r="AX555" s="0" t="s">
        <v>392</v>
      </c>
      <c r="AY555" s="0" t="s">
        <v>2950</v>
      </c>
      <c r="AZ555" s="0" t="s">
        <v>1182</v>
      </c>
      <c r="BA555" s="0">
        <v>493</v>
      </c>
      <c r="BB555" s="0" t="s">
        <v>232</v>
      </c>
      <c r="BC555" s="0">
        <v>2</v>
      </c>
      <c r="BD555" s="0">
        <v>10</v>
      </c>
      <c r="BE555" s="0">
        <v>519203</v>
      </c>
      <c r="BF555" s="0">
        <v>4</v>
      </c>
      <c r="BG555" s="0" t="s">
        <v>4520</v>
      </c>
      <c r="BI555" s="0">
        <v>2374</v>
      </c>
      <c r="BK555" s="0" t="s">
        <v>4521</v>
      </c>
    </row>
    <row r="556">
      <c r="A556" s="0">
        <v>5390</v>
      </c>
      <c r="B556" s="0" t="s">
        <v>4522</v>
      </c>
      <c r="C556" s="0" t="s">
        <v>339</v>
      </c>
      <c r="D556" s="0" t="s">
        <v>1411</v>
      </c>
      <c r="E556" s="0" t="s">
        <v>4523</v>
      </c>
      <c r="F556" s="0">
        <v>2</v>
      </c>
      <c r="G556" s="0" t="s">
        <v>400</v>
      </c>
      <c r="I556" s="0" t="s">
        <v>469</v>
      </c>
      <c r="J556" s="0" t="s">
        <v>508</v>
      </c>
      <c r="L556" s="0" t="s">
        <v>4524</v>
      </c>
      <c r="M556" s="0" t="s">
        <v>319</v>
      </c>
      <c r="N556" s="0" t="s">
        <v>1997</v>
      </c>
      <c r="O556" s="0" t="s">
        <v>1268</v>
      </c>
      <c r="P556" s="0" t="s">
        <v>323</v>
      </c>
      <c r="R556" s="0" t="s">
        <v>324</v>
      </c>
      <c r="T556" s="0" t="s">
        <v>4525</v>
      </c>
      <c r="U556" s="0" t="s">
        <v>4526</v>
      </c>
      <c r="W556" s="0" t="s">
        <v>4442</v>
      </c>
      <c r="X556" s="0" t="s">
        <v>529</v>
      </c>
      <c r="Y556" s="0" t="s">
        <v>56</v>
      </c>
      <c r="Z556" s="0" t="s">
        <v>570</v>
      </c>
      <c r="AA556" s="0" t="s">
        <v>172</v>
      </c>
      <c r="AB556" s="0" t="s">
        <v>531</v>
      </c>
      <c r="AC556" s="0" t="s">
        <v>532</v>
      </c>
      <c r="AD556" s="0" t="s">
        <v>572</v>
      </c>
      <c r="AF556" s="0" t="s">
        <v>301</v>
      </c>
      <c r="AM556" s="0" t="s">
        <v>2590</v>
      </c>
      <c r="AN556" s="0" t="s">
        <v>1472</v>
      </c>
      <c r="AO556" s="0" t="s">
        <v>391</v>
      </c>
      <c r="AP556" s="0" t="s">
        <v>305</v>
      </c>
      <c r="AQ556" s="0" t="s">
        <v>1850</v>
      </c>
      <c r="AR556" s="0" t="s">
        <v>502</v>
      </c>
      <c r="AS556" s="0">
        <v>135</v>
      </c>
      <c r="AT556" s="0">
        <v>272</v>
      </c>
      <c r="AU556" s="0">
        <v>340</v>
      </c>
      <c r="AV556" s="0" t="s">
        <v>332</v>
      </c>
      <c r="AX556" s="0" t="s">
        <v>912</v>
      </c>
      <c r="AY556" s="0" t="s">
        <v>349</v>
      </c>
      <c r="AZ556" s="0" t="s">
        <v>2982</v>
      </c>
      <c r="BA556" s="0">
        <v>493</v>
      </c>
      <c r="BB556" s="0" t="s">
        <v>232</v>
      </c>
      <c r="BC556" s="0">
        <v>2</v>
      </c>
      <c r="BD556" s="0">
        <v>8</v>
      </c>
      <c r="BE556" s="0">
        <v>519203</v>
      </c>
      <c r="BF556" s="0">
        <v>2</v>
      </c>
      <c r="BG556" s="0" t="s">
        <v>4527</v>
      </c>
      <c r="BI556" s="0">
        <v>4155</v>
      </c>
      <c r="BK556" s="0" t="s">
        <v>4528</v>
      </c>
    </row>
    <row r="557">
      <c r="A557" s="0">
        <v>5468</v>
      </c>
      <c r="B557" s="0" t="s">
        <v>4529</v>
      </c>
      <c r="C557" s="0" t="s">
        <v>315</v>
      </c>
      <c r="D557" s="0" t="s">
        <v>4530</v>
      </c>
      <c r="E557" s="0" t="s">
        <v>4531</v>
      </c>
      <c r="F557" s="0">
        <v>2</v>
      </c>
      <c r="G557" s="0" t="s">
        <v>293</v>
      </c>
      <c r="H557" s="0" t="s">
        <v>294</v>
      </c>
      <c r="I557" s="0" t="s">
        <v>3234</v>
      </c>
      <c r="J557" s="0" t="s">
        <v>543</v>
      </c>
      <c r="L557" s="0" t="s">
        <v>729</v>
      </c>
      <c r="P557" s="0" t="s">
        <v>323</v>
      </c>
      <c r="Q557" s="0" t="s">
        <v>4532</v>
      </c>
      <c r="R557" s="0" t="s">
        <v>1232</v>
      </c>
      <c r="T557" s="0" t="s">
        <v>4533</v>
      </c>
      <c r="U557" s="0" t="s">
        <v>4534</v>
      </c>
      <c r="W557" s="0" t="s">
        <v>4442</v>
      </c>
      <c r="X557" s="0" t="s">
        <v>529</v>
      </c>
      <c r="Y557" s="0" t="s">
        <v>56</v>
      </c>
      <c r="Z557" s="0" t="s">
        <v>570</v>
      </c>
      <c r="AA557" s="0" t="s">
        <v>172</v>
      </c>
      <c r="AB557" s="0" t="s">
        <v>531</v>
      </c>
      <c r="AC557" s="0" t="s">
        <v>532</v>
      </c>
      <c r="AD557" s="0" t="s">
        <v>572</v>
      </c>
      <c r="AF557" s="0" t="s">
        <v>301</v>
      </c>
      <c r="AP557" s="0" t="s">
        <v>305</v>
      </c>
      <c r="BA557" s="0">
        <v>493</v>
      </c>
      <c r="BB557" s="0" t="s">
        <v>232</v>
      </c>
      <c r="BC557" s="0">
        <v>2</v>
      </c>
      <c r="BD557" s="0">
        <v>374043</v>
      </c>
      <c r="BE557" s="0">
        <v>519203</v>
      </c>
      <c r="BF557" s="0">
        <v>2</v>
      </c>
      <c r="BG557" s="0" t="s">
        <v>4535</v>
      </c>
      <c r="BI557" s="0">
        <v>4513</v>
      </c>
      <c r="BK557" s="0" t="s">
        <v>4536</v>
      </c>
    </row>
    <row r="558">
      <c r="A558" s="0">
        <v>5207</v>
      </c>
      <c r="B558" s="0" t="s">
        <v>4537</v>
      </c>
      <c r="C558" s="0" t="s">
        <v>339</v>
      </c>
      <c r="D558" s="0" t="s">
        <v>4438</v>
      </c>
      <c r="E558" s="0" t="s">
        <v>4538</v>
      </c>
      <c r="F558" s="0">
        <v>2</v>
      </c>
      <c r="G558" s="0" t="s">
        <v>508</v>
      </c>
      <c r="I558" s="0" t="s">
        <v>1268</v>
      </c>
      <c r="J558" s="0" t="s">
        <v>319</v>
      </c>
      <c r="K558" s="0" t="s">
        <v>879</v>
      </c>
      <c r="L558" s="0" t="s">
        <v>1268</v>
      </c>
      <c r="P558" s="0" t="s">
        <v>2040</v>
      </c>
      <c r="Q558" s="0" t="s">
        <v>2040</v>
      </c>
      <c r="R558" s="0" t="s">
        <v>324</v>
      </c>
      <c r="T558" s="0" t="s">
        <v>4539</v>
      </c>
      <c r="U558" s="0" t="s">
        <v>4540</v>
      </c>
      <c r="W558" s="0" t="s">
        <v>4442</v>
      </c>
      <c r="X558" s="0" t="s">
        <v>529</v>
      </c>
      <c r="Y558" s="0" t="s">
        <v>56</v>
      </c>
      <c r="Z558" s="0" t="s">
        <v>570</v>
      </c>
      <c r="AA558" s="0" t="s">
        <v>172</v>
      </c>
      <c r="AB558" s="0" t="s">
        <v>531</v>
      </c>
      <c r="AC558" s="0" t="s">
        <v>532</v>
      </c>
      <c r="AD558" s="0" t="s">
        <v>572</v>
      </c>
      <c r="AF558" s="0" t="s">
        <v>301</v>
      </c>
      <c r="AM558" s="0" t="s">
        <v>4541</v>
      </c>
      <c r="AN558" s="0" t="s">
        <v>4291</v>
      </c>
      <c r="AO558" s="0" t="s">
        <v>2503</v>
      </c>
      <c r="AP558" s="0" t="s">
        <v>305</v>
      </c>
      <c r="AQ558" s="0" t="s">
        <v>4542</v>
      </c>
      <c r="AR558" s="0" t="s">
        <v>763</v>
      </c>
      <c r="AS558" s="0">
        <v>12</v>
      </c>
      <c r="AT558" s="0">
        <v>28</v>
      </c>
      <c r="AU558" s="0">
        <v>39</v>
      </c>
      <c r="AV558" s="0" t="s">
        <v>977</v>
      </c>
      <c r="AW558" s="0" t="s">
        <v>977</v>
      </c>
      <c r="AX558" s="0" t="s">
        <v>1584</v>
      </c>
      <c r="AY558" s="0" t="s">
        <v>1069</v>
      </c>
      <c r="AZ558" s="0" t="s">
        <v>747</v>
      </c>
      <c r="BA558" s="0">
        <v>493</v>
      </c>
      <c r="BB558" s="0" t="s">
        <v>232</v>
      </c>
      <c r="BC558" s="0">
        <v>2</v>
      </c>
      <c r="BD558" s="0">
        <v>8</v>
      </c>
      <c r="BE558" s="0">
        <v>519203</v>
      </c>
      <c r="BF558" s="0">
        <v>2</v>
      </c>
      <c r="BG558" s="0" t="s">
        <v>4543</v>
      </c>
      <c r="BI558" s="0">
        <v>3911</v>
      </c>
      <c r="BK558" s="0" t="s">
        <v>4544</v>
      </c>
    </row>
    <row r="559">
      <c r="A559" s="0">
        <v>5202</v>
      </c>
      <c r="B559" s="0" t="s">
        <v>4545</v>
      </c>
      <c r="C559" s="0" t="s">
        <v>315</v>
      </c>
      <c r="D559" s="0" t="s">
        <v>4438</v>
      </c>
      <c r="E559" s="0" t="s">
        <v>4546</v>
      </c>
      <c r="F559" s="0">
        <v>2</v>
      </c>
      <c r="G559" s="0" t="s">
        <v>293</v>
      </c>
      <c r="H559" s="0" t="s">
        <v>294</v>
      </c>
      <c r="I559" s="0" t="s">
        <v>918</v>
      </c>
      <c r="P559" s="0" t="s">
        <v>323</v>
      </c>
      <c r="Q559" s="0" t="s">
        <v>323</v>
      </c>
      <c r="R559" s="0" t="s">
        <v>3028</v>
      </c>
      <c r="T559" s="0" t="s">
        <v>4547</v>
      </c>
      <c r="U559" s="0" t="s">
        <v>4548</v>
      </c>
      <c r="W559" s="0" t="s">
        <v>4442</v>
      </c>
      <c r="X559" s="0" t="s">
        <v>529</v>
      </c>
      <c r="Y559" s="0" t="s">
        <v>56</v>
      </c>
      <c r="Z559" s="0" t="s">
        <v>570</v>
      </c>
      <c r="AA559" s="0" t="s">
        <v>172</v>
      </c>
      <c r="AB559" s="0" t="s">
        <v>531</v>
      </c>
      <c r="AC559" s="0" t="s">
        <v>532</v>
      </c>
      <c r="AD559" s="0" t="s">
        <v>572</v>
      </c>
      <c r="AF559" s="0" t="s">
        <v>301</v>
      </c>
      <c r="AP559" s="0" t="s">
        <v>305</v>
      </c>
      <c r="BA559" s="0">
        <v>493</v>
      </c>
      <c r="BB559" s="0" t="s">
        <v>232</v>
      </c>
      <c r="BC559" s="0">
        <v>2</v>
      </c>
      <c r="BD559" s="0">
        <v>374043</v>
      </c>
      <c r="BE559" s="0">
        <v>519203</v>
      </c>
      <c r="BF559" s="0">
        <v>2</v>
      </c>
      <c r="BG559" s="0" t="s">
        <v>4549</v>
      </c>
      <c r="BI559" s="0">
        <v>3376</v>
      </c>
      <c r="BK559" s="0" t="s">
        <v>4550</v>
      </c>
    </row>
    <row r="560">
      <c r="A560" s="0">
        <v>5204</v>
      </c>
      <c r="B560" s="0" t="s">
        <v>4551</v>
      </c>
      <c r="C560" s="0" t="s">
        <v>315</v>
      </c>
      <c r="D560" s="0" t="s">
        <v>4438</v>
      </c>
      <c r="E560" s="0" t="s">
        <v>4552</v>
      </c>
      <c r="F560" s="0">
        <v>2</v>
      </c>
      <c r="G560" s="0" t="s">
        <v>293</v>
      </c>
      <c r="H560" s="0" t="s">
        <v>294</v>
      </c>
      <c r="I560" s="0" t="s">
        <v>918</v>
      </c>
      <c r="J560" s="0" t="s">
        <v>508</v>
      </c>
      <c r="K560" s="0" t="s">
        <v>1190</v>
      </c>
      <c r="L560" s="0" t="s">
        <v>469</v>
      </c>
      <c r="T560" s="0" t="s">
        <v>4553</v>
      </c>
      <c r="W560" s="0" t="s">
        <v>4442</v>
      </c>
      <c r="X560" s="0" t="s">
        <v>529</v>
      </c>
      <c r="Y560" s="0" t="s">
        <v>56</v>
      </c>
      <c r="Z560" s="0" t="s">
        <v>570</v>
      </c>
      <c r="AA560" s="0" t="s">
        <v>172</v>
      </c>
      <c r="AB560" s="0" t="s">
        <v>531</v>
      </c>
      <c r="AC560" s="0" t="s">
        <v>532</v>
      </c>
      <c r="AD560" s="0" t="s">
        <v>572</v>
      </c>
      <c r="AF560" s="0" t="s">
        <v>301</v>
      </c>
      <c r="AP560" s="0" t="s">
        <v>305</v>
      </c>
      <c r="BA560" s="0">
        <v>493</v>
      </c>
      <c r="BB560" s="0" t="s">
        <v>232</v>
      </c>
      <c r="BC560" s="0">
        <v>2</v>
      </c>
      <c r="BD560" s="0">
        <v>374043</v>
      </c>
      <c r="BE560" s="0">
        <v>519203</v>
      </c>
      <c r="BF560" s="0">
        <v>2</v>
      </c>
      <c r="BG560" s="0" t="s">
        <v>4554</v>
      </c>
      <c r="BI560" s="0">
        <v>3616</v>
      </c>
      <c r="BK560" s="0" t="s">
        <v>4555</v>
      </c>
    </row>
    <row r="561">
      <c r="A561" s="0">
        <v>5198</v>
      </c>
      <c r="B561" s="0" t="s">
        <v>4556</v>
      </c>
      <c r="C561" s="0" t="s">
        <v>315</v>
      </c>
      <c r="D561" s="0" t="s">
        <v>4438</v>
      </c>
      <c r="E561" s="0" t="s">
        <v>4557</v>
      </c>
      <c r="F561" s="0">
        <v>2</v>
      </c>
      <c r="G561" s="0" t="s">
        <v>525</v>
      </c>
      <c r="H561" s="0" t="s">
        <v>508</v>
      </c>
      <c r="I561" s="0" t="s">
        <v>4558</v>
      </c>
      <c r="J561" s="0" t="s">
        <v>293</v>
      </c>
      <c r="K561" s="0" t="s">
        <v>294</v>
      </c>
      <c r="L561" s="0" t="s">
        <v>4223</v>
      </c>
      <c r="T561" s="0" t="s">
        <v>4559</v>
      </c>
      <c r="U561" s="0" t="s">
        <v>4560</v>
      </c>
      <c r="W561" s="0" t="s">
        <v>4442</v>
      </c>
      <c r="X561" s="0" t="s">
        <v>529</v>
      </c>
      <c r="Y561" s="0" t="s">
        <v>56</v>
      </c>
      <c r="Z561" s="0" t="s">
        <v>570</v>
      </c>
      <c r="AA561" s="0" t="s">
        <v>172</v>
      </c>
      <c r="AB561" s="0" t="s">
        <v>531</v>
      </c>
      <c r="AC561" s="0" t="s">
        <v>532</v>
      </c>
      <c r="AD561" s="0" t="s">
        <v>572</v>
      </c>
      <c r="AF561" s="0" t="s">
        <v>301</v>
      </c>
      <c r="AP561" s="0" t="s">
        <v>305</v>
      </c>
      <c r="BA561" s="0">
        <v>493</v>
      </c>
      <c r="BB561" s="0" t="s">
        <v>232</v>
      </c>
      <c r="BC561" s="0">
        <v>2</v>
      </c>
      <c r="BD561" s="0">
        <v>374043</v>
      </c>
      <c r="BE561" s="0">
        <v>519203</v>
      </c>
      <c r="BF561" s="0">
        <v>2</v>
      </c>
      <c r="BG561" s="0" t="s">
        <v>4561</v>
      </c>
      <c r="BI561" s="0">
        <v>2746</v>
      </c>
      <c r="BK561" s="0" t="s">
        <v>4562</v>
      </c>
    </row>
    <row r="562">
      <c r="A562" s="0">
        <v>5197</v>
      </c>
      <c r="B562" s="0" t="s">
        <v>4563</v>
      </c>
      <c r="C562" s="0" t="s">
        <v>1100</v>
      </c>
      <c r="D562" s="0" t="s">
        <v>4438</v>
      </c>
      <c r="E562" s="0" t="s">
        <v>4564</v>
      </c>
      <c r="F562" s="0">
        <v>2</v>
      </c>
      <c r="G562" s="0" t="s">
        <v>525</v>
      </c>
      <c r="H562" s="0" t="s">
        <v>508</v>
      </c>
      <c r="I562" s="0" t="s">
        <v>4558</v>
      </c>
      <c r="J562" s="0" t="s">
        <v>293</v>
      </c>
      <c r="K562" s="0" t="s">
        <v>294</v>
      </c>
      <c r="L562" s="0" t="s">
        <v>4223</v>
      </c>
      <c r="T562" s="0" t="s">
        <v>4565</v>
      </c>
      <c r="U562" s="0" t="s">
        <v>4566</v>
      </c>
      <c r="W562" s="0" t="s">
        <v>4442</v>
      </c>
      <c r="X562" s="0" t="s">
        <v>529</v>
      </c>
      <c r="Y562" s="0" t="s">
        <v>56</v>
      </c>
      <c r="Z562" s="0" t="s">
        <v>570</v>
      </c>
      <c r="AA562" s="0" t="s">
        <v>172</v>
      </c>
      <c r="AB562" s="0" t="s">
        <v>531</v>
      </c>
      <c r="AC562" s="0" t="s">
        <v>532</v>
      </c>
      <c r="AD562" s="0" t="s">
        <v>572</v>
      </c>
      <c r="AF562" s="0" t="s">
        <v>301</v>
      </c>
      <c r="AP562" s="0" t="s">
        <v>305</v>
      </c>
      <c r="BA562" s="0">
        <v>493</v>
      </c>
      <c r="BB562" s="0" t="s">
        <v>232</v>
      </c>
      <c r="BC562" s="0">
        <v>2</v>
      </c>
      <c r="BD562" s="0">
        <v>374072</v>
      </c>
      <c r="BE562" s="0">
        <v>519203</v>
      </c>
      <c r="BF562" s="0">
        <v>2</v>
      </c>
      <c r="BG562" s="0" t="s">
        <v>4567</v>
      </c>
      <c r="BI562" s="0">
        <v>2571</v>
      </c>
      <c r="BK562" s="0" t="s">
        <v>4568</v>
      </c>
    </row>
    <row r="563">
      <c r="A563" s="0">
        <v>5192</v>
      </c>
      <c r="B563" s="0" t="s">
        <v>4569</v>
      </c>
      <c r="C563" s="0" t="s">
        <v>656</v>
      </c>
      <c r="D563" s="0" t="s">
        <v>4438</v>
      </c>
      <c r="E563" s="0" t="s">
        <v>4570</v>
      </c>
      <c r="F563" s="0">
        <v>2</v>
      </c>
      <c r="G563" s="0" t="s">
        <v>293</v>
      </c>
      <c r="H563" s="0" t="s">
        <v>294</v>
      </c>
      <c r="I563" s="0" t="s">
        <v>295</v>
      </c>
      <c r="P563" s="0" t="s">
        <v>343</v>
      </c>
      <c r="T563" s="0" t="s">
        <v>4571</v>
      </c>
      <c r="U563" s="0" t="s">
        <v>4572</v>
      </c>
      <c r="W563" s="0" t="s">
        <v>4442</v>
      </c>
      <c r="X563" s="0" t="s">
        <v>347</v>
      </c>
      <c r="Y563" s="0" t="s">
        <v>56</v>
      </c>
      <c r="Z563" s="0" t="s">
        <v>570</v>
      </c>
      <c r="AA563" s="0" t="s">
        <v>172</v>
      </c>
      <c r="AB563" s="0" t="s">
        <v>531</v>
      </c>
      <c r="AC563" s="0" t="s">
        <v>532</v>
      </c>
      <c r="AD563" s="0" t="s">
        <v>572</v>
      </c>
      <c r="AF563" s="0" t="s">
        <v>301</v>
      </c>
      <c r="AM563" s="0" t="s">
        <v>387</v>
      </c>
      <c r="AN563" s="0" t="s">
        <v>387</v>
      </c>
      <c r="AO563" s="0" t="s">
        <v>1108</v>
      </c>
      <c r="AP563" s="0" t="s">
        <v>305</v>
      </c>
      <c r="AQ563" s="0" t="s">
        <v>1575</v>
      </c>
      <c r="AR563" s="0" t="s">
        <v>1415</v>
      </c>
      <c r="AU563" s="0">
        <v>1106</v>
      </c>
      <c r="AV563" s="0" t="s">
        <v>332</v>
      </c>
      <c r="AX563" s="0" t="s">
        <v>491</v>
      </c>
      <c r="AY563" s="0" t="s">
        <v>598</v>
      </c>
      <c r="AZ563" s="0" t="s">
        <v>1012</v>
      </c>
      <c r="BA563" s="0">
        <v>493</v>
      </c>
      <c r="BB563" s="0" t="s">
        <v>232</v>
      </c>
      <c r="BC563" s="0">
        <v>2</v>
      </c>
      <c r="BD563" s="0">
        <v>10</v>
      </c>
      <c r="BE563" s="0">
        <v>519203</v>
      </c>
      <c r="BF563" s="0">
        <v>4</v>
      </c>
      <c r="BG563" s="0" t="s">
        <v>4573</v>
      </c>
      <c r="BI563" s="0">
        <v>1414</v>
      </c>
      <c r="BK563" s="0" t="s">
        <v>4574</v>
      </c>
    </row>
    <row r="564">
      <c r="A564" s="0">
        <v>5191</v>
      </c>
      <c r="B564" s="0" t="s">
        <v>4575</v>
      </c>
      <c r="C564" s="0" t="s">
        <v>656</v>
      </c>
      <c r="D564" s="0" t="s">
        <v>4438</v>
      </c>
      <c r="E564" s="0" t="s">
        <v>4576</v>
      </c>
      <c r="F564" s="0">
        <v>2</v>
      </c>
      <c r="G564" s="0" t="s">
        <v>293</v>
      </c>
      <c r="H564" s="0" t="s">
        <v>294</v>
      </c>
      <c r="I564" s="0" t="s">
        <v>295</v>
      </c>
      <c r="P564" s="0" t="s">
        <v>343</v>
      </c>
      <c r="T564" s="0" t="s">
        <v>4577</v>
      </c>
      <c r="U564" s="0" t="s">
        <v>4578</v>
      </c>
      <c r="W564" s="0" t="s">
        <v>4442</v>
      </c>
      <c r="X564" s="0" t="s">
        <v>347</v>
      </c>
      <c r="Y564" s="0" t="s">
        <v>56</v>
      </c>
      <c r="Z564" s="0" t="s">
        <v>570</v>
      </c>
      <c r="AA564" s="0" t="s">
        <v>172</v>
      </c>
      <c r="AB564" s="0" t="s">
        <v>531</v>
      </c>
      <c r="AC564" s="0" t="s">
        <v>532</v>
      </c>
      <c r="AD564" s="0" t="s">
        <v>572</v>
      </c>
      <c r="AF564" s="0" t="s">
        <v>301</v>
      </c>
      <c r="AM564" s="0" t="s">
        <v>1473</v>
      </c>
      <c r="AN564" s="0" t="s">
        <v>1473</v>
      </c>
      <c r="AO564" s="0" t="s">
        <v>1096</v>
      </c>
      <c r="AP564" s="0" t="s">
        <v>305</v>
      </c>
      <c r="AQ564" s="0" t="s">
        <v>4579</v>
      </c>
      <c r="AR564" s="0" t="s">
        <v>1850</v>
      </c>
      <c r="AU564" s="0">
        <v>2705</v>
      </c>
      <c r="AV564" s="0" t="s">
        <v>332</v>
      </c>
      <c r="AX564" s="0" t="s">
        <v>303</v>
      </c>
      <c r="AY564" s="0" t="s">
        <v>302</v>
      </c>
      <c r="AZ564" s="0" t="s">
        <v>1012</v>
      </c>
      <c r="BA564" s="0">
        <v>493</v>
      </c>
      <c r="BB564" s="0" t="s">
        <v>232</v>
      </c>
      <c r="BC564" s="0">
        <v>2</v>
      </c>
      <c r="BD564" s="0">
        <v>10</v>
      </c>
      <c r="BE564" s="0">
        <v>519203</v>
      </c>
      <c r="BF564" s="0">
        <v>4</v>
      </c>
      <c r="BG564" s="0" t="s">
        <v>4580</v>
      </c>
      <c r="BI564" s="0">
        <v>1106</v>
      </c>
      <c r="BK564" s="0" t="s">
        <v>4581</v>
      </c>
    </row>
    <row r="565">
      <c r="A565" s="0">
        <v>5460</v>
      </c>
      <c r="B565" s="0" t="s">
        <v>4582</v>
      </c>
      <c r="C565" s="0" t="s">
        <v>315</v>
      </c>
      <c r="D565" s="0" t="s">
        <v>4583</v>
      </c>
      <c r="E565" s="0" t="s">
        <v>4584</v>
      </c>
      <c r="F565" s="0">
        <v>2</v>
      </c>
      <c r="G565" s="0" t="s">
        <v>319</v>
      </c>
      <c r="H565" s="0" t="s">
        <v>523</v>
      </c>
      <c r="I565" s="0" t="s">
        <v>1268</v>
      </c>
      <c r="J565" s="0" t="s">
        <v>400</v>
      </c>
      <c r="L565" s="0" t="s">
        <v>1268</v>
      </c>
      <c r="P565" s="0" t="s">
        <v>323</v>
      </c>
      <c r="Q565" s="0" t="s">
        <v>323</v>
      </c>
      <c r="R565" s="0" t="s">
        <v>4585</v>
      </c>
      <c r="T565" s="0" t="s">
        <v>4586</v>
      </c>
      <c r="U565" s="0" t="s">
        <v>4587</v>
      </c>
      <c r="W565" s="0" t="s">
        <v>4442</v>
      </c>
      <c r="X565" s="0" t="s">
        <v>529</v>
      </c>
      <c r="Y565" s="0" t="s">
        <v>56</v>
      </c>
      <c r="Z565" s="0" t="s">
        <v>570</v>
      </c>
      <c r="AA565" s="0" t="s">
        <v>172</v>
      </c>
      <c r="AB565" s="0" t="s">
        <v>531</v>
      </c>
      <c r="AC565" s="0" t="s">
        <v>532</v>
      </c>
      <c r="AD565" s="0" t="s">
        <v>572</v>
      </c>
      <c r="AF565" s="0" t="s">
        <v>301</v>
      </c>
      <c r="AP565" s="0" t="s">
        <v>305</v>
      </c>
      <c r="BA565" s="0">
        <v>493</v>
      </c>
      <c r="BB565" s="0" t="s">
        <v>232</v>
      </c>
      <c r="BC565" s="0">
        <v>2</v>
      </c>
      <c r="BD565" s="0">
        <v>374043</v>
      </c>
      <c r="BE565" s="0">
        <v>519203</v>
      </c>
      <c r="BF565" s="0">
        <v>2</v>
      </c>
      <c r="BG565" s="0" t="s">
        <v>4588</v>
      </c>
      <c r="BI565" s="0">
        <v>4412</v>
      </c>
      <c r="BK565" s="0" t="s">
        <v>4589</v>
      </c>
    </row>
    <row r="566">
      <c r="A566" s="0">
        <v>5459</v>
      </c>
      <c r="B566" s="0" t="s">
        <v>4590</v>
      </c>
      <c r="C566" s="0" t="s">
        <v>315</v>
      </c>
      <c r="D566" s="0" t="s">
        <v>4583</v>
      </c>
      <c r="E566" s="0" t="s">
        <v>4591</v>
      </c>
      <c r="F566" s="0">
        <v>2</v>
      </c>
      <c r="G566" s="0" t="s">
        <v>508</v>
      </c>
      <c r="I566" s="0" t="s">
        <v>4592</v>
      </c>
      <c r="P566" s="0" t="s">
        <v>323</v>
      </c>
      <c r="Q566" s="0" t="s">
        <v>323</v>
      </c>
      <c r="R566" s="0" t="s">
        <v>1232</v>
      </c>
      <c r="T566" s="0" t="s">
        <v>4593</v>
      </c>
      <c r="U566" s="0" t="s">
        <v>4594</v>
      </c>
      <c r="W566" s="0" t="s">
        <v>4442</v>
      </c>
      <c r="X566" s="0" t="s">
        <v>529</v>
      </c>
      <c r="Y566" s="0" t="s">
        <v>56</v>
      </c>
      <c r="Z566" s="0" t="s">
        <v>570</v>
      </c>
      <c r="AA566" s="0" t="s">
        <v>172</v>
      </c>
      <c r="AB566" s="0" t="s">
        <v>531</v>
      </c>
      <c r="AC566" s="0" t="s">
        <v>532</v>
      </c>
      <c r="AD566" s="0" t="s">
        <v>572</v>
      </c>
      <c r="AF566" s="0" t="s">
        <v>301</v>
      </c>
      <c r="AP566" s="0" t="s">
        <v>305</v>
      </c>
      <c r="BA566" s="0">
        <v>493</v>
      </c>
      <c r="BB566" s="0" t="s">
        <v>232</v>
      </c>
      <c r="BC566" s="0">
        <v>2</v>
      </c>
      <c r="BD566" s="0">
        <v>374043</v>
      </c>
      <c r="BE566" s="0">
        <v>519203</v>
      </c>
      <c r="BF566" s="0">
        <v>2</v>
      </c>
      <c r="BG566" s="0" t="s">
        <v>4595</v>
      </c>
      <c r="BI566" s="0">
        <v>4355</v>
      </c>
      <c r="BK566" s="0" t="s">
        <v>4596</v>
      </c>
    </row>
    <row r="567">
      <c r="A567" s="0">
        <v>5199</v>
      </c>
      <c r="B567" s="0" t="s">
        <v>4597</v>
      </c>
      <c r="C567" s="0" t="s">
        <v>290</v>
      </c>
      <c r="D567" s="0" t="s">
        <v>4438</v>
      </c>
      <c r="E567" s="0" t="s">
        <v>4598</v>
      </c>
      <c r="F567" s="0">
        <v>2</v>
      </c>
      <c r="G567" s="0" t="s">
        <v>293</v>
      </c>
      <c r="H567" s="0" t="s">
        <v>294</v>
      </c>
      <c r="I567" s="0" t="s">
        <v>295</v>
      </c>
      <c r="T567" s="0" t="s">
        <v>4599</v>
      </c>
      <c r="U567" s="0" t="s">
        <v>4600</v>
      </c>
      <c r="W567" s="0" t="s">
        <v>4442</v>
      </c>
      <c r="X567" s="0" t="s">
        <v>529</v>
      </c>
      <c r="Y567" s="0" t="s">
        <v>56</v>
      </c>
      <c r="Z567" s="0" t="s">
        <v>570</v>
      </c>
      <c r="AA567" s="0" t="s">
        <v>172</v>
      </c>
      <c r="AB567" s="0" t="s">
        <v>531</v>
      </c>
      <c r="AC567" s="0" t="s">
        <v>532</v>
      </c>
      <c r="AD567" s="0" t="s">
        <v>572</v>
      </c>
      <c r="AF567" s="0" t="s">
        <v>301</v>
      </c>
      <c r="AP567" s="0" t="s">
        <v>305</v>
      </c>
      <c r="BA567" s="0">
        <v>493</v>
      </c>
      <c r="BB567" s="0" t="s">
        <v>232</v>
      </c>
      <c r="BC567" s="0">
        <v>2</v>
      </c>
      <c r="BD567" s="0">
        <v>374053</v>
      </c>
      <c r="BE567" s="0">
        <v>519203</v>
      </c>
      <c r="BF567" s="0">
        <v>2</v>
      </c>
      <c r="BG567" s="0" t="s">
        <v>4601</v>
      </c>
      <c r="BI567" s="0">
        <v>2920</v>
      </c>
      <c r="BK567" s="0" t="s">
        <v>4602</v>
      </c>
    </row>
    <row r="568">
      <c r="A568" s="0">
        <v>5201</v>
      </c>
      <c r="B568" s="0" t="s">
        <v>4603</v>
      </c>
      <c r="C568" s="0" t="s">
        <v>315</v>
      </c>
      <c r="D568" s="0" t="s">
        <v>4438</v>
      </c>
      <c r="E568" s="0" t="s">
        <v>4604</v>
      </c>
      <c r="F568" s="0">
        <v>2</v>
      </c>
      <c r="G568" s="0" t="s">
        <v>293</v>
      </c>
      <c r="H568" s="0" t="s">
        <v>294</v>
      </c>
      <c r="I568" s="0" t="s">
        <v>295</v>
      </c>
      <c r="J568" s="0" t="s">
        <v>319</v>
      </c>
      <c r="K568" s="0" t="s">
        <v>4605</v>
      </c>
      <c r="L568" s="0" t="s">
        <v>471</v>
      </c>
      <c r="U568" s="0" t="s">
        <v>4606</v>
      </c>
      <c r="W568" s="0" t="s">
        <v>4442</v>
      </c>
      <c r="X568" s="0" t="s">
        <v>529</v>
      </c>
      <c r="Y568" s="0" t="s">
        <v>56</v>
      </c>
      <c r="Z568" s="0" t="s">
        <v>570</v>
      </c>
      <c r="AA568" s="0" t="s">
        <v>172</v>
      </c>
      <c r="AB568" s="0" t="s">
        <v>531</v>
      </c>
      <c r="AC568" s="0" t="s">
        <v>532</v>
      </c>
      <c r="AD568" s="0" t="s">
        <v>572</v>
      </c>
      <c r="AF568" s="0" t="s">
        <v>301</v>
      </c>
      <c r="AP568" s="0" t="s">
        <v>305</v>
      </c>
      <c r="BA568" s="0">
        <v>493</v>
      </c>
      <c r="BB568" s="0" t="s">
        <v>232</v>
      </c>
      <c r="BC568" s="0">
        <v>2</v>
      </c>
      <c r="BD568" s="0">
        <v>374043</v>
      </c>
      <c r="BE568" s="0">
        <v>519203</v>
      </c>
      <c r="BF568" s="0">
        <v>2</v>
      </c>
      <c r="BG568" s="0" t="s">
        <v>4607</v>
      </c>
      <c r="BI568" s="0">
        <v>3238</v>
      </c>
      <c r="BK568" s="0" t="s">
        <v>4608</v>
      </c>
    </row>
    <row r="569">
      <c r="A569" s="0">
        <v>5389</v>
      </c>
      <c r="B569" s="0" t="s">
        <v>4609</v>
      </c>
      <c r="C569" s="0" t="s">
        <v>945</v>
      </c>
      <c r="D569" s="0" t="s">
        <v>1411</v>
      </c>
      <c r="E569" s="0" t="s">
        <v>4610</v>
      </c>
      <c r="F569" s="0">
        <v>2</v>
      </c>
      <c r="G569" s="0" t="s">
        <v>508</v>
      </c>
      <c r="I569" s="0" t="s">
        <v>4524</v>
      </c>
      <c r="J569" s="0" t="s">
        <v>319</v>
      </c>
      <c r="K569" s="0" t="s">
        <v>4611</v>
      </c>
      <c r="L569" s="0" t="s">
        <v>342</v>
      </c>
      <c r="P569" s="0" t="s">
        <v>402</v>
      </c>
      <c r="Q569" s="0" t="s">
        <v>402</v>
      </c>
      <c r="R569" s="0" t="s">
        <v>324</v>
      </c>
      <c r="T569" s="0" t="s">
        <v>4612</v>
      </c>
      <c r="U569" s="0" t="s">
        <v>4613</v>
      </c>
      <c r="W569" s="0" t="s">
        <v>4442</v>
      </c>
      <c r="X569" s="0" t="s">
        <v>529</v>
      </c>
      <c r="Y569" s="0" t="s">
        <v>56</v>
      </c>
      <c r="Z569" s="0" t="s">
        <v>570</v>
      </c>
      <c r="AA569" s="0" t="s">
        <v>172</v>
      </c>
      <c r="AB569" s="0" t="s">
        <v>531</v>
      </c>
      <c r="AC569" s="0" t="s">
        <v>532</v>
      </c>
      <c r="AD569" s="0" t="s">
        <v>572</v>
      </c>
      <c r="AF569" s="0" t="s">
        <v>301</v>
      </c>
      <c r="AP569" s="0" t="s">
        <v>305</v>
      </c>
      <c r="BA569" s="0">
        <v>493</v>
      </c>
      <c r="BB569" s="0" t="s">
        <v>232</v>
      </c>
      <c r="BC569" s="0">
        <v>2</v>
      </c>
      <c r="BD569" s="0">
        <v>14</v>
      </c>
      <c r="BE569" s="0">
        <v>519203</v>
      </c>
      <c r="BF569" s="0">
        <v>2</v>
      </c>
      <c r="BG569" s="0" t="s">
        <v>4614</v>
      </c>
      <c r="BI569" s="0">
        <v>4083</v>
      </c>
      <c r="BK569" s="0" t="s">
        <v>4615</v>
      </c>
    </row>
    <row r="570">
      <c r="A570" s="0">
        <v>5461</v>
      </c>
      <c r="B570" s="0" t="s">
        <v>4616</v>
      </c>
      <c r="C570" s="0" t="s">
        <v>315</v>
      </c>
      <c r="D570" s="0" t="s">
        <v>4583</v>
      </c>
      <c r="E570" s="0" t="s">
        <v>4617</v>
      </c>
      <c r="F570" s="0">
        <v>2</v>
      </c>
      <c r="G570" s="0" t="s">
        <v>508</v>
      </c>
      <c r="I570" s="0" t="s">
        <v>4558</v>
      </c>
      <c r="J570" s="0" t="s">
        <v>293</v>
      </c>
      <c r="K570" s="0" t="s">
        <v>294</v>
      </c>
      <c r="L570" s="0" t="s">
        <v>4223</v>
      </c>
      <c r="P570" s="0" t="s">
        <v>343</v>
      </c>
      <c r="Q570" s="0" t="s">
        <v>343</v>
      </c>
      <c r="T570" s="0" t="s">
        <v>4618</v>
      </c>
      <c r="U570" s="0" t="s">
        <v>4619</v>
      </c>
      <c r="W570" s="0" t="s">
        <v>4442</v>
      </c>
      <c r="X570" s="0" t="s">
        <v>529</v>
      </c>
      <c r="Y570" s="0" t="s">
        <v>56</v>
      </c>
      <c r="Z570" s="0" t="s">
        <v>570</v>
      </c>
      <c r="AA570" s="0" t="s">
        <v>172</v>
      </c>
      <c r="AB570" s="0" t="s">
        <v>531</v>
      </c>
      <c r="AC570" s="0" t="s">
        <v>532</v>
      </c>
      <c r="AD570" s="0" t="s">
        <v>572</v>
      </c>
      <c r="AF570" s="0" t="s">
        <v>301</v>
      </c>
      <c r="AP570" s="0" t="s">
        <v>305</v>
      </c>
      <c r="BA570" s="0">
        <v>493</v>
      </c>
      <c r="BB570" s="0" t="s">
        <v>232</v>
      </c>
      <c r="BC570" s="0">
        <v>2</v>
      </c>
      <c r="BD570" s="0">
        <v>374043</v>
      </c>
      <c r="BE570" s="0">
        <v>519203</v>
      </c>
      <c r="BF570" s="0">
        <v>2</v>
      </c>
      <c r="BG570" s="0" t="s">
        <v>4620</v>
      </c>
      <c r="BI570" s="0">
        <v>4463</v>
      </c>
      <c r="BK570" s="0" t="s">
        <v>4621</v>
      </c>
    </row>
    <row r="571">
      <c r="A571" s="0">
        <v>5208</v>
      </c>
      <c r="B571" s="0" t="s">
        <v>4622</v>
      </c>
      <c r="C571" s="0" t="s">
        <v>339</v>
      </c>
      <c r="D571" s="0" t="s">
        <v>4438</v>
      </c>
      <c r="E571" s="0" t="s">
        <v>4623</v>
      </c>
      <c r="F571" s="0">
        <v>2</v>
      </c>
      <c r="G571" s="0" t="s">
        <v>508</v>
      </c>
      <c r="I571" s="0" t="s">
        <v>1268</v>
      </c>
      <c r="J571" s="0" t="s">
        <v>319</v>
      </c>
      <c r="K571" s="0" t="s">
        <v>1997</v>
      </c>
      <c r="L571" s="0" t="s">
        <v>1268</v>
      </c>
      <c r="T571" s="0" t="s">
        <v>4624</v>
      </c>
      <c r="U571" s="0" t="s">
        <v>4625</v>
      </c>
      <c r="W571" s="0" t="s">
        <v>4442</v>
      </c>
      <c r="X571" s="0" t="s">
        <v>529</v>
      </c>
      <c r="Y571" s="0" t="s">
        <v>56</v>
      </c>
      <c r="Z571" s="0" t="s">
        <v>570</v>
      </c>
      <c r="AA571" s="0" t="s">
        <v>172</v>
      </c>
      <c r="AB571" s="0" t="s">
        <v>531</v>
      </c>
      <c r="AC571" s="0" t="s">
        <v>532</v>
      </c>
      <c r="AD571" s="0" t="s">
        <v>572</v>
      </c>
      <c r="AF571" s="0" t="s">
        <v>301</v>
      </c>
      <c r="AM571" s="0" t="s">
        <v>462</v>
      </c>
      <c r="AN571" s="0" t="s">
        <v>3023</v>
      </c>
      <c r="AO571" s="0" t="s">
        <v>311</v>
      </c>
      <c r="AP571" s="0" t="s">
        <v>305</v>
      </c>
      <c r="AQ571" s="0" t="s">
        <v>502</v>
      </c>
      <c r="AR571" s="0" t="s">
        <v>1012</v>
      </c>
      <c r="AS571" s="0">
        <v>60</v>
      </c>
      <c r="AT571" s="0">
        <v>108</v>
      </c>
      <c r="AU571" s="0">
        <v>153</v>
      </c>
      <c r="AV571" s="0" t="s">
        <v>332</v>
      </c>
      <c r="AX571" s="0" t="s">
        <v>3038</v>
      </c>
      <c r="AY571" s="0" t="s">
        <v>1502</v>
      </c>
      <c r="AZ571" s="0" t="s">
        <v>739</v>
      </c>
      <c r="BA571" s="0">
        <v>493</v>
      </c>
      <c r="BB571" s="0" t="s">
        <v>232</v>
      </c>
      <c r="BC571" s="0">
        <v>2</v>
      </c>
      <c r="BD571" s="0">
        <v>8</v>
      </c>
      <c r="BE571" s="0">
        <v>519203</v>
      </c>
      <c r="BF571" s="0">
        <v>2</v>
      </c>
      <c r="BG571" s="0" t="s">
        <v>4626</v>
      </c>
      <c r="BI571" s="0">
        <v>3999</v>
      </c>
      <c r="BK571" s="0" t="s">
        <v>4627</v>
      </c>
    </row>
    <row r="572">
      <c r="A572" s="0">
        <v>5209</v>
      </c>
      <c r="B572" s="0" t="s">
        <v>4628</v>
      </c>
      <c r="C572" s="0" t="s">
        <v>339</v>
      </c>
      <c r="D572" s="0" t="s">
        <v>4438</v>
      </c>
      <c r="E572" s="0" t="s">
        <v>4629</v>
      </c>
      <c r="F572" s="0">
        <v>2</v>
      </c>
      <c r="G572" s="0" t="s">
        <v>525</v>
      </c>
      <c r="H572" s="0" t="s">
        <v>508</v>
      </c>
      <c r="I572" s="0" t="s">
        <v>1268</v>
      </c>
      <c r="J572" s="0" t="s">
        <v>319</v>
      </c>
      <c r="K572" s="0" t="s">
        <v>1997</v>
      </c>
      <c r="L572" s="0" t="s">
        <v>1268</v>
      </c>
      <c r="P572" s="0" t="s">
        <v>343</v>
      </c>
      <c r="Q572" s="0" t="s">
        <v>343</v>
      </c>
      <c r="T572" s="0" t="s">
        <v>4630</v>
      </c>
      <c r="U572" s="0" t="s">
        <v>4631</v>
      </c>
      <c r="W572" s="0" t="s">
        <v>4442</v>
      </c>
      <c r="X572" s="0" t="s">
        <v>529</v>
      </c>
      <c r="Y572" s="0" t="s">
        <v>56</v>
      </c>
      <c r="Z572" s="0" t="s">
        <v>570</v>
      </c>
      <c r="AA572" s="0" t="s">
        <v>172</v>
      </c>
      <c r="AB572" s="0" t="s">
        <v>531</v>
      </c>
      <c r="AC572" s="0" t="s">
        <v>532</v>
      </c>
      <c r="AD572" s="0" t="s">
        <v>572</v>
      </c>
      <c r="AF572" s="0" t="s">
        <v>301</v>
      </c>
      <c r="AM572" s="0" t="s">
        <v>462</v>
      </c>
      <c r="AN572" s="0" t="s">
        <v>349</v>
      </c>
      <c r="AO572" s="0" t="s">
        <v>311</v>
      </c>
      <c r="AP572" s="0" t="s">
        <v>305</v>
      </c>
      <c r="AQ572" s="0" t="s">
        <v>331</v>
      </c>
      <c r="AR572" s="0" t="s">
        <v>1850</v>
      </c>
      <c r="AU572" s="0">
        <v>108</v>
      </c>
      <c r="AV572" s="0" t="s">
        <v>332</v>
      </c>
      <c r="AX572" s="0" t="s">
        <v>3038</v>
      </c>
      <c r="AY572" s="0" t="s">
        <v>964</v>
      </c>
      <c r="AZ572" s="0" t="s">
        <v>739</v>
      </c>
      <c r="BA572" s="0">
        <v>493</v>
      </c>
      <c r="BB572" s="0" t="s">
        <v>232</v>
      </c>
      <c r="BC572" s="0">
        <v>2</v>
      </c>
      <c r="BD572" s="0">
        <v>8</v>
      </c>
      <c r="BE572" s="0">
        <v>519203</v>
      </c>
      <c r="BF572" s="0">
        <v>2</v>
      </c>
      <c r="BG572" s="0" t="s">
        <v>4632</v>
      </c>
      <c r="BI572" s="0">
        <v>4081</v>
      </c>
      <c r="BK572" s="0" t="s">
        <v>4633</v>
      </c>
    </row>
    <row r="573">
      <c r="A573" s="0">
        <v>5210</v>
      </c>
      <c r="B573" s="0" t="s">
        <v>4634</v>
      </c>
      <c r="C573" s="0" t="s">
        <v>315</v>
      </c>
      <c r="D573" s="0" t="s">
        <v>4635</v>
      </c>
      <c r="E573" s="0" t="s">
        <v>4636</v>
      </c>
      <c r="F573" s="0">
        <v>1</v>
      </c>
      <c r="G573" s="0" t="s">
        <v>543</v>
      </c>
      <c r="H573" s="0" t="s">
        <v>1112</v>
      </c>
      <c r="I573" s="0" t="s">
        <v>524</v>
      </c>
      <c r="J573" s="0" t="s">
        <v>594</v>
      </c>
      <c r="L573" s="0" t="s">
        <v>4637</v>
      </c>
      <c r="P573" s="0" t="s">
        <v>323</v>
      </c>
      <c r="Q573" s="0" t="s">
        <v>343</v>
      </c>
      <c r="R573" s="0" t="s">
        <v>2393</v>
      </c>
      <c r="T573" s="0" t="s">
        <v>4638</v>
      </c>
      <c r="U573" s="0" t="s">
        <v>4639</v>
      </c>
      <c r="W573" s="0" t="s">
        <v>4640</v>
      </c>
      <c r="X573" s="0" t="s">
        <v>1688</v>
      </c>
      <c r="Y573" s="0" t="s">
        <v>36</v>
      </c>
      <c r="Z573" s="0" t="s">
        <v>4002</v>
      </c>
      <c r="AA573" s="0" t="s">
        <v>153</v>
      </c>
      <c r="AB573" s="0" t="s">
        <v>300</v>
      </c>
      <c r="AD573" s="0" t="s">
        <v>4641</v>
      </c>
      <c r="AF573" s="0" t="s">
        <v>301</v>
      </c>
      <c r="AP573" s="0" t="s">
        <v>305</v>
      </c>
      <c r="BA573" s="0">
        <v>494</v>
      </c>
      <c r="BB573" s="0" t="s">
        <v>232</v>
      </c>
      <c r="BC573" s="0">
        <v>2</v>
      </c>
      <c r="BD573" s="0">
        <v>374043</v>
      </c>
      <c r="BE573" s="0">
        <v>134783</v>
      </c>
      <c r="BF573" s="0">
        <v>6</v>
      </c>
      <c r="BG573" s="0" t="s">
        <v>4642</v>
      </c>
      <c r="BI573" s="0">
        <v>369</v>
      </c>
      <c r="BK573" s="0" t="s">
        <v>4643</v>
      </c>
    </row>
    <row r="574">
      <c r="A574" s="0">
        <v>5211</v>
      </c>
      <c r="B574" s="0" t="s">
        <v>4644</v>
      </c>
      <c r="C574" s="0" t="s">
        <v>945</v>
      </c>
      <c r="D574" s="0" t="s">
        <v>4635</v>
      </c>
      <c r="E574" s="0" t="s">
        <v>4645</v>
      </c>
      <c r="F574" s="0">
        <v>1</v>
      </c>
      <c r="G574" s="0" t="s">
        <v>319</v>
      </c>
      <c r="H574" s="0" t="s">
        <v>3996</v>
      </c>
      <c r="I574" s="0" t="s">
        <v>4646</v>
      </c>
      <c r="P574" s="0" t="s">
        <v>323</v>
      </c>
      <c r="Q574" s="0" t="s">
        <v>343</v>
      </c>
      <c r="R574" s="0" t="s">
        <v>556</v>
      </c>
      <c r="T574" s="0" t="s">
        <v>4647</v>
      </c>
      <c r="U574" s="0" t="s">
        <v>4648</v>
      </c>
      <c r="W574" s="0" t="s">
        <v>4640</v>
      </c>
      <c r="X574" s="0" t="s">
        <v>1688</v>
      </c>
      <c r="Y574" s="0" t="s">
        <v>36</v>
      </c>
      <c r="Z574" s="0" t="s">
        <v>4002</v>
      </c>
      <c r="AA574" s="0" t="s">
        <v>153</v>
      </c>
      <c r="AB574" s="0" t="s">
        <v>300</v>
      </c>
      <c r="AD574" s="0" t="s">
        <v>4641</v>
      </c>
      <c r="AF574" s="0" t="s">
        <v>301</v>
      </c>
      <c r="AM574" s="0" t="s">
        <v>372</v>
      </c>
      <c r="AN574" s="0" t="s">
        <v>1472</v>
      </c>
      <c r="AO574" s="0" t="s">
        <v>474</v>
      </c>
      <c r="AP574" s="0" t="s">
        <v>305</v>
      </c>
      <c r="AU574" s="0">
        <v>208</v>
      </c>
      <c r="AV574" s="0" t="s">
        <v>332</v>
      </c>
      <c r="AX574" s="0" t="s">
        <v>1505</v>
      </c>
      <c r="AY574" s="0" t="s">
        <v>443</v>
      </c>
      <c r="AZ574" s="0" t="s">
        <v>349</v>
      </c>
      <c r="BA574" s="0">
        <v>494</v>
      </c>
      <c r="BB574" s="0" t="s">
        <v>232</v>
      </c>
      <c r="BC574" s="0">
        <v>2</v>
      </c>
      <c r="BD574" s="0">
        <v>14</v>
      </c>
      <c r="BE574" s="0">
        <v>134783</v>
      </c>
      <c r="BF574" s="0">
        <v>6</v>
      </c>
      <c r="BG574" s="0" t="s">
        <v>4649</v>
      </c>
      <c r="BI574" s="0">
        <v>772</v>
      </c>
      <c r="BK574" s="0" t="s">
        <v>4650</v>
      </c>
    </row>
    <row r="575">
      <c r="A575" s="0">
        <v>5212</v>
      </c>
      <c r="B575" s="0" t="s">
        <v>4651</v>
      </c>
      <c r="C575" s="0" t="s">
        <v>339</v>
      </c>
      <c r="D575" s="0" t="s">
        <v>4635</v>
      </c>
      <c r="E575" s="0" t="s">
        <v>4652</v>
      </c>
      <c r="F575" s="0">
        <v>1</v>
      </c>
      <c r="G575" s="0" t="s">
        <v>319</v>
      </c>
      <c r="H575" s="0" t="s">
        <v>4013</v>
      </c>
      <c r="I575" s="0" t="s">
        <v>2166</v>
      </c>
      <c r="P575" s="0" t="s">
        <v>323</v>
      </c>
      <c r="Q575" s="0" t="s">
        <v>4015</v>
      </c>
      <c r="R575" s="0" t="s">
        <v>4653</v>
      </c>
      <c r="T575" s="0" t="s">
        <v>4654</v>
      </c>
      <c r="U575" s="0" t="s">
        <v>4655</v>
      </c>
      <c r="W575" s="0" t="s">
        <v>4640</v>
      </c>
      <c r="X575" s="0" t="s">
        <v>347</v>
      </c>
      <c r="Y575" s="0" t="s">
        <v>36</v>
      </c>
      <c r="Z575" s="0" t="s">
        <v>4002</v>
      </c>
      <c r="AA575" s="0" t="s">
        <v>153</v>
      </c>
      <c r="AB575" s="0" t="s">
        <v>300</v>
      </c>
      <c r="AD575" s="0" t="s">
        <v>4641</v>
      </c>
      <c r="AF575" s="0" t="s">
        <v>301</v>
      </c>
      <c r="AM575" s="0" t="s">
        <v>514</v>
      </c>
      <c r="AN575" s="0" t="s">
        <v>513</v>
      </c>
      <c r="AO575" s="0" t="s">
        <v>599</v>
      </c>
      <c r="AP575" s="0" t="s">
        <v>305</v>
      </c>
      <c r="AQ575" s="0" t="s">
        <v>1807</v>
      </c>
      <c r="AR575" s="0" t="s">
        <v>307</v>
      </c>
      <c r="AS575" s="0">
        <v>38</v>
      </c>
      <c r="AT575" s="0">
        <v>85</v>
      </c>
      <c r="AU575" s="0">
        <v>103</v>
      </c>
      <c r="AV575" s="0" t="s">
        <v>332</v>
      </c>
      <c r="AX575" s="0" t="s">
        <v>1875</v>
      </c>
      <c r="AY575" s="0" t="s">
        <v>490</v>
      </c>
      <c r="AZ575" s="0" t="s">
        <v>781</v>
      </c>
      <c r="BA575" s="0">
        <v>494</v>
      </c>
      <c r="BB575" s="0" t="s">
        <v>232</v>
      </c>
      <c r="BC575" s="0">
        <v>2</v>
      </c>
      <c r="BD575" s="0">
        <v>8</v>
      </c>
      <c r="BE575" s="0">
        <v>134783</v>
      </c>
      <c r="BF575" s="0">
        <v>4</v>
      </c>
      <c r="BG575" s="0" t="s">
        <v>4656</v>
      </c>
      <c r="BI575" s="0">
        <v>1104</v>
      </c>
      <c r="BK575" s="0" t="s">
        <v>4657</v>
      </c>
    </row>
    <row r="576">
      <c r="A576" s="0">
        <v>5220</v>
      </c>
      <c r="B576" s="0" t="s">
        <v>4658</v>
      </c>
      <c r="C576" s="0" t="s">
        <v>945</v>
      </c>
      <c r="D576" s="0" t="s">
        <v>4377</v>
      </c>
      <c r="E576" s="0" t="s">
        <v>4659</v>
      </c>
      <c r="F576" s="0">
        <v>1</v>
      </c>
      <c r="G576" s="0" t="s">
        <v>4660</v>
      </c>
      <c r="H576" s="0" t="s">
        <v>4661</v>
      </c>
      <c r="I576" s="0" t="s">
        <v>4662</v>
      </c>
      <c r="J576" s="0" t="s">
        <v>358</v>
      </c>
      <c r="K576" s="0" t="s">
        <v>379</v>
      </c>
      <c r="L576" s="0" t="s">
        <v>418</v>
      </c>
      <c r="P576" s="0" t="s">
        <v>451</v>
      </c>
      <c r="Q576" s="0" t="s">
        <v>2765</v>
      </c>
      <c r="R576" s="0" t="s">
        <v>4663</v>
      </c>
      <c r="T576" s="0" t="s">
        <v>4664</v>
      </c>
      <c r="U576" s="0" t="s">
        <v>4665</v>
      </c>
      <c r="W576" s="0" t="s">
        <v>4666</v>
      </c>
      <c r="X576" s="0" t="s">
        <v>347</v>
      </c>
      <c r="Y576" s="0" t="s">
        <v>94</v>
      </c>
      <c r="Z576" s="0" t="s">
        <v>1972</v>
      </c>
      <c r="AA576" s="0" t="s">
        <v>168</v>
      </c>
      <c r="AB576" s="0" t="s">
        <v>300</v>
      </c>
      <c r="AD576" s="0" t="s">
        <v>2611</v>
      </c>
      <c r="AF576" s="0" t="s">
        <v>301</v>
      </c>
      <c r="AP576" s="0" t="s">
        <v>305</v>
      </c>
      <c r="BA576" s="0">
        <v>495</v>
      </c>
      <c r="BB576" s="0" t="s">
        <v>232</v>
      </c>
      <c r="BC576" s="0">
        <v>2</v>
      </c>
      <c r="BD576" s="0">
        <v>14</v>
      </c>
      <c r="BE576" s="0">
        <v>112779</v>
      </c>
      <c r="BF576" s="0">
        <v>4</v>
      </c>
      <c r="BG576" s="0" t="s">
        <v>4667</v>
      </c>
      <c r="BI576" s="0">
        <v>1929</v>
      </c>
      <c r="BK576" s="0" t="s">
        <v>4668</v>
      </c>
    </row>
    <row r="577">
      <c r="A577" s="0">
        <v>5217</v>
      </c>
      <c r="B577" s="0" t="s">
        <v>4669</v>
      </c>
      <c r="C577" s="0" t="s">
        <v>315</v>
      </c>
      <c r="D577" s="0" t="s">
        <v>4670</v>
      </c>
      <c r="E577" s="0" t="s">
        <v>3546</v>
      </c>
      <c r="F577" s="0">
        <v>2</v>
      </c>
      <c r="G577" s="0" t="s">
        <v>293</v>
      </c>
      <c r="H577" s="0" t="s">
        <v>4671</v>
      </c>
      <c r="J577" s="0" t="s">
        <v>319</v>
      </c>
      <c r="K577" s="0" t="s">
        <v>4672</v>
      </c>
      <c r="L577" s="0" t="s">
        <v>497</v>
      </c>
      <c r="T577" s="0" t="s">
        <v>4673</v>
      </c>
      <c r="U577" s="0" t="s">
        <v>4674</v>
      </c>
      <c r="W577" s="0" t="s">
        <v>4666</v>
      </c>
      <c r="X577" s="0" t="s">
        <v>347</v>
      </c>
      <c r="Y577" s="0" t="s">
        <v>94</v>
      </c>
      <c r="Z577" s="0" t="s">
        <v>1972</v>
      </c>
      <c r="AA577" s="0" t="s">
        <v>168</v>
      </c>
      <c r="AB577" s="0" t="s">
        <v>300</v>
      </c>
      <c r="AD577" s="0" t="s">
        <v>2611</v>
      </c>
      <c r="AF577" s="0" t="s">
        <v>301</v>
      </c>
      <c r="AP577" s="0" t="s">
        <v>305</v>
      </c>
      <c r="BA577" s="0">
        <v>495</v>
      </c>
      <c r="BB577" s="0" t="s">
        <v>232</v>
      </c>
      <c r="BC577" s="0">
        <v>2</v>
      </c>
      <c r="BD577" s="0">
        <v>374043</v>
      </c>
      <c r="BE577" s="0">
        <v>112779</v>
      </c>
      <c r="BF577" s="0">
        <v>4</v>
      </c>
      <c r="BG577" s="0" t="s">
        <v>4675</v>
      </c>
      <c r="BI577" s="0">
        <v>1683</v>
      </c>
      <c r="BK577" s="0" t="s">
        <v>4676</v>
      </c>
    </row>
    <row r="578">
      <c r="A578" s="0">
        <v>5262</v>
      </c>
      <c r="B578" s="0" t="s">
        <v>4677</v>
      </c>
      <c r="C578" s="0" t="s">
        <v>315</v>
      </c>
      <c r="D578" s="0" t="s">
        <v>4670</v>
      </c>
      <c r="E578" s="0" t="s">
        <v>4678</v>
      </c>
      <c r="F578" s="0">
        <v>1</v>
      </c>
      <c r="G578" s="0" t="s">
        <v>293</v>
      </c>
      <c r="H578" s="0" t="s">
        <v>294</v>
      </c>
      <c r="I578" s="0" t="s">
        <v>918</v>
      </c>
      <c r="J578" s="0" t="s">
        <v>319</v>
      </c>
      <c r="K578" s="0" t="s">
        <v>1292</v>
      </c>
      <c r="L578" s="0" t="s">
        <v>497</v>
      </c>
      <c r="T578" s="0" t="s">
        <v>4679</v>
      </c>
      <c r="U578" s="0" t="s">
        <v>4680</v>
      </c>
      <c r="W578" s="0" t="s">
        <v>4666</v>
      </c>
      <c r="X578" s="0" t="s">
        <v>529</v>
      </c>
      <c r="Y578" s="0" t="s">
        <v>94</v>
      </c>
      <c r="Z578" s="0" t="s">
        <v>1972</v>
      </c>
      <c r="AA578" s="0" t="s">
        <v>168</v>
      </c>
      <c r="AB578" s="0" t="s">
        <v>300</v>
      </c>
      <c r="AD578" s="0" t="s">
        <v>2611</v>
      </c>
      <c r="AF578" s="0" t="s">
        <v>301</v>
      </c>
      <c r="AP578" s="0" t="s">
        <v>305</v>
      </c>
      <c r="BA578" s="0">
        <v>495</v>
      </c>
      <c r="BB578" s="0" t="s">
        <v>232</v>
      </c>
      <c r="BC578" s="0">
        <v>2</v>
      </c>
      <c r="BD578" s="0">
        <v>374043</v>
      </c>
      <c r="BE578" s="0">
        <v>112779</v>
      </c>
      <c r="BF578" s="0">
        <v>2</v>
      </c>
      <c r="BG578" s="0" t="s">
        <v>4681</v>
      </c>
      <c r="BI578" s="0">
        <v>3239</v>
      </c>
      <c r="BK578" s="0" t="s">
        <v>4682</v>
      </c>
    </row>
    <row r="579">
      <c r="A579" s="0">
        <v>5225</v>
      </c>
      <c r="B579" s="0" t="s">
        <v>4683</v>
      </c>
      <c r="C579" s="0" t="s">
        <v>339</v>
      </c>
      <c r="D579" s="0" t="s">
        <v>4442</v>
      </c>
      <c r="E579" s="0" t="s">
        <v>4684</v>
      </c>
      <c r="F579" s="0">
        <v>1</v>
      </c>
      <c r="G579" s="0" t="s">
        <v>508</v>
      </c>
      <c r="J579" s="0" t="s">
        <v>4685</v>
      </c>
      <c r="K579" s="0" t="s">
        <v>4686</v>
      </c>
      <c r="L579" s="0" t="s">
        <v>469</v>
      </c>
      <c r="M579" s="0" t="s">
        <v>4191</v>
      </c>
      <c r="O579" s="0" t="s">
        <v>918</v>
      </c>
      <c r="T579" s="0" t="s">
        <v>4687</v>
      </c>
      <c r="U579" s="0" t="s">
        <v>4688</v>
      </c>
      <c r="W579" s="0" t="s">
        <v>4666</v>
      </c>
      <c r="X579" s="0" t="s">
        <v>529</v>
      </c>
      <c r="Y579" s="0" t="s">
        <v>94</v>
      </c>
      <c r="Z579" s="0" t="s">
        <v>1972</v>
      </c>
      <c r="AA579" s="0" t="s">
        <v>168</v>
      </c>
      <c r="AB579" s="0" t="s">
        <v>300</v>
      </c>
      <c r="AD579" s="0" t="s">
        <v>2611</v>
      </c>
      <c r="AF579" s="0" t="s">
        <v>301</v>
      </c>
      <c r="AM579" s="0" t="s">
        <v>372</v>
      </c>
      <c r="AN579" s="0" t="s">
        <v>349</v>
      </c>
      <c r="AO579" s="0" t="s">
        <v>611</v>
      </c>
      <c r="AP579" s="0" t="s">
        <v>305</v>
      </c>
      <c r="AQ579" s="0" t="s">
        <v>1077</v>
      </c>
      <c r="AR579" s="0" t="s">
        <v>1012</v>
      </c>
      <c r="AS579" s="0">
        <v>71</v>
      </c>
      <c r="AT579" s="0">
        <v>148</v>
      </c>
      <c r="AU579" s="0">
        <v>153</v>
      </c>
      <c r="AV579" s="0" t="s">
        <v>332</v>
      </c>
      <c r="AX579" s="0" t="s">
        <v>964</v>
      </c>
      <c r="AY579" s="0" t="s">
        <v>513</v>
      </c>
      <c r="AZ579" s="0" t="s">
        <v>491</v>
      </c>
      <c r="BA579" s="0">
        <v>495</v>
      </c>
      <c r="BB579" s="0" t="s">
        <v>232</v>
      </c>
      <c r="BC579" s="0">
        <v>2</v>
      </c>
      <c r="BD579" s="0">
        <v>8</v>
      </c>
      <c r="BE579" s="0">
        <v>112779</v>
      </c>
      <c r="BF579" s="0">
        <v>2</v>
      </c>
      <c r="BG579" s="0" t="s">
        <v>4689</v>
      </c>
      <c r="BI579" s="0">
        <v>2375</v>
      </c>
      <c r="BK579" s="0" t="s">
        <v>4690</v>
      </c>
    </row>
    <row r="580">
      <c r="A580" s="0">
        <v>5298</v>
      </c>
      <c r="C580" s="0" t="s">
        <v>339</v>
      </c>
      <c r="D580" s="0" t="s">
        <v>4691</v>
      </c>
      <c r="E580" s="0" t="s">
        <v>4692</v>
      </c>
      <c r="F580" s="0">
        <v>1</v>
      </c>
      <c r="T580" s="0" t="s">
        <v>4693</v>
      </c>
      <c r="U580" s="0" t="s">
        <v>4694</v>
      </c>
      <c r="W580" s="0" t="s">
        <v>4666</v>
      </c>
      <c r="X580" s="0" t="s">
        <v>529</v>
      </c>
      <c r="Y580" s="0" t="s">
        <v>94</v>
      </c>
      <c r="Z580" s="0" t="s">
        <v>1972</v>
      </c>
      <c r="AA580" s="0" t="s">
        <v>168</v>
      </c>
      <c r="AB580" s="0" t="s">
        <v>300</v>
      </c>
      <c r="AD580" s="0" t="s">
        <v>2611</v>
      </c>
      <c r="AF580" s="0" t="s">
        <v>301</v>
      </c>
      <c r="AM580" s="0" t="s">
        <v>627</v>
      </c>
      <c r="AN580" s="0" t="s">
        <v>443</v>
      </c>
      <c r="AO580" s="0" t="s">
        <v>598</v>
      </c>
      <c r="AP580" s="0" t="s">
        <v>305</v>
      </c>
      <c r="AQ580" s="0" t="s">
        <v>1575</v>
      </c>
      <c r="AR580" s="0" t="s">
        <v>1807</v>
      </c>
      <c r="AS580" s="0">
        <v>36</v>
      </c>
      <c r="AT580" s="0">
        <v>84</v>
      </c>
      <c r="AU580" s="0">
        <v>90</v>
      </c>
      <c r="AV580" s="0" t="s">
        <v>332</v>
      </c>
      <c r="AX580" s="0" t="s">
        <v>611</v>
      </c>
      <c r="AY580" s="0" t="s">
        <v>311</v>
      </c>
      <c r="AZ580" s="0" t="s">
        <v>487</v>
      </c>
      <c r="BA580" s="0">
        <v>495</v>
      </c>
      <c r="BB580" s="0" t="s">
        <v>232</v>
      </c>
      <c r="BC580" s="0">
        <v>2</v>
      </c>
      <c r="BD580" s="0">
        <v>8</v>
      </c>
      <c r="BE580" s="0">
        <v>112779</v>
      </c>
      <c r="BF580" s="0">
        <v>2</v>
      </c>
      <c r="BG580" s="0" t="s">
        <v>4695</v>
      </c>
      <c r="BI580" s="0">
        <v>3377</v>
      </c>
      <c r="BK580" s="0" t="s">
        <v>4696</v>
      </c>
    </row>
    <row r="581">
      <c r="A581" s="0">
        <v>5226</v>
      </c>
      <c r="B581" s="0" t="s">
        <v>4697</v>
      </c>
      <c r="C581" s="0" t="s">
        <v>339</v>
      </c>
      <c r="D581" s="0" t="s">
        <v>4442</v>
      </c>
      <c r="E581" s="0" t="s">
        <v>4698</v>
      </c>
      <c r="F581" s="0">
        <v>1</v>
      </c>
      <c r="G581" s="0" t="s">
        <v>319</v>
      </c>
      <c r="H581" s="0" t="s">
        <v>4686</v>
      </c>
      <c r="I581" s="0" t="s">
        <v>1284</v>
      </c>
      <c r="J581" s="0" t="s">
        <v>508</v>
      </c>
      <c r="M581" s="0" t="s">
        <v>293</v>
      </c>
      <c r="N581" s="0" t="s">
        <v>294</v>
      </c>
      <c r="O581" s="0" t="s">
        <v>295</v>
      </c>
      <c r="T581" s="0" t="s">
        <v>4699</v>
      </c>
      <c r="U581" s="0" t="s">
        <v>4700</v>
      </c>
      <c r="W581" s="0" t="s">
        <v>4666</v>
      </c>
      <c r="X581" s="0" t="s">
        <v>529</v>
      </c>
      <c r="Y581" s="0" t="s">
        <v>94</v>
      </c>
      <c r="Z581" s="0" t="s">
        <v>1972</v>
      </c>
      <c r="AA581" s="0" t="s">
        <v>168</v>
      </c>
      <c r="AB581" s="0" t="s">
        <v>300</v>
      </c>
      <c r="AD581" s="0" t="s">
        <v>2611</v>
      </c>
      <c r="AF581" s="0" t="s">
        <v>301</v>
      </c>
      <c r="AM581" s="0" t="s">
        <v>349</v>
      </c>
      <c r="AN581" s="0" t="s">
        <v>426</v>
      </c>
      <c r="AO581" s="0" t="s">
        <v>304</v>
      </c>
      <c r="AP581" s="0" t="s">
        <v>305</v>
      </c>
      <c r="AQ581" s="0" t="s">
        <v>1575</v>
      </c>
      <c r="AR581" s="0" t="s">
        <v>1182</v>
      </c>
      <c r="AS581" s="0">
        <v>77</v>
      </c>
      <c r="AT581" s="0">
        <v>158</v>
      </c>
      <c r="AU581" s="0">
        <v>199</v>
      </c>
      <c r="AV581" s="0" t="s">
        <v>332</v>
      </c>
      <c r="AX581" s="0" t="s">
        <v>513</v>
      </c>
      <c r="AY581" s="0" t="s">
        <v>372</v>
      </c>
      <c r="AZ581" s="0" t="s">
        <v>585</v>
      </c>
      <c r="BA581" s="0">
        <v>495</v>
      </c>
      <c r="BB581" s="0" t="s">
        <v>232</v>
      </c>
      <c r="BC581" s="0">
        <v>2</v>
      </c>
      <c r="BD581" s="0">
        <v>8</v>
      </c>
      <c r="BE581" s="0">
        <v>112779</v>
      </c>
      <c r="BF581" s="0">
        <v>2</v>
      </c>
      <c r="BG581" s="0" t="s">
        <v>4701</v>
      </c>
      <c r="BI581" s="0">
        <v>2572</v>
      </c>
      <c r="BK581" s="0" t="s">
        <v>4702</v>
      </c>
    </row>
    <row r="582">
      <c r="A582" s="0">
        <v>5216</v>
      </c>
      <c r="B582" s="0" t="s">
        <v>4703</v>
      </c>
      <c r="E582" s="0" t="s">
        <v>4704</v>
      </c>
      <c r="T582" s="0" t="s">
        <v>4705</v>
      </c>
      <c r="W582" s="0" t="s">
        <v>4666</v>
      </c>
      <c r="X582" s="0" t="s">
        <v>1116</v>
      </c>
      <c r="Y582" s="0" t="s">
        <v>94</v>
      </c>
      <c r="Z582" s="0" t="s">
        <v>1972</v>
      </c>
      <c r="AA582" s="0" t="s">
        <v>168</v>
      </c>
      <c r="AB582" s="0" t="s">
        <v>300</v>
      </c>
      <c r="AD582" s="0" t="s">
        <v>2611</v>
      </c>
      <c r="AF582" s="0" t="s">
        <v>301</v>
      </c>
      <c r="AP582" s="0" t="s">
        <v>305</v>
      </c>
      <c r="BA582" s="0">
        <v>495</v>
      </c>
      <c r="BB582" s="0" t="s">
        <v>232</v>
      </c>
      <c r="BC582" s="0">
        <v>2</v>
      </c>
      <c r="BE582" s="0">
        <v>112779</v>
      </c>
      <c r="BF582" s="0">
        <v>1</v>
      </c>
      <c r="BG582" s="0" t="s">
        <v>4706</v>
      </c>
      <c r="BI582" s="0">
        <v>1200</v>
      </c>
      <c r="BK582" s="0" t="s">
        <v>4707</v>
      </c>
    </row>
    <row r="583">
      <c r="A583" s="0">
        <v>5213</v>
      </c>
      <c r="B583" s="0" t="s">
        <v>4708</v>
      </c>
      <c r="C583" s="0" t="s">
        <v>315</v>
      </c>
      <c r="D583" s="0" t="s">
        <v>4670</v>
      </c>
      <c r="E583" s="0" t="s">
        <v>4709</v>
      </c>
      <c r="F583" s="0">
        <v>1</v>
      </c>
      <c r="G583" s="0" t="s">
        <v>555</v>
      </c>
      <c r="H583" s="0" t="s">
        <v>1112</v>
      </c>
      <c r="I583" s="0" t="s">
        <v>417</v>
      </c>
      <c r="J583" s="0" t="s">
        <v>508</v>
      </c>
      <c r="K583" s="0" t="s">
        <v>549</v>
      </c>
      <c r="M583" s="0" t="s">
        <v>293</v>
      </c>
      <c r="N583" s="0" t="s">
        <v>294</v>
      </c>
      <c r="O583" s="0" t="s">
        <v>295</v>
      </c>
      <c r="P583" s="0" t="s">
        <v>323</v>
      </c>
      <c r="Q583" s="0" t="s">
        <v>323</v>
      </c>
      <c r="R583" s="0" t="s">
        <v>2007</v>
      </c>
      <c r="T583" s="0" t="s">
        <v>4710</v>
      </c>
      <c r="W583" s="0" t="s">
        <v>4666</v>
      </c>
      <c r="X583" s="0" t="s">
        <v>529</v>
      </c>
      <c r="Y583" s="0" t="s">
        <v>94</v>
      </c>
      <c r="Z583" s="0" t="s">
        <v>1972</v>
      </c>
      <c r="AA583" s="0" t="s">
        <v>168</v>
      </c>
      <c r="AB583" s="0" t="s">
        <v>300</v>
      </c>
      <c r="AD583" s="0" t="s">
        <v>2611</v>
      </c>
      <c r="AF583" s="0" t="s">
        <v>301</v>
      </c>
      <c r="AP583" s="0" t="s">
        <v>305</v>
      </c>
      <c r="BA583" s="0">
        <v>495</v>
      </c>
      <c r="BB583" s="0" t="s">
        <v>232</v>
      </c>
      <c r="BC583" s="0">
        <v>2</v>
      </c>
      <c r="BD583" s="0">
        <v>374043</v>
      </c>
      <c r="BE583" s="0">
        <v>112779</v>
      </c>
      <c r="BF583" s="0">
        <v>2</v>
      </c>
      <c r="BG583" s="0" t="s">
        <v>4711</v>
      </c>
      <c r="BI583" s="0">
        <v>376</v>
      </c>
      <c r="BK583" s="0" t="s">
        <v>4712</v>
      </c>
    </row>
    <row r="584">
      <c r="A584" s="0">
        <v>5239</v>
      </c>
      <c r="B584" s="0" t="s">
        <v>4713</v>
      </c>
      <c r="C584" s="0" t="s">
        <v>315</v>
      </c>
      <c r="D584" s="0" t="s">
        <v>1570</v>
      </c>
      <c r="E584" s="0" t="s">
        <v>4714</v>
      </c>
      <c r="F584" s="0">
        <v>1</v>
      </c>
      <c r="G584" s="0" t="s">
        <v>508</v>
      </c>
      <c r="H584" s="0" t="s">
        <v>4715</v>
      </c>
      <c r="I584" s="0" t="s">
        <v>4716</v>
      </c>
      <c r="P584" s="0" t="s">
        <v>4717</v>
      </c>
      <c r="R584" s="0" t="s">
        <v>1232</v>
      </c>
      <c r="T584" s="0" t="s">
        <v>4718</v>
      </c>
      <c r="U584" s="0" t="s">
        <v>4719</v>
      </c>
      <c r="W584" s="0" t="s">
        <v>4666</v>
      </c>
      <c r="X584" s="0" t="s">
        <v>529</v>
      </c>
      <c r="Y584" s="0" t="s">
        <v>94</v>
      </c>
      <c r="Z584" s="0" t="s">
        <v>1972</v>
      </c>
      <c r="AA584" s="0" t="s">
        <v>168</v>
      </c>
      <c r="AB584" s="0" t="s">
        <v>300</v>
      </c>
      <c r="AD584" s="0" t="s">
        <v>2611</v>
      </c>
      <c r="AF584" s="0" t="s">
        <v>301</v>
      </c>
      <c r="AP584" s="0" t="s">
        <v>305</v>
      </c>
      <c r="BA584" s="0">
        <v>495</v>
      </c>
      <c r="BB584" s="0" t="s">
        <v>232</v>
      </c>
      <c r="BC584" s="0">
        <v>2</v>
      </c>
      <c r="BD584" s="0">
        <v>374043</v>
      </c>
      <c r="BE584" s="0">
        <v>112779</v>
      </c>
      <c r="BF584" s="0">
        <v>2</v>
      </c>
      <c r="BG584" s="0" t="s">
        <v>4720</v>
      </c>
      <c r="BI584" s="0">
        <v>2747</v>
      </c>
      <c r="BK584" s="0" t="s">
        <v>4721</v>
      </c>
    </row>
    <row r="585">
      <c r="A585" s="0">
        <v>5214</v>
      </c>
      <c r="B585" s="0" t="s">
        <v>4722</v>
      </c>
      <c r="C585" s="0" t="s">
        <v>945</v>
      </c>
      <c r="D585" s="0" t="s">
        <v>4670</v>
      </c>
      <c r="E585" s="0" t="s">
        <v>4723</v>
      </c>
      <c r="F585" s="0">
        <v>1</v>
      </c>
      <c r="G585" s="0" t="s">
        <v>4724</v>
      </c>
      <c r="H585" s="0" t="s">
        <v>2947</v>
      </c>
      <c r="P585" s="0" t="s">
        <v>4725</v>
      </c>
      <c r="Q585" s="0" t="s">
        <v>343</v>
      </c>
      <c r="R585" s="0" t="s">
        <v>324</v>
      </c>
      <c r="T585" s="0" t="s">
        <v>4726</v>
      </c>
      <c r="U585" s="0" t="s">
        <v>4727</v>
      </c>
      <c r="W585" s="0" t="s">
        <v>4666</v>
      </c>
      <c r="X585" s="0" t="s">
        <v>347</v>
      </c>
      <c r="Y585" s="0" t="s">
        <v>94</v>
      </c>
      <c r="Z585" s="0" t="s">
        <v>1972</v>
      </c>
      <c r="AA585" s="0" t="s">
        <v>168</v>
      </c>
      <c r="AB585" s="0" t="s">
        <v>300</v>
      </c>
      <c r="AD585" s="0" t="s">
        <v>2611</v>
      </c>
      <c r="AF585" s="0" t="s">
        <v>301</v>
      </c>
      <c r="AP585" s="0" t="s">
        <v>305</v>
      </c>
      <c r="BA585" s="0">
        <v>495</v>
      </c>
      <c r="BB585" s="0" t="s">
        <v>232</v>
      </c>
      <c r="BC585" s="0">
        <v>2</v>
      </c>
      <c r="BD585" s="0">
        <v>14</v>
      </c>
      <c r="BE585" s="0">
        <v>112779</v>
      </c>
      <c r="BF585" s="0">
        <v>4</v>
      </c>
      <c r="BG585" s="0" t="s">
        <v>4728</v>
      </c>
      <c r="BI585" s="0">
        <v>777</v>
      </c>
      <c r="BK585" s="0" t="s">
        <v>4729</v>
      </c>
    </row>
    <row r="586">
      <c r="A586" s="0">
        <v>5215</v>
      </c>
      <c r="B586" s="0" t="s">
        <v>4730</v>
      </c>
      <c r="C586" s="0" t="s">
        <v>315</v>
      </c>
      <c r="D586" s="0" t="s">
        <v>4670</v>
      </c>
      <c r="E586" s="0" t="s">
        <v>4731</v>
      </c>
      <c r="F586" s="0">
        <v>1</v>
      </c>
      <c r="G586" s="0" t="s">
        <v>4732</v>
      </c>
      <c r="J586" s="0" t="s">
        <v>4732</v>
      </c>
      <c r="M586" s="0" t="s">
        <v>4732</v>
      </c>
      <c r="P586" s="0" t="s">
        <v>4733</v>
      </c>
      <c r="R586" s="0" t="s">
        <v>2685</v>
      </c>
      <c r="T586" s="0" t="s">
        <v>4734</v>
      </c>
      <c r="U586" s="0" t="s">
        <v>4735</v>
      </c>
      <c r="W586" s="0" t="s">
        <v>4666</v>
      </c>
      <c r="X586" s="0" t="s">
        <v>347</v>
      </c>
      <c r="Y586" s="0" t="s">
        <v>94</v>
      </c>
      <c r="Z586" s="0" t="s">
        <v>1972</v>
      </c>
      <c r="AA586" s="0" t="s">
        <v>168</v>
      </c>
      <c r="AB586" s="0" t="s">
        <v>300</v>
      </c>
      <c r="AD586" s="0" t="s">
        <v>2611</v>
      </c>
      <c r="AF586" s="0" t="s">
        <v>301</v>
      </c>
      <c r="AP586" s="0" t="s">
        <v>305</v>
      </c>
      <c r="BA586" s="0">
        <v>495</v>
      </c>
      <c r="BB586" s="0" t="s">
        <v>232</v>
      </c>
      <c r="BC586" s="0">
        <v>2</v>
      </c>
      <c r="BD586" s="0">
        <v>374043</v>
      </c>
      <c r="BE586" s="0">
        <v>112779</v>
      </c>
      <c r="BF586" s="0">
        <v>4</v>
      </c>
      <c r="BG586" s="0" t="s">
        <v>4736</v>
      </c>
      <c r="BI586" s="0">
        <v>1108</v>
      </c>
      <c r="BK586" s="0" t="s">
        <v>4737</v>
      </c>
    </row>
    <row r="587">
      <c r="A587" s="0">
        <v>5224</v>
      </c>
      <c r="B587" s="0" t="s">
        <v>4738</v>
      </c>
      <c r="C587" s="0" t="s">
        <v>315</v>
      </c>
      <c r="D587" s="0" t="s">
        <v>4377</v>
      </c>
      <c r="E587" s="0" t="s">
        <v>4739</v>
      </c>
      <c r="F587" s="0">
        <v>1</v>
      </c>
      <c r="G587" s="0" t="s">
        <v>508</v>
      </c>
      <c r="H587" s="0" t="s">
        <v>4740</v>
      </c>
      <c r="I587" s="0" t="s">
        <v>359</v>
      </c>
      <c r="J587" s="0" t="s">
        <v>378</v>
      </c>
      <c r="K587" s="0" t="s">
        <v>379</v>
      </c>
      <c r="P587" s="0" t="s">
        <v>451</v>
      </c>
      <c r="Q587" s="0" t="s">
        <v>451</v>
      </c>
      <c r="R587" s="0" t="s">
        <v>4741</v>
      </c>
      <c r="T587" s="0" t="s">
        <v>4742</v>
      </c>
      <c r="U587" s="0" t="s">
        <v>4743</v>
      </c>
      <c r="W587" s="0" t="s">
        <v>4666</v>
      </c>
      <c r="X587" s="0" t="s">
        <v>529</v>
      </c>
      <c r="Y587" s="0" t="s">
        <v>94</v>
      </c>
      <c r="Z587" s="0" t="s">
        <v>1972</v>
      </c>
      <c r="AA587" s="0" t="s">
        <v>168</v>
      </c>
      <c r="AB587" s="0" t="s">
        <v>300</v>
      </c>
      <c r="AD587" s="0" t="s">
        <v>2611</v>
      </c>
      <c r="AF587" s="0" t="s">
        <v>301</v>
      </c>
      <c r="AP587" s="0" t="s">
        <v>305</v>
      </c>
      <c r="BA587" s="0">
        <v>495</v>
      </c>
      <c r="BB587" s="0" t="s">
        <v>232</v>
      </c>
      <c r="BC587" s="0">
        <v>2</v>
      </c>
      <c r="BD587" s="0">
        <v>374043</v>
      </c>
      <c r="BE587" s="0">
        <v>112779</v>
      </c>
      <c r="BF587" s="0">
        <v>2</v>
      </c>
      <c r="BG587" s="0" t="s">
        <v>4744</v>
      </c>
      <c r="BI587" s="0">
        <v>2159</v>
      </c>
      <c r="BK587" s="0" t="s">
        <v>4745</v>
      </c>
    </row>
    <row r="588">
      <c r="A588" s="0">
        <v>5228</v>
      </c>
      <c r="B588" s="0" t="s">
        <v>4746</v>
      </c>
      <c r="C588" s="0" t="s">
        <v>945</v>
      </c>
      <c r="D588" s="0" t="s">
        <v>4455</v>
      </c>
      <c r="E588" s="0" t="s">
        <v>4747</v>
      </c>
      <c r="F588" s="0">
        <v>1</v>
      </c>
      <c r="G588" s="0" t="s">
        <v>555</v>
      </c>
      <c r="H588" s="0" t="s">
        <v>1112</v>
      </c>
      <c r="I588" s="0" t="s">
        <v>4748</v>
      </c>
      <c r="J588" s="0" t="s">
        <v>594</v>
      </c>
      <c r="K588" s="0" t="s">
        <v>1190</v>
      </c>
      <c r="L588" s="0" t="s">
        <v>4749</v>
      </c>
      <c r="P588" s="0" t="s">
        <v>323</v>
      </c>
      <c r="Q588" s="0" t="s">
        <v>343</v>
      </c>
      <c r="R588" s="0" t="s">
        <v>3998</v>
      </c>
      <c r="T588" s="0" t="s">
        <v>4750</v>
      </c>
      <c r="U588" s="0" t="s">
        <v>4751</v>
      </c>
      <c r="W588" s="0" t="s">
        <v>4640</v>
      </c>
      <c r="X588" s="0" t="s">
        <v>1688</v>
      </c>
      <c r="Y588" s="0" t="s">
        <v>36</v>
      </c>
      <c r="Z588" s="0" t="s">
        <v>4002</v>
      </c>
      <c r="AA588" s="0" t="s">
        <v>154</v>
      </c>
      <c r="AB588" s="0" t="s">
        <v>3740</v>
      </c>
      <c r="AD588" s="0" t="s">
        <v>300</v>
      </c>
      <c r="AF588" s="0" t="s">
        <v>301</v>
      </c>
      <c r="AP588" s="0" t="s">
        <v>305</v>
      </c>
      <c r="BA588" s="0">
        <v>496</v>
      </c>
      <c r="BB588" s="0" t="s">
        <v>232</v>
      </c>
      <c r="BC588" s="0">
        <v>2</v>
      </c>
      <c r="BD588" s="0">
        <v>14</v>
      </c>
      <c r="BE588" s="0">
        <v>134783</v>
      </c>
      <c r="BF588" s="0">
        <v>6</v>
      </c>
      <c r="BG588" s="0" t="s">
        <v>4752</v>
      </c>
      <c r="BI588" s="0">
        <v>791</v>
      </c>
      <c r="BK588" s="0" t="s">
        <v>4753</v>
      </c>
    </row>
    <row r="589">
      <c r="A589" s="0">
        <v>5229</v>
      </c>
      <c r="B589" s="0" t="s">
        <v>4754</v>
      </c>
      <c r="C589" s="0" t="s">
        <v>945</v>
      </c>
      <c r="D589" s="0" t="s">
        <v>4455</v>
      </c>
      <c r="E589" s="0" t="s">
        <v>4755</v>
      </c>
      <c r="F589" s="0">
        <v>1</v>
      </c>
      <c r="G589" s="0" t="s">
        <v>555</v>
      </c>
      <c r="H589" s="0" t="s">
        <v>1112</v>
      </c>
      <c r="I589" s="0" t="s">
        <v>4748</v>
      </c>
      <c r="J589" s="0" t="s">
        <v>594</v>
      </c>
      <c r="K589" s="0" t="s">
        <v>1190</v>
      </c>
      <c r="L589" s="0" t="s">
        <v>4749</v>
      </c>
      <c r="M589" s="0" t="s">
        <v>581</v>
      </c>
      <c r="N589" s="0" t="s">
        <v>581</v>
      </c>
      <c r="O589" s="0" t="s">
        <v>583</v>
      </c>
      <c r="P589" s="0" t="s">
        <v>323</v>
      </c>
      <c r="Q589" s="0" t="s">
        <v>343</v>
      </c>
      <c r="R589" s="0" t="s">
        <v>3998</v>
      </c>
      <c r="T589" s="0" t="s">
        <v>4756</v>
      </c>
      <c r="U589" s="0" t="s">
        <v>4757</v>
      </c>
      <c r="W589" s="0" t="s">
        <v>4640</v>
      </c>
      <c r="X589" s="0" t="s">
        <v>1688</v>
      </c>
      <c r="Y589" s="0" t="s">
        <v>36</v>
      </c>
      <c r="Z589" s="0" t="s">
        <v>4002</v>
      </c>
      <c r="AA589" s="0" t="s">
        <v>154</v>
      </c>
      <c r="AB589" s="0" t="s">
        <v>3740</v>
      </c>
      <c r="AD589" s="0" t="s">
        <v>300</v>
      </c>
      <c r="AF589" s="0" t="s">
        <v>301</v>
      </c>
      <c r="AP589" s="0" t="s">
        <v>305</v>
      </c>
      <c r="BA589" s="0">
        <v>496</v>
      </c>
      <c r="BB589" s="0" t="s">
        <v>232</v>
      </c>
      <c r="BC589" s="0">
        <v>2</v>
      </c>
      <c r="BD589" s="0">
        <v>14</v>
      </c>
      <c r="BE589" s="0">
        <v>134783</v>
      </c>
      <c r="BF589" s="0">
        <v>6</v>
      </c>
      <c r="BG589" s="0" t="s">
        <v>4758</v>
      </c>
      <c r="BI589" s="0">
        <v>1122</v>
      </c>
      <c r="BK589" s="0" t="s">
        <v>4759</v>
      </c>
    </row>
    <row r="590">
      <c r="A590" s="0">
        <v>5230</v>
      </c>
      <c r="B590" s="0" t="s">
        <v>4760</v>
      </c>
      <c r="C590" s="0" t="s">
        <v>315</v>
      </c>
      <c r="D590" s="0" t="s">
        <v>4666</v>
      </c>
      <c r="E590" s="0" t="s">
        <v>4761</v>
      </c>
      <c r="F590" s="0">
        <v>1</v>
      </c>
      <c r="G590" s="0" t="s">
        <v>508</v>
      </c>
      <c r="I590" s="0" t="s">
        <v>549</v>
      </c>
      <c r="J590" s="0" t="s">
        <v>293</v>
      </c>
      <c r="K590" s="0" t="s">
        <v>294</v>
      </c>
      <c r="L590" s="0" t="s">
        <v>295</v>
      </c>
      <c r="P590" s="0" t="s">
        <v>4762</v>
      </c>
      <c r="Q590" s="0" t="s">
        <v>4762</v>
      </c>
      <c r="R590" s="0" t="s">
        <v>4763</v>
      </c>
      <c r="T590" s="0" t="s">
        <v>4764</v>
      </c>
      <c r="U590" s="0" t="s">
        <v>4765</v>
      </c>
      <c r="X590" s="0" t="s">
        <v>529</v>
      </c>
      <c r="Y590" s="0" t="s">
        <v>115</v>
      </c>
      <c r="Z590" s="0" t="s">
        <v>4766</v>
      </c>
      <c r="AA590" s="0" t="s">
        <v>213</v>
      </c>
      <c r="AB590" s="0" t="s">
        <v>531</v>
      </c>
      <c r="AE590" s="0" t="s">
        <v>4767</v>
      </c>
      <c r="AF590" s="0" t="s">
        <v>301</v>
      </c>
      <c r="AP590" s="0" t="s">
        <v>305</v>
      </c>
      <c r="BA590" s="0">
        <v>497</v>
      </c>
      <c r="BB590" s="0" t="s">
        <v>232</v>
      </c>
      <c r="BC590" s="0">
        <v>2</v>
      </c>
      <c r="BD590" s="0">
        <v>374043</v>
      </c>
      <c r="BE590" s="0">
        <v>444</v>
      </c>
      <c r="BF590" s="0">
        <v>2</v>
      </c>
      <c r="BG590" s="0" t="s">
        <v>4768</v>
      </c>
      <c r="BI590" s="0">
        <v>377</v>
      </c>
      <c r="BK590" s="0" t="s">
        <v>4769</v>
      </c>
    </row>
    <row r="591">
      <c r="A591" s="0">
        <v>5232</v>
      </c>
      <c r="B591" s="0" t="s">
        <v>4770</v>
      </c>
      <c r="C591" s="0" t="s">
        <v>315</v>
      </c>
      <c r="D591" s="0" t="s">
        <v>4666</v>
      </c>
      <c r="E591" s="0" t="s">
        <v>4771</v>
      </c>
      <c r="F591" s="0">
        <v>1</v>
      </c>
      <c r="G591" s="0" t="s">
        <v>508</v>
      </c>
      <c r="I591" s="0" t="s">
        <v>549</v>
      </c>
      <c r="J591" s="0" t="s">
        <v>293</v>
      </c>
      <c r="K591" s="0" t="s">
        <v>294</v>
      </c>
      <c r="L591" s="0" t="s">
        <v>295</v>
      </c>
      <c r="P591" s="0" t="s">
        <v>4762</v>
      </c>
      <c r="Q591" s="0" t="s">
        <v>4762</v>
      </c>
      <c r="R591" s="0" t="s">
        <v>4763</v>
      </c>
      <c r="T591" s="0" t="s">
        <v>4772</v>
      </c>
      <c r="U591" s="0" t="s">
        <v>4773</v>
      </c>
      <c r="X591" s="0" t="s">
        <v>529</v>
      </c>
      <c r="Y591" s="0" t="s">
        <v>115</v>
      </c>
      <c r="Z591" s="0" t="s">
        <v>4766</v>
      </c>
      <c r="AA591" s="0" t="s">
        <v>213</v>
      </c>
      <c r="AB591" s="0" t="s">
        <v>531</v>
      </c>
      <c r="AE591" s="0" t="s">
        <v>4767</v>
      </c>
      <c r="AF591" s="0" t="s">
        <v>301</v>
      </c>
      <c r="AP591" s="0" t="s">
        <v>305</v>
      </c>
      <c r="BA591" s="0">
        <v>497</v>
      </c>
      <c r="BB591" s="0" t="s">
        <v>232</v>
      </c>
      <c r="BC591" s="0">
        <v>2</v>
      </c>
      <c r="BD591" s="0">
        <v>374043</v>
      </c>
      <c r="BE591" s="0">
        <v>444</v>
      </c>
      <c r="BF591" s="0">
        <v>2</v>
      </c>
      <c r="BG591" s="0" t="s">
        <v>4774</v>
      </c>
      <c r="BI591" s="0">
        <v>1109</v>
      </c>
      <c r="BK591" s="0" t="s">
        <v>4775</v>
      </c>
    </row>
    <row r="592">
      <c r="A592" s="0">
        <v>5234</v>
      </c>
      <c r="B592" s="0" t="s">
        <v>4776</v>
      </c>
      <c r="C592" s="0" t="s">
        <v>315</v>
      </c>
      <c r="D592" s="0" t="s">
        <v>4666</v>
      </c>
      <c r="E592" s="0" t="s">
        <v>4777</v>
      </c>
      <c r="F592" s="0">
        <v>1</v>
      </c>
      <c r="G592" s="0" t="s">
        <v>508</v>
      </c>
      <c r="I592" s="0" t="s">
        <v>549</v>
      </c>
      <c r="J592" s="0" t="s">
        <v>293</v>
      </c>
      <c r="K592" s="0" t="s">
        <v>294</v>
      </c>
      <c r="L592" s="0" t="s">
        <v>295</v>
      </c>
      <c r="P592" s="0" t="s">
        <v>4762</v>
      </c>
      <c r="R592" s="0" t="s">
        <v>4778</v>
      </c>
      <c r="T592" s="0" t="s">
        <v>4772</v>
      </c>
      <c r="U592" s="0" t="s">
        <v>4779</v>
      </c>
      <c r="X592" s="0" t="s">
        <v>529</v>
      </c>
      <c r="Y592" s="0" t="s">
        <v>115</v>
      </c>
      <c r="Z592" s="0" t="s">
        <v>4766</v>
      </c>
      <c r="AA592" s="0" t="s">
        <v>213</v>
      </c>
      <c r="AB592" s="0" t="s">
        <v>531</v>
      </c>
      <c r="AE592" s="0" t="s">
        <v>4767</v>
      </c>
      <c r="AF592" s="0" t="s">
        <v>301</v>
      </c>
      <c r="AP592" s="0" t="s">
        <v>305</v>
      </c>
      <c r="BA592" s="0">
        <v>497</v>
      </c>
      <c r="BB592" s="0" t="s">
        <v>232</v>
      </c>
      <c r="BC592" s="0">
        <v>2</v>
      </c>
      <c r="BD592" s="0">
        <v>374043</v>
      </c>
      <c r="BE592" s="0">
        <v>444</v>
      </c>
      <c r="BF592" s="0">
        <v>2</v>
      </c>
      <c r="BG592" s="0" t="s">
        <v>4780</v>
      </c>
      <c r="BI592" s="0">
        <v>1684</v>
      </c>
      <c r="BK592" s="0" t="s">
        <v>4781</v>
      </c>
    </row>
    <row r="593">
      <c r="A593" s="0">
        <v>5231</v>
      </c>
      <c r="B593" s="0" t="s">
        <v>4782</v>
      </c>
      <c r="C593" s="0" t="s">
        <v>315</v>
      </c>
      <c r="D593" s="0" t="s">
        <v>4666</v>
      </c>
      <c r="E593" s="0" t="s">
        <v>4783</v>
      </c>
      <c r="F593" s="0">
        <v>1</v>
      </c>
      <c r="G593" s="0" t="s">
        <v>508</v>
      </c>
      <c r="I593" s="0" t="s">
        <v>549</v>
      </c>
      <c r="J593" s="0" t="s">
        <v>293</v>
      </c>
      <c r="K593" s="0" t="s">
        <v>294</v>
      </c>
      <c r="L593" s="0" t="s">
        <v>295</v>
      </c>
      <c r="P593" s="0" t="s">
        <v>4762</v>
      </c>
      <c r="Q593" s="0" t="s">
        <v>4762</v>
      </c>
      <c r="R593" s="0" t="s">
        <v>4763</v>
      </c>
      <c r="T593" s="0" t="s">
        <v>4772</v>
      </c>
      <c r="U593" s="0" t="s">
        <v>4784</v>
      </c>
      <c r="X593" s="0" t="s">
        <v>529</v>
      </c>
      <c r="Y593" s="0" t="s">
        <v>115</v>
      </c>
      <c r="Z593" s="0" t="s">
        <v>4766</v>
      </c>
      <c r="AA593" s="0" t="s">
        <v>213</v>
      </c>
      <c r="AB593" s="0" t="s">
        <v>531</v>
      </c>
      <c r="AE593" s="0" t="s">
        <v>4767</v>
      </c>
      <c r="AF593" s="0" t="s">
        <v>301</v>
      </c>
      <c r="AP593" s="0" t="s">
        <v>305</v>
      </c>
      <c r="BA593" s="0">
        <v>497</v>
      </c>
      <c r="BB593" s="0" t="s">
        <v>232</v>
      </c>
      <c r="BC593" s="0">
        <v>2</v>
      </c>
      <c r="BD593" s="0">
        <v>374043</v>
      </c>
      <c r="BE593" s="0">
        <v>444</v>
      </c>
      <c r="BF593" s="0">
        <v>2</v>
      </c>
      <c r="BG593" s="0" t="s">
        <v>4785</v>
      </c>
      <c r="BI593" s="0">
        <v>778</v>
      </c>
      <c r="BK593" s="0" t="s">
        <v>4786</v>
      </c>
    </row>
    <row r="594">
      <c r="A594" s="0">
        <v>5233</v>
      </c>
      <c r="B594" s="0" t="s">
        <v>4787</v>
      </c>
      <c r="C594" s="0" t="s">
        <v>315</v>
      </c>
      <c r="D594" s="0" t="s">
        <v>4666</v>
      </c>
      <c r="E594" s="0" t="s">
        <v>4788</v>
      </c>
      <c r="F594" s="0">
        <v>1</v>
      </c>
      <c r="G594" s="0" t="s">
        <v>508</v>
      </c>
      <c r="I594" s="0" t="s">
        <v>549</v>
      </c>
      <c r="J594" s="0" t="s">
        <v>293</v>
      </c>
      <c r="K594" s="0" t="s">
        <v>294</v>
      </c>
      <c r="L594" s="0" t="s">
        <v>295</v>
      </c>
      <c r="T594" s="0" t="s">
        <v>4772</v>
      </c>
      <c r="U594" s="0" t="s">
        <v>4789</v>
      </c>
      <c r="X594" s="0" t="s">
        <v>529</v>
      </c>
      <c r="Y594" s="0" t="s">
        <v>115</v>
      </c>
      <c r="Z594" s="0" t="s">
        <v>4766</v>
      </c>
      <c r="AA594" s="0" t="s">
        <v>213</v>
      </c>
      <c r="AB594" s="0" t="s">
        <v>531</v>
      </c>
      <c r="AE594" s="0" t="s">
        <v>4767</v>
      </c>
      <c r="AF594" s="0" t="s">
        <v>301</v>
      </c>
      <c r="AP594" s="0" t="s">
        <v>305</v>
      </c>
      <c r="BA594" s="0">
        <v>497</v>
      </c>
      <c r="BB594" s="0" t="s">
        <v>232</v>
      </c>
      <c r="BC594" s="0">
        <v>2</v>
      </c>
      <c r="BD594" s="0">
        <v>374043</v>
      </c>
      <c r="BE594" s="0">
        <v>444</v>
      </c>
      <c r="BF594" s="0">
        <v>2</v>
      </c>
      <c r="BG594" s="0" t="s">
        <v>4790</v>
      </c>
      <c r="BI594" s="0">
        <v>1416</v>
      </c>
      <c r="BK594" s="0" t="s">
        <v>4791</v>
      </c>
    </row>
    <row r="595">
      <c r="A595" s="0">
        <v>5252</v>
      </c>
      <c r="B595" s="0" t="s">
        <v>4792</v>
      </c>
      <c r="C595" s="0" t="s">
        <v>315</v>
      </c>
      <c r="D595" s="0" t="s">
        <v>4793</v>
      </c>
      <c r="E595" s="0" t="s">
        <v>4794</v>
      </c>
      <c r="F595" s="0">
        <v>2</v>
      </c>
      <c r="G595" s="0" t="s">
        <v>319</v>
      </c>
      <c r="H595" s="0" t="s">
        <v>1987</v>
      </c>
      <c r="I595" s="0" t="s">
        <v>4795</v>
      </c>
      <c r="J595" s="0" t="s">
        <v>2566</v>
      </c>
      <c r="K595" s="0" t="s">
        <v>508</v>
      </c>
      <c r="P595" s="0" t="s">
        <v>1667</v>
      </c>
      <c r="Q595" s="0" t="s">
        <v>1686</v>
      </c>
      <c r="R595" s="0" t="s">
        <v>1232</v>
      </c>
      <c r="T595" s="0" t="s">
        <v>4796</v>
      </c>
      <c r="U595" s="0" t="s">
        <v>4797</v>
      </c>
      <c r="X595" s="0" t="s">
        <v>347</v>
      </c>
      <c r="Y595" s="0" t="s">
        <v>77</v>
      </c>
      <c r="Z595" s="0" t="s">
        <v>3973</v>
      </c>
      <c r="AA595" s="0" t="s">
        <v>214</v>
      </c>
      <c r="AB595" s="0" t="s">
        <v>531</v>
      </c>
      <c r="AC595" s="0" t="s">
        <v>571</v>
      </c>
      <c r="AD595" s="0" t="s">
        <v>1642</v>
      </c>
      <c r="AE595" s="0" t="s">
        <v>4798</v>
      </c>
      <c r="AF595" s="0" t="s">
        <v>301</v>
      </c>
      <c r="AP595" s="0" t="s">
        <v>305</v>
      </c>
      <c r="BA595" s="0">
        <v>498</v>
      </c>
      <c r="BB595" s="0" t="s">
        <v>232</v>
      </c>
      <c r="BC595" s="0">
        <v>2</v>
      </c>
      <c r="BD595" s="0">
        <v>374043</v>
      </c>
      <c r="BE595" s="0">
        <v>519953</v>
      </c>
      <c r="BF595" s="0">
        <v>4</v>
      </c>
      <c r="BG595" s="0" t="s">
        <v>4799</v>
      </c>
      <c r="BI595" s="0">
        <v>2751</v>
      </c>
      <c r="BK595" s="0" t="s">
        <v>4800</v>
      </c>
    </row>
    <row r="596">
      <c r="A596" s="0">
        <v>5266</v>
      </c>
      <c r="B596" s="0" t="s">
        <v>4801</v>
      </c>
      <c r="C596" s="0" t="s">
        <v>315</v>
      </c>
      <c r="D596" s="0" t="s">
        <v>4793</v>
      </c>
      <c r="E596" s="0" t="s">
        <v>4802</v>
      </c>
      <c r="F596" s="0">
        <v>2</v>
      </c>
      <c r="G596" s="0" t="s">
        <v>319</v>
      </c>
      <c r="H596" s="0" t="s">
        <v>1987</v>
      </c>
      <c r="I596" s="0" t="s">
        <v>4795</v>
      </c>
      <c r="J596" s="0" t="s">
        <v>2566</v>
      </c>
      <c r="K596" s="0" t="s">
        <v>508</v>
      </c>
      <c r="M596" s="0" t="s">
        <v>293</v>
      </c>
      <c r="N596" s="0" t="s">
        <v>294</v>
      </c>
      <c r="O596" s="0" t="s">
        <v>295</v>
      </c>
      <c r="P596" s="0" t="s">
        <v>1667</v>
      </c>
      <c r="Q596" s="0" t="s">
        <v>1686</v>
      </c>
      <c r="R596" s="0" t="s">
        <v>1232</v>
      </c>
      <c r="T596" s="0" t="s">
        <v>4803</v>
      </c>
      <c r="U596" s="0" t="s">
        <v>4804</v>
      </c>
      <c r="X596" s="0" t="s">
        <v>347</v>
      </c>
      <c r="Y596" s="0" t="s">
        <v>77</v>
      </c>
      <c r="Z596" s="0" t="s">
        <v>3973</v>
      </c>
      <c r="AA596" s="0" t="s">
        <v>214</v>
      </c>
      <c r="AB596" s="0" t="s">
        <v>531</v>
      </c>
      <c r="AC596" s="0" t="s">
        <v>571</v>
      </c>
      <c r="AD596" s="0" t="s">
        <v>1642</v>
      </c>
      <c r="AE596" s="0" t="s">
        <v>4798</v>
      </c>
      <c r="AF596" s="0" t="s">
        <v>301</v>
      </c>
      <c r="AP596" s="0" t="s">
        <v>305</v>
      </c>
      <c r="BA596" s="0">
        <v>498</v>
      </c>
      <c r="BB596" s="0" t="s">
        <v>232</v>
      </c>
      <c r="BC596" s="0">
        <v>2</v>
      </c>
      <c r="BD596" s="0">
        <v>374043</v>
      </c>
      <c r="BE596" s="0">
        <v>519953</v>
      </c>
      <c r="BF596" s="0">
        <v>4</v>
      </c>
      <c r="BG596" s="0" t="s">
        <v>4805</v>
      </c>
      <c r="BI596" s="0">
        <v>4085</v>
      </c>
      <c r="BK596" s="0" t="s">
        <v>4806</v>
      </c>
    </row>
    <row r="597">
      <c r="A597" s="0">
        <v>5265</v>
      </c>
      <c r="B597" s="0" t="s">
        <v>4807</v>
      </c>
      <c r="C597" s="0" t="s">
        <v>315</v>
      </c>
      <c r="D597" s="0" t="s">
        <v>4793</v>
      </c>
      <c r="E597" s="0" t="s">
        <v>4808</v>
      </c>
      <c r="F597" s="0">
        <v>2</v>
      </c>
      <c r="G597" s="0" t="s">
        <v>293</v>
      </c>
      <c r="H597" s="0" t="s">
        <v>294</v>
      </c>
      <c r="I597" s="0" t="s">
        <v>295</v>
      </c>
      <c r="T597" s="0" t="s">
        <v>4809</v>
      </c>
      <c r="U597" s="0" t="s">
        <v>4810</v>
      </c>
      <c r="X597" s="0" t="s">
        <v>347</v>
      </c>
      <c r="Y597" s="0" t="s">
        <v>77</v>
      </c>
      <c r="Z597" s="0" t="s">
        <v>3973</v>
      </c>
      <c r="AA597" s="0" t="s">
        <v>214</v>
      </c>
      <c r="AB597" s="0" t="s">
        <v>531</v>
      </c>
      <c r="AC597" s="0" t="s">
        <v>571</v>
      </c>
      <c r="AD597" s="0" t="s">
        <v>1642</v>
      </c>
      <c r="AE597" s="0" t="s">
        <v>4798</v>
      </c>
      <c r="AF597" s="0" t="s">
        <v>301</v>
      </c>
      <c r="AP597" s="0" t="s">
        <v>305</v>
      </c>
      <c r="BA597" s="0">
        <v>498</v>
      </c>
      <c r="BB597" s="0" t="s">
        <v>232</v>
      </c>
      <c r="BC597" s="0">
        <v>2</v>
      </c>
      <c r="BD597" s="0">
        <v>374043</v>
      </c>
      <c r="BE597" s="0">
        <v>519953</v>
      </c>
      <c r="BF597" s="0">
        <v>4</v>
      </c>
      <c r="BG597" s="0" t="s">
        <v>4811</v>
      </c>
      <c r="BI597" s="0">
        <v>4002</v>
      </c>
      <c r="BK597" s="0" t="s">
        <v>4812</v>
      </c>
    </row>
    <row r="598">
      <c r="A598" s="0">
        <v>5253</v>
      </c>
      <c r="B598" s="0" t="s">
        <v>4813</v>
      </c>
      <c r="C598" s="0" t="s">
        <v>315</v>
      </c>
      <c r="D598" s="0" t="s">
        <v>4793</v>
      </c>
      <c r="E598" s="0" t="s">
        <v>4814</v>
      </c>
      <c r="F598" s="0">
        <v>2</v>
      </c>
      <c r="G598" s="0" t="s">
        <v>319</v>
      </c>
      <c r="H598" s="0" t="s">
        <v>1987</v>
      </c>
      <c r="I598" s="0" t="s">
        <v>4795</v>
      </c>
      <c r="J598" s="0" t="s">
        <v>2566</v>
      </c>
      <c r="K598" s="0" t="s">
        <v>508</v>
      </c>
      <c r="P598" s="0" t="s">
        <v>1667</v>
      </c>
      <c r="Q598" s="0" t="s">
        <v>1686</v>
      </c>
      <c r="R598" s="0" t="s">
        <v>1232</v>
      </c>
      <c r="T598" s="0" t="s">
        <v>4815</v>
      </c>
      <c r="U598" s="0" t="s">
        <v>4816</v>
      </c>
      <c r="X598" s="0" t="s">
        <v>347</v>
      </c>
      <c r="Y598" s="0" t="s">
        <v>77</v>
      </c>
      <c r="Z598" s="0" t="s">
        <v>3973</v>
      </c>
      <c r="AA598" s="0" t="s">
        <v>214</v>
      </c>
      <c r="AB598" s="0" t="s">
        <v>531</v>
      </c>
      <c r="AC598" s="0" t="s">
        <v>571</v>
      </c>
      <c r="AD598" s="0" t="s">
        <v>1642</v>
      </c>
      <c r="AE598" s="0" t="s">
        <v>4798</v>
      </c>
      <c r="AF598" s="0" t="s">
        <v>301</v>
      </c>
      <c r="AP598" s="0" t="s">
        <v>305</v>
      </c>
      <c r="BA598" s="0">
        <v>498</v>
      </c>
      <c r="BB598" s="0" t="s">
        <v>232</v>
      </c>
      <c r="BC598" s="0">
        <v>2</v>
      </c>
      <c r="BD598" s="0">
        <v>374043</v>
      </c>
      <c r="BE598" s="0">
        <v>519953</v>
      </c>
      <c r="BF598" s="0">
        <v>4</v>
      </c>
      <c r="BG598" s="0" t="s">
        <v>4817</v>
      </c>
      <c r="BI598" s="0">
        <v>2925</v>
      </c>
      <c r="BK598" s="0" t="s">
        <v>4818</v>
      </c>
    </row>
    <row r="599">
      <c r="A599" s="0">
        <v>5242</v>
      </c>
      <c r="B599" s="0" t="s">
        <v>4819</v>
      </c>
      <c r="C599" s="0" t="s">
        <v>315</v>
      </c>
      <c r="D599" s="0" t="s">
        <v>4793</v>
      </c>
      <c r="E599" s="0" t="s">
        <v>4820</v>
      </c>
      <c r="F599" s="0">
        <v>2</v>
      </c>
      <c r="G599" s="0" t="s">
        <v>319</v>
      </c>
      <c r="H599" s="0" t="s">
        <v>1987</v>
      </c>
      <c r="I599" s="0" t="s">
        <v>4795</v>
      </c>
      <c r="J599" s="0" t="s">
        <v>293</v>
      </c>
      <c r="K599" s="0" t="s">
        <v>294</v>
      </c>
      <c r="L599" s="0" t="s">
        <v>295</v>
      </c>
      <c r="T599" s="0" t="s">
        <v>4821</v>
      </c>
      <c r="U599" s="0" t="s">
        <v>4822</v>
      </c>
      <c r="X599" s="0" t="s">
        <v>347</v>
      </c>
      <c r="Y599" s="0" t="s">
        <v>77</v>
      </c>
      <c r="Z599" s="0" t="s">
        <v>3973</v>
      </c>
      <c r="AA599" s="0" t="s">
        <v>214</v>
      </c>
      <c r="AB599" s="0" t="s">
        <v>531</v>
      </c>
      <c r="AC599" s="0" t="s">
        <v>571</v>
      </c>
      <c r="AD599" s="0" t="s">
        <v>1642</v>
      </c>
      <c r="AE599" s="0" t="s">
        <v>4798</v>
      </c>
      <c r="AF599" s="0" t="s">
        <v>301</v>
      </c>
      <c r="AP599" s="0" t="s">
        <v>305</v>
      </c>
      <c r="BA599" s="0">
        <v>498</v>
      </c>
      <c r="BB599" s="0" t="s">
        <v>232</v>
      </c>
      <c r="BC599" s="0">
        <v>2</v>
      </c>
      <c r="BD599" s="0">
        <v>374043</v>
      </c>
      <c r="BE599" s="0">
        <v>519953</v>
      </c>
      <c r="BF599" s="0">
        <v>4</v>
      </c>
      <c r="BG599" s="0" t="s">
        <v>4823</v>
      </c>
      <c r="BI599" s="0">
        <v>1113</v>
      </c>
      <c r="BK599" s="0" t="s">
        <v>4824</v>
      </c>
    </row>
    <row r="600">
      <c r="A600" s="0">
        <v>5243</v>
      </c>
      <c r="B600" s="0" t="s">
        <v>4825</v>
      </c>
      <c r="C600" s="0" t="s">
        <v>315</v>
      </c>
      <c r="D600" s="0" t="s">
        <v>4793</v>
      </c>
      <c r="E600" s="0" t="s">
        <v>4826</v>
      </c>
      <c r="F600" s="0">
        <v>2</v>
      </c>
      <c r="G600" s="0" t="s">
        <v>319</v>
      </c>
      <c r="H600" s="0" t="s">
        <v>1987</v>
      </c>
      <c r="I600" s="0" t="s">
        <v>4795</v>
      </c>
      <c r="J600" s="0" t="s">
        <v>293</v>
      </c>
      <c r="K600" s="0" t="s">
        <v>294</v>
      </c>
      <c r="L600" s="0" t="s">
        <v>295</v>
      </c>
      <c r="P600" s="0" t="s">
        <v>1667</v>
      </c>
      <c r="R600" s="0" t="s">
        <v>1232</v>
      </c>
      <c r="T600" s="0" t="s">
        <v>4827</v>
      </c>
      <c r="U600" s="0" t="s">
        <v>4828</v>
      </c>
      <c r="X600" s="0" t="s">
        <v>347</v>
      </c>
      <c r="Y600" s="0" t="s">
        <v>77</v>
      </c>
      <c r="Z600" s="0" t="s">
        <v>3973</v>
      </c>
      <c r="AA600" s="0" t="s">
        <v>214</v>
      </c>
      <c r="AB600" s="0" t="s">
        <v>531</v>
      </c>
      <c r="AC600" s="0" t="s">
        <v>571</v>
      </c>
      <c r="AD600" s="0" t="s">
        <v>1642</v>
      </c>
      <c r="AE600" s="0" t="s">
        <v>4798</v>
      </c>
      <c r="AF600" s="0" t="s">
        <v>301</v>
      </c>
      <c r="AP600" s="0" t="s">
        <v>305</v>
      </c>
      <c r="BA600" s="0">
        <v>498</v>
      </c>
      <c r="BB600" s="0" t="s">
        <v>232</v>
      </c>
      <c r="BC600" s="0">
        <v>2</v>
      </c>
      <c r="BD600" s="0">
        <v>374043</v>
      </c>
      <c r="BE600" s="0">
        <v>519953</v>
      </c>
      <c r="BF600" s="0">
        <v>4</v>
      </c>
      <c r="BG600" s="0" t="s">
        <v>4829</v>
      </c>
      <c r="BI600" s="0">
        <v>1420</v>
      </c>
      <c r="BK600" s="0" t="s">
        <v>4830</v>
      </c>
    </row>
    <row r="601">
      <c r="A601" s="0">
        <v>5250</v>
      </c>
      <c r="B601" s="0" t="s">
        <v>4831</v>
      </c>
      <c r="C601" s="0" t="s">
        <v>315</v>
      </c>
      <c r="D601" s="0" t="s">
        <v>4793</v>
      </c>
      <c r="E601" s="0" t="s">
        <v>4832</v>
      </c>
      <c r="F601" s="0">
        <v>2</v>
      </c>
      <c r="G601" s="0" t="s">
        <v>319</v>
      </c>
      <c r="H601" s="0" t="s">
        <v>1987</v>
      </c>
      <c r="I601" s="0" t="s">
        <v>4795</v>
      </c>
      <c r="J601" s="0" t="s">
        <v>2566</v>
      </c>
      <c r="K601" s="0" t="s">
        <v>508</v>
      </c>
      <c r="M601" s="0" t="s">
        <v>293</v>
      </c>
      <c r="N601" s="0" t="s">
        <v>294</v>
      </c>
      <c r="O601" s="0" t="s">
        <v>295</v>
      </c>
      <c r="P601" s="0" t="s">
        <v>1667</v>
      </c>
      <c r="R601" s="0" t="s">
        <v>1232</v>
      </c>
      <c r="T601" s="0" t="s">
        <v>4833</v>
      </c>
      <c r="U601" s="0" t="s">
        <v>4834</v>
      </c>
      <c r="X601" s="0" t="s">
        <v>347</v>
      </c>
      <c r="Y601" s="0" t="s">
        <v>77</v>
      </c>
      <c r="Z601" s="0" t="s">
        <v>3973</v>
      </c>
      <c r="AA601" s="0" t="s">
        <v>214</v>
      </c>
      <c r="AB601" s="0" t="s">
        <v>531</v>
      </c>
      <c r="AC601" s="0" t="s">
        <v>571</v>
      </c>
      <c r="AD601" s="0" t="s">
        <v>1642</v>
      </c>
      <c r="AE601" s="0" t="s">
        <v>4798</v>
      </c>
      <c r="AF601" s="0" t="s">
        <v>301</v>
      </c>
      <c r="AP601" s="0" t="s">
        <v>305</v>
      </c>
      <c r="BA601" s="0">
        <v>498</v>
      </c>
      <c r="BB601" s="0" t="s">
        <v>232</v>
      </c>
      <c r="BC601" s="0">
        <v>2</v>
      </c>
      <c r="BD601" s="0">
        <v>374043</v>
      </c>
      <c r="BE601" s="0">
        <v>519953</v>
      </c>
      <c r="BF601" s="0">
        <v>4</v>
      </c>
      <c r="BG601" s="0" t="s">
        <v>4835</v>
      </c>
      <c r="BI601" s="0">
        <v>2379</v>
      </c>
      <c r="BK601" s="0" t="s">
        <v>4836</v>
      </c>
    </row>
    <row r="602">
      <c r="A602" s="0">
        <v>5255</v>
      </c>
      <c r="B602" s="0" t="s">
        <v>4837</v>
      </c>
      <c r="C602" s="0" t="s">
        <v>315</v>
      </c>
      <c r="D602" s="0" t="s">
        <v>4793</v>
      </c>
      <c r="E602" s="0" t="s">
        <v>4838</v>
      </c>
      <c r="F602" s="0">
        <v>2</v>
      </c>
      <c r="G602" s="0" t="s">
        <v>319</v>
      </c>
      <c r="H602" s="0" t="s">
        <v>1987</v>
      </c>
      <c r="I602" s="0" t="s">
        <v>4795</v>
      </c>
      <c r="J602" s="0" t="s">
        <v>2566</v>
      </c>
      <c r="K602" s="0" t="s">
        <v>508</v>
      </c>
      <c r="P602" s="0" t="s">
        <v>1667</v>
      </c>
      <c r="Q602" s="0" t="s">
        <v>1686</v>
      </c>
      <c r="R602" s="0" t="s">
        <v>1232</v>
      </c>
      <c r="T602" s="0" t="s">
        <v>4839</v>
      </c>
      <c r="U602" s="0" t="s">
        <v>4840</v>
      </c>
      <c r="X602" s="0" t="s">
        <v>347</v>
      </c>
      <c r="Y602" s="0" t="s">
        <v>77</v>
      </c>
      <c r="Z602" s="0" t="s">
        <v>3973</v>
      </c>
      <c r="AA602" s="0" t="s">
        <v>214</v>
      </c>
      <c r="AB602" s="0" t="s">
        <v>531</v>
      </c>
      <c r="AC602" s="0" t="s">
        <v>571</v>
      </c>
      <c r="AD602" s="0" t="s">
        <v>1642</v>
      </c>
      <c r="AE602" s="0" t="s">
        <v>4798</v>
      </c>
      <c r="AF602" s="0" t="s">
        <v>301</v>
      </c>
      <c r="AP602" s="0" t="s">
        <v>305</v>
      </c>
      <c r="BA602" s="0">
        <v>498</v>
      </c>
      <c r="BB602" s="0" t="s">
        <v>232</v>
      </c>
      <c r="BC602" s="0">
        <v>2</v>
      </c>
      <c r="BD602" s="0">
        <v>374043</v>
      </c>
      <c r="BE602" s="0">
        <v>519953</v>
      </c>
      <c r="BF602" s="0">
        <v>4</v>
      </c>
      <c r="BG602" s="0" t="s">
        <v>4841</v>
      </c>
      <c r="BI602" s="0">
        <v>3242</v>
      </c>
      <c r="BK602" s="0" t="s">
        <v>4842</v>
      </c>
    </row>
    <row r="603">
      <c r="A603" s="0">
        <v>5244</v>
      </c>
      <c r="B603" s="0" t="s">
        <v>4843</v>
      </c>
      <c r="C603" s="0" t="s">
        <v>315</v>
      </c>
      <c r="D603" s="0" t="s">
        <v>4793</v>
      </c>
      <c r="E603" s="0" t="s">
        <v>4844</v>
      </c>
      <c r="F603" s="0">
        <v>2</v>
      </c>
      <c r="G603" s="0" t="s">
        <v>319</v>
      </c>
      <c r="H603" s="0" t="s">
        <v>1987</v>
      </c>
      <c r="I603" s="0" t="s">
        <v>4795</v>
      </c>
      <c r="J603" s="0" t="s">
        <v>293</v>
      </c>
      <c r="K603" s="0" t="s">
        <v>294</v>
      </c>
      <c r="L603" s="0" t="s">
        <v>295</v>
      </c>
      <c r="M603" s="0" t="s">
        <v>2566</v>
      </c>
      <c r="N603" s="0" t="s">
        <v>508</v>
      </c>
      <c r="P603" s="0" t="s">
        <v>1667</v>
      </c>
      <c r="Q603" s="0" t="s">
        <v>1686</v>
      </c>
      <c r="R603" s="0" t="s">
        <v>1232</v>
      </c>
      <c r="T603" s="0" t="s">
        <v>4845</v>
      </c>
      <c r="U603" s="0" t="s">
        <v>4846</v>
      </c>
      <c r="X603" s="0" t="s">
        <v>347</v>
      </c>
      <c r="Y603" s="0" t="s">
        <v>77</v>
      </c>
      <c r="Z603" s="0" t="s">
        <v>3973</v>
      </c>
      <c r="AA603" s="0" t="s">
        <v>214</v>
      </c>
      <c r="AB603" s="0" t="s">
        <v>531</v>
      </c>
      <c r="AC603" s="0" t="s">
        <v>571</v>
      </c>
      <c r="AD603" s="0" t="s">
        <v>1642</v>
      </c>
      <c r="AE603" s="0" t="s">
        <v>4798</v>
      </c>
      <c r="AF603" s="0" t="s">
        <v>301</v>
      </c>
      <c r="AP603" s="0" t="s">
        <v>305</v>
      </c>
      <c r="BA603" s="0">
        <v>498</v>
      </c>
      <c r="BB603" s="0" t="s">
        <v>232</v>
      </c>
      <c r="BC603" s="0">
        <v>2</v>
      </c>
      <c r="BD603" s="0">
        <v>374043</v>
      </c>
      <c r="BE603" s="0">
        <v>519953</v>
      </c>
      <c r="BF603" s="0">
        <v>4</v>
      </c>
      <c r="BG603" s="0" t="s">
        <v>4847</v>
      </c>
      <c r="BI603" s="0">
        <v>1688</v>
      </c>
      <c r="BK603" s="0" t="s">
        <v>4848</v>
      </c>
    </row>
    <row r="604">
      <c r="A604" s="0">
        <v>5240</v>
      </c>
      <c r="B604" s="0" t="s">
        <v>4849</v>
      </c>
      <c r="C604" s="0" t="s">
        <v>315</v>
      </c>
      <c r="D604" s="0" t="s">
        <v>4793</v>
      </c>
      <c r="E604" s="0" t="s">
        <v>4850</v>
      </c>
      <c r="F604" s="0">
        <v>2</v>
      </c>
      <c r="G604" s="0" t="s">
        <v>319</v>
      </c>
      <c r="H604" s="0" t="s">
        <v>1987</v>
      </c>
      <c r="I604" s="0" t="s">
        <v>4795</v>
      </c>
      <c r="J604" s="0" t="s">
        <v>293</v>
      </c>
      <c r="K604" s="0" t="s">
        <v>294</v>
      </c>
      <c r="L604" s="0" t="s">
        <v>295</v>
      </c>
      <c r="M604" s="0" t="s">
        <v>2566</v>
      </c>
      <c r="N604" s="0" t="s">
        <v>508</v>
      </c>
      <c r="P604" s="0" t="s">
        <v>1667</v>
      </c>
      <c r="Q604" s="0" t="s">
        <v>1686</v>
      </c>
      <c r="R604" s="0" t="s">
        <v>1232</v>
      </c>
      <c r="T604" s="0" t="s">
        <v>4851</v>
      </c>
      <c r="U604" s="0" t="s">
        <v>4852</v>
      </c>
      <c r="X604" s="0" t="s">
        <v>347</v>
      </c>
      <c r="Y604" s="0" t="s">
        <v>77</v>
      </c>
      <c r="Z604" s="0" t="s">
        <v>3973</v>
      </c>
      <c r="AA604" s="0" t="s">
        <v>214</v>
      </c>
      <c r="AB604" s="0" t="s">
        <v>531</v>
      </c>
      <c r="AC604" s="0" t="s">
        <v>571</v>
      </c>
      <c r="AD604" s="0" t="s">
        <v>1642</v>
      </c>
      <c r="AE604" s="0" t="s">
        <v>4798</v>
      </c>
      <c r="AF604" s="0" t="s">
        <v>301</v>
      </c>
      <c r="AP604" s="0" t="s">
        <v>305</v>
      </c>
      <c r="BA604" s="0">
        <v>498</v>
      </c>
      <c r="BB604" s="0" t="s">
        <v>232</v>
      </c>
      <c r="BC604" s="0">
        <v>2</v>
      </c>
      <c r="BD604" s="0">
        <v>374043</v>
      </c>
      <c r="BE604" s="0">
        <v>519953</v>
      </c>
      <c r="BF604" s="0">
        <v>4</v>
      </c>
      <c r="BG604" s="0" t="s">
        <v>4853</v>
      </c>
      <c r="BI604" s="0">
        <v>381</v>
      </c>
      <c r="BK604" s="0" t="s">
        <v>4854</v>
      </c>
    </row>
    <row r="605">
      <c r="A605" s="0">
        <v>5256</v>
      </c>
      <c r="B605" s="0" t="s">
        <v>4855</v>
      </c>
      <c r="C605" s="0" t="s">
        <v>315</v>
      </c>
      <c r="D605" s="0" t="s">
        <v>4793</v>
      </c>
      <c r="E605" s="0" t="s">
        <v>4856</v>
      </c>
      <c r="F605" s="0">
        <v>2</v>
      </c>
      <c r="G605" s="0" t="s">
        <v>319</v>
      </c>
      <c r="H605" s="0" t="s">
        <v>1987</v>
      </c>
      <c r="I605" s="0" t="s">
        <v>4795</v>
      </c>
      <c r="J605" s="0" t="s">
        <v>2566</v>
      </c>
      <c r="K605" s="0" t="s">
        <v>508</v>
      </c>
      <c r="P605" s="0" t="s">
        <v>1667</v>
      </c>
      <c r="Q605" s="0" t="s">
        <v>1686</v>
      </c>
      <c r="R605" s="0" t="s">
        <v>1232</v>
      </c>
      <c r="T605" s="0" t="s">
        <v>4857</v>
      </c>
      <c r="U605" s="0" t="s">
        <v>4858</v>
      </c>
      <c r="X605" s="0" t="s">
        <v>347</v>
      </c>
      <c r="Y605" s="0" t="s">
        <v>77</v>
      </c>
      <c r="Z605" s="0" t="s">
        <v>3973</v>
      </c>
      <c r="AA605" s="0" t="s">
        <v>214</v>
      </c>
      <c r="AB605" s="0" t="s">
        <v>531</v>
      </c>
      <c r="AC605" s="0" t="s">
        <v>571</v>
      </c>
      <c r="AD605" s="0" t="s">
        <v>1642</v>
      </c>
      <c r="AE605" s="0" t="s">
        <v>4798</v>
      </c>
      <c r="AF605" s="0" t="s">
        <v>301</v>
      </c>
      <c r="AP605" s="0" t="s">
        <v>305</v>
      </c>
      <c r="BA605" s="0">
        <v>498</v>
      </c>
      <c r="BB605" s="0" t="s">
        <v>232</v>
      </c>
      <c r="BC605" s="0">
        <v>2</v>
      </c>
      <c r="BD605" s="0">
        <v>374043</v>
      </c>
      <c r="BE605" s="0">
        <v>519953</v>
      </c>
      <c r="BF605" s="0">
        <v>4</v>
      </c>
      <c r="BG605" s="0" t="s">
        <v>4859</v>
      </c>
      <c r="BI605" s="0">
        <v>3380</v>
      </c>
      <c r="BK605" s="0" t="s">
        <v>4860</v>
      </c>
    </row>
    <row r="606">
      <c r="A606" s="0">
        <v>5254</v>
      </c>
      <c r="B606" s="0" t="s">
        <v>4861</v>
      </c>
      <c r="C606" s="0" t="s">
        <v>315</v>
      </c>
      <c r="D606" s="0" t="s">
        <v>4793</v>
      </c>
      <c r="E606" s="0" t="s">
        <v>4862</v>
      </c>
      <c r="F606" s="0">
        <v>2</v>
      </c>
      <c r="G606" s="0" t="s">
        <v>319</v>
      </c>
      <c r="H606" s="0" t="s">
        <v>1987</v>
      </c>
      <c r="I606" s="0" t="s">
        <v>4795</v>
      </c>
      <c r="J606" s="0" t="s">
        <v>2566</v>
      </c>
      <c r="K606" s="0" t="s">
        <v>508</v>
      </c>
      <c r="P606" s="0" t="s">
        <v>1667</v>
      </c>
      <c r="Q606" s="0" t="s">
        <v>1686</v>
      </c>
      <c r="R606" s="0" t="s">
        <v>1232</v>
      </c>
      <c r="T606" s="0" t="s">
        <v>4863</v>
      </c>
      <c r="U606" s="0" t="s">
        <v>4864</v>
      </c>
      <c r="X606" s="0" t="s">
        <v>347</v>
      </c>
      <c r="Y606" s="0" t="s">
        <v>77</v>
      </c>
      <c r="Z606" s="0" t="s">
        <v>3973</v>
      </c>
      <c r="AA606" s="0" t="s">
        <v>214</v>
      </c>
      <c r="AB606" s="0" t="s">
        <v>531</v>
      </c>
      <c r="AC606" s="0" t="s">
        <v>571</v>
      </c>
      <c r="AD606" s="0" t="s">
        <v>1642</v>
      </c>
      <c r="AE606" s="0" t="s">
        <v>4798</v>
      </c>
      <c r="AF606" s="0" t="s">
        <v>301</v>
      </c>
      <c r="AP606" s="0" t="s">
        <v>305</v>
      </c>
      <c r="BA606" s="0">
        <v>498</v>
      </c>
      <c r="BB606" s="0" t="s">
        <v>232</v>
      </c>
      <c r="BC606" s="0">
        <v>2</v>
      </c>
      <c r="BD606" s="0">
        <v>374043</v>
      </c>
      <c r="BE606" s="0">
        <v>519953</v>
      </c>
      <c r="BF606" s="0">
        <v>4</v>
      </c>
      <c r="BG606" s="0" t="s">
        <v>4865</v>
      </c>
      <c r="BI606" s="0">
        <v>3091</v>
      </c>
      <c r="BK606" s="0" t="s">
        <v>4866</v>
      </c>
    </row>
    <row r="607">
      <c r="A607" s="0">
        <v>5257</v>
      </c>
      <c r="B607" s="0" t="s">
        <v>4867</v>
      </c>
      <c r="C607" s="0" t="s">
        <v>315</v>
      </c>
      <c r="D607" s="0" t="s">
        <v>4793</v>
      </c>
      <c r="E607" s="0" t="s">
        <v>4868</v>
      </c>
      <c r="F607" s="0">
        <v>2</v>
      </c>
      <c r="G607" s="0" t="s">
        <v>319</v>
      </c>
      <c r="H607" s="0" t="s">
        <v>1987</v>
      </c>
      <c r="I607" s="0" t="s">
        <v>4795</v>
      </c>
      <c r="J607" s="0" t="s">
        <v>2566</v>
      </c>
      <c r="K607" s="0" t="s">
        <v>508</v>
      </c>
      <c r="P607" s="0" t="s">
        <v>1667</v>
      </c>
      <c r="R607" s="0" t="s">
        <v>1232</v>
      </c>
      <c r="T607" s="0" t="s">
        <v>4869</v>
      </c>
      <c r="U607" s="0" t="s">
        <v>4870</v>
      </c>
      <c r="X607" s="0" t="s">
        <v>347</v>
      </c>
      <c r="Y607" s="0" t="s">
        <v>77</v>
      </c>
      <c r="Z607" s="0" t="s">
        <v>3973</v>
      </c>
      <c r="AA607" s="0" t="s">
        <v>214</v>
      </c>
      <c r="AB607" s="0" t="s">
        <v>531</v>
      </c>
      <c r="AC607" s="0" t="s">
        <v>571</v>
      </c>
      <c r="AD607" s="0" t="s">
        <v>1642</v>
      </c>
      <c r="AE607" s="0" t="s">
        <v>4798</v>
      </c>
      <c r="AF607" s="0" t="s">
        <v>301</v>
      </c>
      <c r="AP607" s="0" t="s">
        <v>305</v>
      </c>
      <c r="BA607" s="0">
        <v>498</v>
      </c>
      <c r="BB607" s="0" t="s">
        <v>232</v>
      </c>
      <c r="BC607" s="0">
        <v>2</v>
      </c>
      <c r="BD607" s="0">
        <v>374043</v>
      </c>
      <c r="BE607" s="0">
        <v>519953</v>
      </c>
      <c r="BF607" s="0">
        <v>4</v>
      </c>
      <c r="BG607" s="0" t="s">
        <v>4871</v>
      </c>
      <c r="BI607" s="0">
        <v>3504</v>
      </c>
      <c r="BK607" s="0" t="s">
        <v>4872</v>
      </c>
    </row>
    <row r="608">
      <c r="A608" s="0">
        <v>5258</v>
      </c>
      <c r="B608" s="0" t="s">
        <v>4873</v>
      </c>
      <c r="C608" s="0" t="s">
        <v>315</v>
      </c>
      <c r="D608" s="0" t="s">
        <v>4793</v>
      </c>
      <c r="E608" s="0" t="s">
        <v>4874</v>
      </c>
      <c r="F608" s="0">
        <v>2</v>
      </c>
      <c r="G608" s="0" t="s">
        <v>319</v>
      </c>
      <c r="H608" s="0" t="s">
        <v>1987</v>
      </c>
      <c r="I608" s="0" t="s">
        <v>4795</v>
      </c>
      <c r="J608" s="0" t="s">
        <v>2566</v>
      </c>
      <c r="K608" s="0" t="s">
        <v>508</v>
      </c>
      <c r="P608" s="0" t="s">
        <v>1667</v>
      </c>
      <c r="Q608" s="0" t="s">
        <v>1686</v>
      </c>
      <c r="R608" s="0" t="s">
        <v>1232</v>
      </c>
      <c r="T608" s="0" t="s">
        <v>4875</v>
      </c>
      <c r="U608" s="0" t="s">
        <v>4876</v>
      </c>
      <c r="X608" s="0" t="s">
        <v>347</v>
      </c>
      <c r="Y608" s="0" t="s">
        <v>77</v>
      </c>
      <c r="Z608" s="0" t="s">
        <v>3973</v>
      </c>
      <c r="AA608" s="0" t="s">
        <v>214</v>
      </c>
      <c r="AB608" s="0" t="s">
        <v>531</v>
      </c>
      <c r="AC608" s="0" t="s">
        <v>571</v>
      </c>
      <c r="AD608" s="0" t="s">
        <v>1642</v>
      </c>
      <c r="AE608" s="0" t="s">
        <v>4798</v>
      </c>
      <c r="AF608" s="0" t="s">
        <v>301</v>
      </c>
      <c r="AP608" s="0" t="s">
        <v>305</v>
      </c>
      <c r="BA608" s="0">
        <v>498</v>
      </c>
      <c r="BB608" s="0" t="s">
        <v>232</v>
      </c>
      <c r="BC608" s="0">
        <v>2</v>
      </c>
      <c r="BD608" s="0">
        <v>374043</v>
      </c>
      <c r="BE608" s="0">
        <v>519953</v>
      </c>
      <c r="BF608" s="0">
        <v>4</v>
      </c>
      <c r="BG608" s="0" t="s">
        <v>4877</v>
      </c>
      <c r="BI608" s="0">
        <v>3619</v>
      </c>
      <c r="BK608" s="0" t="s">
        <v>4878</v>
      </c>
    </row>
    <row r="609">
      <c r="A609" s="0">
        <v>5241</v>
      </c>
      <c r="B609" s="0" t="s">
        <v>4879</v>
      </c>
      <c r="C609" s="0" t="s">
        <v>315</v>
      </c>
      <c r="D609" s="0" t="s">
        <v>4793</v>
      </c>
      <c r="E609" s="0" t="s">
        <v>4880</v>
      </c>
      <c r="F609" s="0">
        <v>2</v>
      </c>
      <c r="G609" s="0" t="s">
        <v>319</v>
      </c>
      <c r="H609" s="0" t="s">
        <v>1987</v>
      </c>
      <c r="I609" s="0" t="s">
        <v>4795</v>
      </c>
      <c r="J609" s="0" t="s">
        <v>293</v>
      </c>
      <c r="K609" s="0" t="s">
        <v>294</v>
      </c>
      <c r="L609" s="0" t="s">
        <v>295</v>
      </c>
      <c r="M609" s="0" t="s">
        <v>2566</v>
      </c>
      <c r="N609" s="0" t="s">
        <v>508</v>
      </c>
      <c r="T609" s="0" t="s">
        <v>4881</v>
      </c>
      <c r="U609" s="0" t="s">
        <v>4882</v>
      </c>
      <c r="X609" s="0" t="s">
        <v>347</v>
      </c>
      <c r="Y609" s="0" t="s">
        <v>77</v>
      </c>
      <c r="Z609" s="0" t="s">
        <v>3973</v>
      </c>
      <c r="AA609" s="0" t="s">
        <v>214</v>
      </c>
      <c r="AB609" s="0" t="s">
        <v>531</v>
      </c>
      <c r="AC609" s="0" t="s">
        <v>571</v>
      </c>
      <c r="AD609" s="0" t="s">
        <v>1642</v>
      </c>
      <c r="AE609" s="0" t="s">
        <v>4798</v>
      </c>
      <c r="AF609" s="0" t="s">
        <v>301</v>
      </c>
      <c r="AP609" s="0" t="s">
        <v>305</v>
      </c>
      <c r="BA609" s="0">
        <v>498</v>
      </c>
      <c r="BB609" s="0" t="s">
        <v>232</v>
      </c>
      <c r="BC609" s="0">
        <v>2</v>
      </c>
      <c r="BD609" s="0">
        <v>374043</v>
      </c>
      <c r="BE609" s="0">
        <v>519953</v>
      </c>
      <c r="BF609" s="0">
        <v>4</v>
      </c>
      <c r="BG609" s="0" t="s">
        <v>4883</v>
      </c>
      <c r="BI609" s="0">
        <v>782</v>
      </c>
      <c r="BK609" s="0" t="s">
        <v>4884</v>
      </c>
    </row>
    <row r="610">
      <c r="A610" s="0">
        <v>5264</v>
      </c>
      <c r="B610" s="0" t="s">
        <v>4885</v>
      </c>
      <c r="C610" s="0" t="s">
        <v>315</v>
      </c>
      <c r="D610" s="0" t="s">
        <v>4793</v>
      </c>
      <c r="E610" s="0" t="s">
        <v>4886</v>
      </c>
      <c r="F610" s="0">
        <v>2</v>
      </c>
      <c r="G610" s="0" t="s">
        <v>319</v>
      </c>
      <c r="H610" s="0" t="s">
        <v>1987</v>
      </c>
      <c r="J610" s="0" t="s">
        <v>2566</v>
      </c>
      <c r="K610" s="0" t="s">
        <v>508</v>
      </c>
      <c r="M610" s="0" t="s">
        <v>293</v>
      </c>
      <c r="N610" s="0" t="s">
        <v>294</v>
      </c>
      <c r="O610" s="0" t="s">
        <v>295</v>
      </c>
      <c r="T610" s="0" t="s">
        <v>4887</v>
      </c>
      <c r="U610" s="0" t="s">
        <v>4888</v>
      </c>
      <c r="X610" s="0" t="s">
        <v>347</v>
      </c>
      <c r="Y610" s="0" t="s">
        <v>77</v>
      </c>
      <c r="Z610" s="0" t="s">
        <v>3973</v>
      </c>
      <c r="AA610" s="0" t="s">
        <v>214</v>
      </c>
      <c r="AB610" s="0" t="s">
        <v>531</v>
      </c>
      <c r="AC610" s="0" t="s">
        <v>571</v>
      </c>
      <c r="AD610" s="0" t="s">
        <v>1642</v>
      </c>
      <c r="AE610" s="0" t="s">
        <v>4798</v>
      </c>
      <c r="AF610" s="0" t="s">
        <v>301</v>
      </c>
      <c r="AP610" s="0" t="s">
        <v>305</v>
      </c>
      <c r="BA610" s="0">
        <v>498</v>
      </c>
      <c r="BB610" s="0" t="s">
        <v>232</v>
      </c>
      <c r="BC610" s="0">
        <v>2</v>
      </c>
      <c r="BD610" s="0">
        <v>374043</v>
      </c>
      <c r="BE610" s="0">
        <v>519953</v>
      </c>
      <c r="BF610" s="0">
        <v>4</v>
      </c>
      <c r="BG610" s="0" t="s">
        <v>4889</v>
      </c>
      <c r="BI610" s="0">
        <v>3915</v>
      </c>
      <c r="BK610" s="0" t="s">
        <v>4890</v>
      </c>
    </row>
    <row r="611">
      <c r="A611" s="0">
        <v>5259</v>
      </c>
      <c r="B611" s="0" t="s">
        <v>4891</v>
      </c>
      <c r="C611" s="0" t="s">
        <v>315</v>
      </c>
      <c r="D611" s="0" t="s">
        <v>4793</v>
      </c>
      <c r="E611" s="0" t="s">
        <v>4892</v>
      </c>
      <c r="F611" s="0">
        <v>2</v>
      </c>
      <c r="G611" s="0" t="s">
        <v>293</v>
      </c>
      <c r="H611" s="0" t="s">
        <v>294</v>
      </c>
      <c r="I611" s="0" t="s">
        <v>4893</v>
      </c>
      <c r="J611" s="0" t="s">
        <v>2566</v>
      </c>
      <c r="K611" s="0" t="s">
        <v>400</v>
      </c>
      <c r="L611" s="0" t="s">
        <v>1133</v>
      </c>
      <c r="T611" s="0" t="s">
        <v>4894</v>
      </c>
      <c r="U611" s="0" t="s">
        <v>4895</v>
      </c>
      <c r="X611" s="0" t="s">
        <v>347</v>
      </c>
      <c r="Y611" s="0" t="s">
        <v>77</v>
      </c>
      <c r="Z611" s="0" t="s">
        <v>3973</v>
      </c>
      <c r="AA611" s="0" t="s">
        <v>214</v>
      </c>
      <c r="AB611" s="0" t="s">
        <v>531</v>
      </c>
      <c r="AC611" s="0" t="s">
        <v>571</v>
      </c>
      <c r="AD611" s="0" t="s">
        <v>1642</v>
      </c>
      <c r="AE611" s="0" t="s">
        <v>4798</v>
      </c>
      <c r="AF611" s="0" t="s">
        <v>301</v>
      </c>
      <c r="AP611" s="0" t="s">
        <v>305</v>
      </c>
      <c r="BA611" s="0">
        <v>498</v>
      </c>
      <c r="BB611" s="0" t="s">
        <v>232</v>
      </c>
      <c r="BC611" s="0">
        <v>2</v>
      </c>
      <c r="BD611" s="0">
        <v>374043</v>
      </c>
      <c r="BE611" s="0">
        <v>519953</v>
      </c>
      <c r="BF611" s="0">
        <v>4</v>
      </c>
      <c r="BG611" s="0" t="s">
        <v>4896</v>
      </c>
      <c r="BI611" s="0">
        <v>3726</v>
      </c>
      <c r="BK611" s="0" t="s">
        <v>4897</v>
      </c>
    </row>
    <row r="612">
      <c r="A612" s="0">
        <v>5246</v>
      </c>
      <c r="B612" s="0" t="s">
        <v>4898</v>
      </c>
      <c r="C612" s="0" t="s">
        <v>315</v>
      </c>
      <c r="D612" s="0" t="s">
        <v>4793</v>
      </c>
      <c r="E612" s="0" t="s">
        <v>4899</v>
      </c>
      <c r="F612" s="0">
        <v>2</v>
      </c>
      <c r="G612" s="0" t="s">
        <v>293</v>
      </c>
      <c r="H612" s="0" t="s">
        <v>294</v>
      </c>
      <c r="I612" s="0" t="s">
        <v>4893</v>
      </c>
      <c r="J612" s="0" t="s">
        <v>2566</v>
      </c>
      <c r="K612" s="0" t="s">
        <v>400</v>
      </c>
      <c r="L612" s="0" t="s">
        <v>469</v>
      </c>
      <c r="T612" s="0" t="s">
        <v>4900</v>
      </c>
      <c r="U612" s="0" t="s">
        <v>4901</v>
      </c>
      <c r="X612" s="0" t="s">
        <v>347</v>
      </c>
      <c r="Y612" s="0" t="s">
        <v>77</v>
      </c>
      <c r="Z612" s="0" t="s">
        <v>3973</v>
      </c>
      <c r="AA612" s="0" t="s">
        <v>214</v>
      </c>
      <c r="AB612" s="0" t="s">
        <v>531</v>
      </c>
      <c r="AC612" s="0" t="s">
        <v>571</v>
      </c>
      <c r="AD612" s="0" t="s">
        <v>1642</v>
      </c>
      <c r="AE612" s="0" t="s">
        <v>4798</v>
      </c>
      <c r="AF612" s="0" t="s">
        <v>301</v>
      </c>
      <c r="AP612" s="0" t="s">
        <v>305</v>
      </c>
      <c r="BA612" s="0">
        <v>498</v>
      </c>
      <c r="BB612" s="0" t="s">
        <v>232</v>
      </c>
      <c r="BC612" s="0">
        <v>2</v>
      </c>
      <c r="BD612" s="0">
        <v>374043</v>
      </c>
      <c r="BE612" s="0">
        <v>519953</v>
      </c>
      <c r="BF612" s="0">
        <v>4</v>
      </c>
      <c r="BG612" s="0" t="s">
        <v>4902</v>
      </c>
      <c r="BI612" s="0">
        <v>2162</v>
      </c>
      <c r="BK612" s="0" t="s">
        <v>4903</v>
      </c>
    </row>
    <row r="613">
      <c r="A613" s="0">
        <v>5245</v>
      </c>
      <c r="B613" s="0" t="s">
        <v>4904</v>
      </c>
      <c r="C613" s="0" t="s">
        <v>315</v>
      </c>
      <c r="D613" s="0" t="s">
        <v>4793</v>
      </c>
      <c r="E613" s="0" t="s">
        <v>4905</v>
      </c>
      <c r="F613" s="0">
        <v>2</v>
      </c>
      <c r="G613" s="0" t="s">
        <v>319</v>
      </c>
      <c r="H613" s="0" t="s">
        <v>4363</v>
      </c>
      <c r="I613" s="0" t="s">
        <v>4906</v>
      </c>
      <c r="J613" s="0" t="s">
        <v>2566</v>
      </c>
      <c r="K613" s="0" t="s">
        <v>400</v>
      </c>
      <c r="L613" s="0" t="s">
        <v>1133</v>
      </c>
      <c r="P613" s="0" t="s">
        <v>1667</v>
      </c>
      <c r="Q613" s="0" t="s">
        <v>1686</v>
      </c>
      <c r="R613" s="0" t="s">
        <v>1232</v>
      </c>
      <c r="T613" s="0" t="s">
        <v>4907</v>
      </c>
      <c r="U613" s="0" t="s">
        <v>4908</v>
      </c>
      <c r="X613" s="0" t="s">
        <v>347</v>
      </c>
      <c r="Y613" s="0" t="s">
        <v>77</v>
      </c>
      <c r="Z613" s="0" t="s">
        <v>3973</v>
      </c>
      <c r="AA613" s="0" t="s">
        <v>214</v>
      </c>
      <c r="AB613" s="0" t="s">
        <v>531</v>
      </c>
      <c r="AC613" s="0" t="s">
        <v>571</v>
      </c>
      <c r="AD613" s="0" t="s">
        <v>1642</v>
      </c>
      <c r="AE613" s="0" t="s">
        <v>4798</v>
      </c>
      <c r="AF613" s="0" t="s">
        <v>301</v>
      </c>
      <c r="AP613" s="0" t="s">
        <v>305</v>
      </c>
      <c r="BA613" s="0">
        <v>498</v>
      </c>
      <c r="BB613" s="0" t="s">
        <v>232</v>
      </c>
      <c r="BC613" s="0">
        <v>2</v>
      </c>
      <c r="BD613" s="0">
        <v>374043</v>
      </c>
      <c r="BE613" s="0">
        <v>519953</v>
      </c>
      <c r="BF613" s="0">
        <v>4</v>
      </c>
      <c r="BG613" s="0" t="s">
        <v>4909</v>
      </c>
      <c r="BI613" s="0">
        <v>1933</v>
      </c>
      <c r="BK613" s="0" t="s">
        <v>4910</v>
      </c>
    </row>
    <row r="614">
      <c r="A614" s="0">
        <v>5260</v>
      </c>
      <c r="B614" s="0" t="s">
        <v>4911</v>
      </c>
      <c r="C614" s="0" t="s">
        <v>315</v>
      </c>
      <c r="D614" s="0" t="s">
        <v>4793</v>
      </c>
      <c r="E614" s="0" t="s">
        <v>4912</v>
      </c>
      <c r="F614" s="0">
        <v>2</v>
      </c>
      <c r="G614" s="0" t="s">
        <v>319</v>
      </c>
      <c r="H614" s="0" t="s">
        <v>4363</v>
      </c>
      <c r="I614" s="0" t="s">
        <v>4906</v>
      </c>
      <c r="J614" s="0" t="s">
        <v>2566</v>
      </c>
      <c r="K614" s="0" t="s">
        <v>400</v>
      </c>
      <c r="L614" s="0" t="s">
        <v>1133</v>
      </c>
      <c r="P614" s="0" t="s">
        <v>1667</v>
      </c>
      <c r="Q614" s="0" t="s">
        <v>1686</v>
      </c>
      <c r="R614" s="0" t="s">
        <v>1232</v>
      </c>
      <c r="T614" s="0" t="s">
        <v>4913</v>
      </c>
      <c r="U614" s="0" t="s">
        <v>4914</v>
      </c>
      <c r="X614" s="0" t="s">
        <v>347</v>
      </c>
      <c r="Y614" s="0" t="s">
        <v>77</v>
      </c>
      <c r="Z614" s="0" t="s">
        <v>3973</v>
      </c>
      <c r="AA614" s="0" t="s">
        <v>214</v>
      </c>
      <c r="AB614" s="0" t="s">
        <v>531</v>
      </c>
      <c r="AC614" s="0" t="s">
        <v>571</v>
      </c>
      <c r="AD614" s="0" t="s">
        <v>1642</v>
      </c>
      <c r="AE614" s="0" t="s">
        <v>4798</v>
      </c>
      <c r="AF614" s="0" t="s">
        <v>301</v>
      </c>
      <c r="AP614" s="0" t="s">
        <v>305</v>
      </c>
      <c r="BA614" s="0">
        <v>498</v>
      </c>
      <c r="BB614" s="0" t="s">
        <v>232</v>
      </c>
      <c r="BC614" s="0">
        <v>2</v>
      </c>
      <c r="BD614" s="0">
        <v>374043</v>
      </c>
      <c r="BE614" s="0">
        <v>519953</v>
      </c>
      <c r="BF614" s="0">
        <v>4</v>
      </c>
      <c r="BG614" s="0" t="s">
        <v>4915</v>
      </c>
      <c r="BI614" s="0">
        <v>3825</v>
      </c>
      <c r="BK614" s="0" t="s">
        <v>4916</v>
      </c>
    </row>
    <row r="615">
      <c r="A615" s="0">
        <v>5261</v>
      </c>
      <c r="B615" s="0" t="s">
        <v>4917</v>
      </c>
      <c r="C615" s="0" t="s">
        <v>315</v>
      </c>
      <c r="D615" s="0" t="s">
        <v>4793</v>
      </c>
      <c r="E615" s="0" t="s">
        <v>4918</v>
      </c>
      <c r="F615" s="0">
        <v>2</v>
      </c>
      <c r="G615" s="0" t="s">
        <v>319</v>
      </c>
      <c r="H615" s="0" t="s">
        <v>4363</v>
      </c>
      <c r="I615" s="0" t="s">
        <v>4906</v>
      </c>
      <c r="J615" s="0" t="s">
        <v>2566</v>
      </c>
      <c r="K615" s="0" t="s">
        <v>400</v>
      </c>
      <c r="L615" s="0" t="s">
        <v>1133</v>
      </c>
      <c r="P615" s="0" t="s">
        <v>1667</v>
      </c>
      <c r="R615" s="0" t="s">
        <v>1232</v>
      </c>
      <c r="T615" s="0" t="s">
        <v>4919</v>
      </c>
      <c r="U615" s="0" t="s">
        <v>4920</v>
      </c>
      <c r="X615" s="0" t="s">
        <v>347</v>
      </c>
      <c r="Y615" s="0" t="s">
        <v>77</v>
      </c>
      <c r="Z615" s="0" t="s">
        <v>3973</v>
      </c>
      <c r="AA615" s="0" t="s">
        <v>214</v>
      </c>
      <c r="AB615" s="0" t="s">
        <v>531</v>
      </c>
      <c r="AC615" s="0" t="s">
        <v>571</v>
      </c>
      <c r="AD615" s="0" t="s">
        <v>1642</v>
      </c>
      <c r="AE615" s="0" t="s">
        <v>4798</v>
      </c>
      <c r="AF615" s="0" t="s">
        <v>301</v>
      </c>
      <c r="AP615" s="0" t="s">
        <v>305</v>
      </c>
      <c r="BA615" s="0">
        <v>498</v>
      </c>
      <c r="BB615" s="0" t="s">
        <v>232</v>
      </c>
      <c r="BC615" s="0">
        <v>2</v>
      </c>
      <c r="BD615" s="0">
        <v>374043</v>
      </c>
      <c r="BE615" s="0">
        <v>519953</v>
      </c>
      <c r="BF615" s="0">
        <v>4</v>
      </c>
      <c r="BG615" s="0" t="s">
        <v>4921</v>
      </c>
      <c r="BI615" s="0">
        <v>3914</v>
      </c>
      <c r="BK615" s="0" t="s">
        <v>4922</v>
      </c>
    </row>
    <row r="616">
      <c r="A616" s="0">
        <v>5263</v>
      </c>
      <c r="B616" s="0" t="s">
        <v>1625</v>
      </c>
      <c r="C616" s="0" t="s">
        <v>656</v>
      </c>
      <c r="D616" s="0" t="s">
        <v>4377</v>
      </c>
      <c r="E616" s="0" t="s">
        <v>1626</v>
      </c>
      <c r="F616" s="0">
        <v>1</v>
      </c>
      <c r="G616" s="0" t="s">
        <v>293</v>
      </c>
      <c r="H616" s="0" t="s">
        <v>294</v>
      </c>
      <c r="I616" s="0" t="s">
        <v>295</v>
      </c>
      <c r="P616" s="0" t="s">
        <v>323</v>
      </c>
      <c r="Q616" s="0" t="s">
        <v>323</v>
      </c>
      <c r="R616" s="0" t="s">
        <v>1791</v>
      </c>
      <c r="X616" s="0" t="s">
        <v>529</v>
      </c>
      <c r="Y616" s="0" t="s">
        <v>71</v>
      </c>
      <c r="Z616" s="0" t="s">
        <v>4923</v>
      </c>
      <c r="AA616" s="0" t="s">
        <v>169</v>
      </c>
      <c r="AB616" s="0" t="s">
        <v>531</v>
      </c>
      <c r="AD616" s="0" t="s">
        <v>4924</v>
      </c>
      <c r="AE616" s="0" t="s">
        <v>4925</v>
      </c>
      <c r="AF616" s="0" t="s">
        <v>301</v>
      </c>
      <c r="AP616" s="0" t="s">
        <v>305</v>
      </c>
      <c r="BA616" s="0">
        <v>499</v>
      </c>
      <c r="BB616" s="0" t="s">
        <v>232</v>
      </c>
      <c r="BC616" s="0">
        <v>2</v>
      </c>
      <c r="BD616" s="0">
        <v>10</v>
      </c>
      <c r="BE616" s="0">
        <v>518908</v>
      </c>
      <c r="BF616" s="0">
        <v>2</v>
      </c>
      <c r="BG616" s="0" t="s">
        <v>4926</v>
      </c>
      <c r="BI616" s="0">
        <v>375</v>
      </c>
      <c r="BK616" s="0" t="s">
        <v>4927</v>
      </c>
    </row>
    <row r="617">
      <c r="A617" s="0">
        <v>5277</v>
      </c>
      <c r="B617" s="0" t="s">
        <v>4928</v>
      </c>
      <c r="C617" s="0" t="s">
        <v>1855</v>
      </c>
      <c r="D617" s="0" t="s">
        <v>1376</v>
      </c>
      <c r="E617" s="0" t="s">
        <v>4929</v>
      </c>
      <c r="F617" s="0">
        <v>1</v>
      </c>
      <c r="G617" s="0" t="s">
        <v>400</v>
      </c>
      <c r="H617" s="0" t="s">
        <v>1190</v>
      </c>
      <c r="I617" s="0" t="s">
        <v>469</v>
      </c>
      <c r="J617" s="0" t="s">
        <v>293</v>
      </c>
      <c r="K617" s="0" t="s">
        <v>294</v>
      </c>
      <c r="L617" s="0" t="s">
        <v>3249</v>
      </c>
      <c r="P617" s="0" t="s">
        <v>343</v>
      </c>
      <c r="Q617" s="0" t="s">
        <v>343</v>
      </c>
      <c r="R617" s="0" t="s">
        <v>343</v>
      </c>
      <c r="T617" s="0" t="s">
        <v>4930</v>
      </c>
      <c r="U617" s="0" t="s">
        <v>4931</v>
      </c>
      <c r="X617" s="0" t="s">
        <v>347</v>
      </c>
      <c r="Y617" s="0" t="s">
        <v>80</v>
      </c>
      <c r="Z617" s="0" t="s">
        <v>3178</v>
      </c>
      <c r="AA617" s="0" t="s">
        <v>215</v>
      </c>
      <c r="AB617" s="0" t="s">
        <v>531</v>
      </c>
      <c r="AC617" s="0" t="s">
        <v>532</v>
      </c>
      <c r="AE617" s="0" t="s">
        <v>4932</v>
      </c>
      <c r="AF617" s="0" t="s">
        <v>1688</v>
      </c>
      <c r="AP617" s="0" t="s">
        <v>305</v>
      </c>
      <c r="BA617" s="0">
        <v>500</v>
      </c>
      <c r="BB617" s="0" t="s">
        <v>232</v>
      </c>
      <c r="BC617" s="0">
        <v>3</v>
      </c>
      <c r="BD617" s="0">
        <v>28</v>
      </c>
      <c r="BE617" s="0">
        <v>364</v>
      </c>
      <c r="BF617" s="0">
        <v>4</v>
      </c>
      <c r="BG617" s="0" t="s">
        <v>4933</v>
      </c>
      <c r="BI617" s="0">
        <v>2922</v>
      </c>
      <c r="BK617" s="0" t="s">
        <v>4934</v>
      </c>
    </row>
    <row r="618">
      <c r="A618" s="0">
        <v>5267</v>
      </c>
      <c r="B618" s="0" t="s">
        <v>4935</v>
      </c>
      <c r="C618" s="0" t="s">
        <v>315</v>
      </c>
      <c r="D618" s="0" t="s">
        <v>1376</v>
      </c>
      <c r="E618" s="0" t="s">
        <v>3182</v>
      </c>
      <c r="F618" s="0">
        <v>1</v>
      </c>
      <c r="G618" s="0" t="s">
        <v>319</v>
      </c>
      <c r="H618" s="0" t="s">
        <v>483</v>
      </c>
      <c r="I618" s="0" t="s">
        <v>3183</v>
      </c>
      <c r="J618" s="0" t="s">
        <v>294</v>
      </c>
      <c r="K618" s="0" t="s">
        <v>3113</v>
      </c>
      <c r="L618" s="0" t="s">
        <v>1284</v>
      </c>
      <c r="M618" s="0" t="s">
        <v>525</v>
      </c>
      <c r="N618" s="0" t="s">
        <v>508</v>
      </c>
      <c r="P618" s="0" t="s">
        <v>323</v>
      </c>
      <c r="Q618" s="0" t="s">
        <v>343</v>
      </c>
      <c r="R618" s="0" t="s">
        <v>324</v>
      </c>
      <c r="T618" s="0" t="s">
        <v>4936</v>
      </c>
      <c r="U618" s="0" t="s">
        <v>4937</v>
      </c>
      <c r="X618" s="0" t="s">
        <v>529</v>
      </c>
      <c r="Y618" s="0" t="s">
        <v>80</v>
      </c>
      <c r="Z618" s="0" t="s">
        <v>3178</v>
      </c>
      <c r="AA618" s="0" t="s">
        <v>215</v>
      </c>
      <c r="AB618" s="0" t="s">
        <v>531</v>
      </c>
      <c r="AC618" s="0" t="s">
        <v>532</v>
      </c>
      <c r="AE618" s="0" t="s">
        <v>4932</v>
      </c>
      <c r="AF618" s="0" t="s">
        <v>1688</v>
      </c>
      <c r="AP618" s="0" t="s">
        <v>305</v>
      </c>
      <c r="BA618" s="0">
        <v>500</v>
      </c>
      <c r="BB618" s="0" t="s">
        <v>232</v>
      </c>
      <c r="BC618" s="0">
        <v>3</v>
      </c>
      <c r="BD618" s="0">
        <v>374043</v>
      </c>
      <c r="BE618" s="0">
        <v>364</v>
      </c>
      <c r="BF618" s="0">
        <v>2</v>
      </c>
      <c r="BG618" s="0" t="s">
        <v>4938</v>
      </c>
      <c r="BI618" s="0">
        <v>378</v>
      </c>
      <c r="BK618" s="0" t="s">
        <v>4939</v>
      </c>
    </row>
    <row r="619">
      <c r="A619" s="0">
        <v>5290</v>
      </c>
      <c r="B619" s="0" t="s">
        <v>4940</v>
      </c>
      <c r="C619" s="0" t="s">
        <v>2620</v>
      </c>
      <c r="D619" s="0" t="s">
        <v>1376</v>
      </c>
      <c r="E619" s="0" t="s">
        <v>2413</v>
      </c>
      <c r="F619" s="0">
        <v>1</v>
      </c>
      <c r="G619" s="0" t="s">
        <v>555</v>
      </c>
      <c r="H619" s="0" t="s">
        <v>593</v>
      </c>
      <c r="I619" s="0" t="s">
        <v>2947</v>
      </c>
      <c r="J619" s="0" t="s">
        <v>293</v>
      </c>
      <c r="K619" s="0" t="s">
        <v>294</v>
      </c>
      <c r="L619" s="0" t="s">
        <v>295</v>
      </c>
      <c r="M619" s="0" t="s">
        <v>594</v>
      </c>
      <c r="N619" s="0" t="s">
        <v>1190</v>
      </c>
      <c r="O619" s="0" t="s">
        <v>2947</v>
      </c>
      <c r="P619" s="0" t="s">
        <v>323</v>
      </c>
      <c r="Q619" s="0" t="s">
        <v>323</v>
      </c>
      <c r="R619" s="0" t="s">
        <v>1021</v>
      </c>
      <c r="T619" s="0" t="s">
        <v>4941</v>
      </c>
      <c r="X619" s="0" t="s">
        <v>529</v>
      </c>
      <c r="Y619" s="0" t="s">
        <v>80</v>
      </c>
      <c r="Z619" s="0" t="s">
        <v>3178</v>
      </c>
      <c r="AA619" s="0" t="s">
        <v>215</v>
      </c>
      <c r="AB619" s="0" t="s">
        <v>531</v>
      </c>
      <c r="AC619" s="0" t="s">
        <v>532</v>
      </c>
      <c r="AE619" s="0" t="s">
        <v>4932</v>
      </c>
      <c r="AF619" s="0" t="s">
        <v>1688</v>
      </c>
      <c r="AM619" s="0" t="s">
        <v>491</v>
      </c>
      <c r="AN619" s="0" t="s">
        <v>598</v>
      </c>
      <c r="AO619" s="0" t="s">
        <v>387</v>
      </c>
      <c r="AP619" s="0" t="s">
        <v>305</v>
      </c>
      <c r="AQ619" s="0" t="s">
        <v>1084</v>
      </c>
      <c r="AR619" s="0" t="s">
        <v>1763</v>
      </c>
      <c r="AS619" s="0">
        <v>60</v>
      </c>
      <c r="AT619" s="0">
        <v>136</v>
      </c>
      <c r="AU619" s="0">
        <v>166</v>
      </c>
      <c r="AV619" s="0" t="s">
        <v>332</v>
      </c>
      <c r="AW619" s="0" t="s">
        <v>332</v>
      </c>
      <c r="AX619" s="0" t="s">
        <v>514</v>
      </c>
      <c r="AY619" s="0" t="s">
        <v>491</v>
      </c>
      <c r="AZ619" s="0" t="s">
        <v>366</v>
      </c>
      <c r="BA619" s="0">
        <v>500</v>
      </c>
      <c r="BB619" s="0" t="s">
        <v>232</v>
      </c>
      <c r="BC619" s="0">
        <v>3</v>
      </c>
      <c r="BD619" s="0">
        <v>34</v>
      </c>
      <c r="BE619" s="0">
        <v>364</v>
      </c>
      <c r="BF619" s="0">
        <v>2</v>
      </c>
      <c r="BG619" s="0" t="s">
        <v>4942</v>
      </c>
      <c r="BI619" s="0">
        <v>4290</v>
      </c>
      <c r="BK619" s="0" t="s">
        <v>4943</v>
      </c>
    </row>
    <row r="620">
      <c r="A620" s="0">
        <v>5284</v>
      </c>
      <c r="B620" s="0" t="s">
        <v>4944</v>
      </c>
      <c r="C620" s="0" t="s">
        <v>2620</v>
      </c>
      <c r="D620" s="0" t="s">
        <v>1376</v>
      </c>
      <c r="E620" s="0" t="s">
        <v>3240</v>
      </c>
      <c r="F620" s="0">
        <v>1</v>
      </c>
      <c r="G620" s="0" t="s">
        <v>319</v>
      </c>
      <c r="H620" s="0" t="s">
        <v>470</v>
      </c>
      <c r="I620" s="0" t="s">
        <v>471</v>
      </c>
      <c r="J620" s="0" t="s">
        <v>400</v>
      </c>
      <c r="K620" s="0" t="s">
        <v>1190</v>
      </c>
      <c r="L620" s="0" t="s">
        <v>469</v>
      </c>
      <c r="P620" s="0" t="s">
        <v>323</v>
      </c>
      <c r="Q620" s="0" t="s">
        <v>323</v>
      </c>
      <c r="R620" s="0" t="s">
        <v>1253</v>
      </c>
      <c r="T620" s="0" t="s">
        <v>4945</v>
      </c>
      <c r="X620" s="0" t="s">
        <v>529</v>
      </c>
      <c r="Y620" s="0" t="s">
        <v>80</v>
      </c>
      <c r="Z620" s="0" t="s">
        <v>3178</v>
      </c>
      <c r="AA620" s="0" t="s">
        <v>215</v>
      </c>
      <c r="AB620" s="0" t="s">
        <v>531</v>
      </c>
      <c r="AC620" s="0" t="s">
        <v>532</v>
      </c>
      <c r="AE620" s="0" t="s">
        <v>4932</v>
      </c>
      <c r="AF620" s="0" t="s">
        <v>1688</v>
      </c>
      <c r="AP620" s="0" t="s">
        <v>305</v>
      </c>
      <c r="BA620" s="0">
        <v>500</v>
      </c>
      <c r="BB620" s="0" t="s">
        <v>232</v>
      </c>
      <c r="BC620" s="0">
        <v>3</v>
      </c>
      <c r="BD620" s="0">
        <v>34</v>
      </c>
      <c r="BE620" s="0">
        <v>364</v>
      </c>
      <c r="BF620" s="0">
        <v>2</v>
      </c>
      <c r="BG620" s="0" t="s">
        <v>4946</v>
      </c>
      <c r="BI620" s="0">
        <v>3823</v>
      </c>
      <c r="BK620" s="0" t="s">
        <v>4947</v>
      </c>
    </row>
    <row r="621">
      <c r="A621" s="0">
        <v>5291</v>
      </c>
      <c r="B621" s="0" t="s">
        <v>4948</v>
      </c>
      <c r="C621" s="0" t="s">
        <v>2620</v>
      </c>
      <c r="D621" s="0" t="s">
        <v>1376</v>
      </c>
      <c r="E621" s="0" t="s">
        <v>1811</v>
      </c>
      <c r="F621" s="0">
        <v>1</v>
      </c>
      <c r="G621" s="0" t="s">
        <v>319</v>
      </c>
      <c r="H621" s="0" t="s">
        <v>3256</v>
      </c>
      <c r="I621" s="0" t="s">
        <v>3257</v>
      </c>
      <c r="J621" s="0" t="s">
        <v>525</v>
      </c>
      <c r="K621" s="0" t="s">
        <v>400</v>
      </c>
      <c r="L621" s="0" t="s">
        <v>1133</v>
      </c>
      <c r="P621" s="0" t="s">
        <v>323</v>
      </c>
      <c r="Q621" s="0" t="s">
        <v>323</v>
      </c>
      <c r="R621" s="0" t="s">
        <v>971</v>
      </c>
      <c r="T621" s="0" t="s">
        <v>4949</v>
      </c>
      <c r="X621" s="0" t="s">
        <v>529</v>
      </c>
      <c r="Y621" s="0" t="s">
        <v>80</v>
      </c>
      <c r="Z621" s="0" t="s">
        <v>3178</v>
      </c>
      <c r="AA621" s="0" t="s">
        <v>215</v>
      </c>
      <c r="AB621" s="0" t="s">
        <v>531</v>
      </c>
      <c r="AC621" s="0" t="s">
        <v>532</v>
      </c>
      <c r="AE621" s="0" t="s">
        <v>4932</v>
      </c>
      <c r="AF621" s="0" t="s">
        <v>1688</v>
      </c>
      <c r="AP621" s="0" t="s">
        <v>305</v>
      </c>
      <c r="BA621" s="0">
        <v>500</v>
      </c>
      <c r="BB621" s="0" t="s">
        <v>232</v>
      </c>
      <c r="BC621" s="0">
        <v>3</v>
      </c>
      <c r="BD621" s="0">
        <v>34</v>
      </c>
      <c r="BE621" s="0">
        <v>364</v>
      </c>
      <c r="BF621" s="0">
        <v>2</v>
      </c>
      <c r="BG621" s="0" t="s">
        <v>4950</v>
      </c>
      <c r="BI621" s="0">
        <v>4353</v>
      </c>
      <c r="BK621" s="0" t="s">
        <v>4951</v>
      </c>
    </row>
    <row r="622">
      <c r="A622" s="0">
        <v>5288</v>
      </c>
      <c r="B622" s="0" t="s">
        <v>4952</v>
      </c>
      <c r="C622" s="0" t="s">
        <v>315</v>
      </c>
      <c r="D622" s="0" t="s">
        <v>1376</v>
      </c>
      <c r="E622" s="0" t="s">
        <v>4953</v>
      </c>
      <c r="F622" s="0">
        <v>1</v>
      </c>
      <c r="G622" s="0" t="s">
        <v>555</v>
      </c>
      <c r="H622" s="0" t="s">
        <v>593</v>
      </c>
      <c r="I622" s="0" t="s">
        <v>417</v>
      </c>
      <c r="J622" s="0" t="s">
        <v>594</v>
      </c>
      <c r="K622" s="0" t="s">
        <v>1190</v>
      </c>
      <c r="L622" s="0" t="s">
        <v>549</v>
      </c>
      <c r="M622" s="0" t="s">
        <v>293</v>
      </c>
      <c r="N622" s="0" t="s">
        <v>294</v>
      </c>
      <c r="O622" s="0" t="s">
        <v>295</v>
      </c>
      <c r="P622" s="0" t="s">
        <v>323</v>
      </c>
      <c r="Q622" s="0" t="s">
        <v>323</v>
      </c>
      <c r="R622" s="0" t="s">
        <v>2007</v>
      </c>
      <c r="T622" s="0" t="s">
        <v>4954</v>
      </c>
      <c r="U622" s="0" t="s">
        <v>4955</v>
      </c>
      <c r="X622" s="0" t="s">
        <v>529</v>
      </c>
      <c r="Y622" s="0" t="s">
        <v>80</v>
      </c>
      <c r="Z622" s="0" t="s">
        <v>3178</v>
      </c>
      <c r="AA622" s="0" t="s">
        <v>215</v>
      </c>
      <c r="AB622" s="0" t="s">
        <v>531</v>
      </c>
      <c r="AC622" s="0" t="s">
        <v>532</v>
      </c>
      <c r="AE622" s="0" t="s">
        <v>4932</v>
      </c>
      <c r="AF622" s="0" t="s">
        <v>1688</v>
      </c>
      <c r="AP622" s="0" t="s">
        <v>305</v>
      </c>
      <c r="BA622" s="0">
        <v>500</v>
      </c>
      <c r="BB622" s="0" t="s">
        <v>232</v>
      </c>
      <c r="BC622" s="0">
        <v>3</v>
      </c>
      <c r="BD622" s="0">
        <v>374043</v>
      </c>
      <c r="BE622" s="0">
        <v>364</v>
      </c>
      <c r="BF622" s="0">
        <v>2</v>
      </c>
      <c r="BG622" s="0" t="s">
        <v>4956</v>
      </c>
      <c r="BI622" s="0">
        <v>4154</v>
      </c>
      <c r="BK622" s="0" t="s">
        <v>4957</v>
      </c>
    </row>
    <row r="623">
      <c r="A623" s="0">
        <v>5272</v>
      </c>
      <c r="B623" s="0" t="s">
        <v>4958</v>
      </c>
      <c r="C623" s="0" t="s">
        <v>2620</v>
      </c>
      <c r="D623" s="0" t="s">
        <v>1376</v>
      </c>
      <c r="E623" s="0" t="s">
        <v>4959</v>
      </c>
      <c r="F623" s="0">
        <v>1</v>
      </c>
      <c r="G623" s="0" t="s">
        <v>543</v>
      </c>
      <c r="H623" s="0" t="s">
        <v>593</v>
      </c>
      <c r="I623" s="0" t="s">
        <v>549</v>
      </c>
      <c r="J623" s="0" t="s">
        <v>293</v>
      </c>
      <c r="K623" s="0" t="s">
        <v>294</v>
      </c>
      <c r="L623" s="0" t="s">
        <v>3234</v>
      </c>
      <c r="P623" s="0" t="s">
        <v>323</v>
      </c>
      <c r="Q623" s="0" t="s">
        <v>323</v>
      </c>
      <c r="R623" s="0" t="s">
        <v>1253</v>
      </c>
      <c r="T623" s="0" t="s">
        <v>4960</v>
      </c>
      <c r="X623" s="0" t="s">
        <v>529</v>
      </c>
      <c r="Y623" s="0" t="s">
        <v>80</v>
      </c>
      <c r="Z623" s="0" t="s">
        <v>3178</v>
      </c>
      <c r="AA623" s="0" t="s">
        <v>215</v>
      </c>
      <c r="AB623" s="0" t="s">
        <v>531</v>
      </c>
      <c r="AC623" s="0" t="s">
        <v>532</v>
      </c>
      <c r="AE623" s="0" t="s">
        <v>4932</v>
      </c>
      <c r="AF623" s="0" t="s">
        <v>1688</v>
      </c>
      <c r="AM623" s="0" t="s">
        <v>3267</v>
      </c>
      <c r="AN623" s="0" t="s">
        <v>599</v>
      </c>
      <c r="AO623" s="0" t="s">
        <v>352</v>
      </c>
      <c r="AP623" s="0" t="s">
        <v>305</v>
      </c>
      <c r="AU623" s="0">
        <v>39</v>
      </c>
      <c r="AX623" s="0" t="s">
        <v>3268</v>
      </c>
      <c r="AY623" s="0" t="s">
        <v>3269</v>
      </c>
      <c r="AZ623" s="0" t="s">
        <v>490</v>
      </c>
      <c r="BA623" s="0">
        <v>500</v>
      </c>
      <c r="BB623" s="0" t="s">
        <v>232</v>
      </c>
      <c r="BC623" s="0">
        <v>3</v>
      </c>
      <c r="BD623" s="0">
        <v>34</v>
      </c>
      <c r="BE623" s="0">
        <v>364</v>
      </c>
      <c r="BF623" s="0">
        <v>2</v>
      </c>
      <c r="BG623" s="0" t="s">
        <v>4961</v>
      </c>
      <c r="BI623" s="0">
        <v>1930</v>
      </c>
      <c r="BK623" s="0" t="s">
        <v>4962</v>
      </c>
    </row>
    <row r="624">
      <c r="A624" s="0">
        <v>5281</v>
      </c>
      <c r="B624" s="0" t="s">
        <v>4963</v>
      </c>
      <c r="C624" s="0" t="s">
        <v>315</v>
      </c>
      <c r="D624" s="0" t="s">
        <v>1376</v>
      </c>
      <c r="E624" s="0" t="s">
        <v>4964</v>
      </c>
      <c r="F624" s="0">
        <v>1</v>
      </c>
      <c r="G624" s="0" t="s">
        <v>319</v>
      </c>
      <c r="H624" s="0" t="s">
        <v>398</v>
      </c>
      <c r="I624" s="0" t="s">
        <v>471</v>
      </c>
      <c r="J624" s="0" t="s">
        <v>594</v>
      </c>
      <c r="K624" s="0" t="s">
        <v>1190</v>
      </c>
      <c r="L624" s="0" t="s">
        <v>469</v>
      </c>
      <c r="P624" s="0" t="s">
        <v>323</v>
      </c>
      <c r="Q624" s="0" t="s">
        <v>323</v>
      </c>
      <c r="R624" s="0" t="s">
        <v>2007</v>
      </c>
      <c r="T624" s="0" t="s">
        <v>4965</v>
      </c>
      <c r="U624" s="0" t="s">
        <v>4966</v>
      </c>
      <c r="X624" s="0" t="s">
        <v>529</v>
      </c>
      <c r="Y624" s="0" t="s">
        <v>80</v>
      </c>
      <c r="Z624" s="0" t="s">
        <v>3178</v>
      </c>
      <c r="AA624" s="0" t="s">
        <v>215</v>
      </c>
      <c r="AB624" s="0" t="s">
        <v>531</v>
      </c>
      <c r="AC624" s="0" t="s">
        <v>532</v>
      </c>
      <c r="AE624" s="0" t="s">
        <v>4932</v>
      </c>
      <c r="AF624" s="0" t="s">
        <v>1688</v>
      </c>
      <c r="AP624" s="0" t="s">
        <v>305</v>
      </c>
      <c r="BA624" s="0">
        <v>500</v>
      </c>
      <c r="BB624" s="0" t="s">
        <v>232</v>
      </c>
      <c r="BC624" s="0">
        <v>3</v>
      </c>
      <c r="BD624" s="0">
        <v>374043</v>
      </c>
      <c r="BE624" s="0">
        <v>364</v>
      </c>
      <c r="BF624" s="0">
        <v>2</v>
      </c>
      <c r="BG624" s="0" t="s">
        <v>4967</v>
      </c>
      <c r="BI624" s="0">
        <v>3502</v>
      </c>
      <c r="BK624" s="0" t="s">
        <v>4968</v>
      </c>
    </row>
    <row r="625">
      <c r="A625" s="0">
        <v>5280</v>
      </c>
      <c r="B625" s="0" t="s">
        <v>4969</v>
      </c>
      <c r="C625" s="0" t="s">
        <v>2620</v>
      </c>
      <c r="D625" s="0" t="s">
        <v>1376</v>
      </c>
      <c r="E625" s="0" t="s">
        <v>3279</v>
      </c>
      <c r="F625" s="0">
        <v>1</v>
      </c>
      <c r="G625" s="0" t="s">
        <v>319</v>
      </c>
      <c r="H625" s="0" t="s">
        <v>398</v>
      </c>
      <c r="I625" s="0" t="s">
        <v>471</v>
      </c>
      <c r="J625" s="0" t="s">
        <v>594</v>
      </c>
      <c r="K625" s="0" t="s">
        <v>1190</v>
      </c>
      <c r="L625" s="0" t="s">
        <v>469</v>
      </c>
      <c r="P625" s="0" t="s">
        <v>323</v>
      </c>
      <c r="Q625" s="0" t="s">
        <v>323</v>
      </c>
      <c r="R625" s="0" t="s">
        <v>2007</v>
      </c>
      <c r="T625" s="0" t="s">
        <v>4970</v>
      </c>
      <c r="X625" s="0" t="s">
        <v>529</v>
      </c>
      <c r="Y625" s="0" t="s">
        <v>80</v>
      </c>
      <c r="Z625" s="0" t="s">
        <v>3178</v>
      </c>
      <c r="AA625" s="0" t="s">
        <v>215</v>
      </c>
      <c r="AB625" s="0" t="s">
        <v>531</v>
      </c>
      <c r="AC625" s="0" t="s">
        <v>532</v>
      </c>
      <c r="AE625" s="0" t="s">
        <v>4932</v>
      </c>
      <c r="AF625" s="0" t="s">
        <v>1688</v>
      </c>
      <c r="AP625" s="0" t="s">
        <v>305</v>
      </c>
      <c r="BA625" s="0">
        <v>500</v>
      </c>
      <c r="BB625" s="0" t="s">
        <v>232</v>
      </c>
      <c r="BC625" s="0">
        <v>3</v>
      </c>
      <c r="BD625" s="0">
        <v>34</v>
      </c>
      <c r="BE625" s="0">
        <v>364</v>
      </c>
      <c r="BF625" s="0">
        <v>2</v>
      </c>
      <c r="BG625" s="0" t="s">
        <v>4971</v>
      </c>
      <c r="BI625" s="0">
        <v>3378</v>
      </c>
      <c r="BK625" s="0" t="s">
        <v>4972</v>
      </c>
    </row>
    <row r="626">
      <c r="A626" s="0">
        <v>5423</v>
      </c>
      <c r="B626" s="0" t="s">
        <v>4973</v>
      </c>
      <c r="C626" s="0" t="s">
        <v>315</v>
      </c>
      <c r="D626" s="0" t="s">
        <v>1376</v>
      </c>
      <c r="E626" s="0" t="s">
        <v>4974</v>
      </c>
      <c r="F626" s="0">
        <v>1</v>
      </c>
      <c r="G626" s="0" t="s">
        <v>525</v>
      </c>
      <c r="H626" s="0" t="s">
        <v>508</v>
      </c>
      <c r="I626" s="0" t="s">
        <v>482</v>
      </c>
      <c r="J626" s="0" t="s">
        <v>293</v>
      </c>
      <c r="K626" s="0" t="s">
        <v>294</v>
      </c>
      <c r="L626" s="0" t="s">
        <v>918</v>
      </c>
      <c r="P626" s="0" t="s">
        <v>323</v>
      </c>
      <c r="Q626" s="0" t="s">
        <v>323</v>
      </c>
      <c r="R626" s="0" t="s">
        <v>419</v>
      </c>
      <c r="T626" s="0" t="s">
        <v>4975</v>
      </c>
      <c r="U626" s="0" t="s">
        <v>4976</v>
      </c>
      <c r="X626" s="0" t="s">
        <v>529</v>
      </c>
      <c r="Y626" s="0" t="s">
        <v>80</v>
      </c>
      <c r="Z626" s="0" t="s">
        <v>3178</v>
      </c>
      <c r="AA626" s="0" t="s">
        <v>215</v>
      </c>
      <c r="AB626" s="0" t="s">
        <v>531</v>
      </c>
      <c r="AC626" s="0" t="s">
        <v>532</v>
      </c>
      <c r="AE626" s="0" t="s">
        <v>4932</v>
      </c>
      <c r="AF626" s="0" t="s">
        <v>1688</v>
      </c>
      <c r="AP626" s="0" t="s">
        <v>305</v>
      </c>
      <c r="BA626" s="0">
        <v>500</v>
      </c>
      <c r="BB626" s="0" t="s">
        <v>232</v>
      </c>
      <c r="BC626" s="0">
        <v>3</v>
      </c>
      <c r="BD626" s="0">
        <v>374043</v>
      </c>
      <c r="BE626" s="0">
        <v>364</v>
      </c>
      <c r="BF626" s="0">
        <v>2</v>
      </c>
      <c r="BG626" s="0" t="s">
        <v>4977</v>
      </c>
      <c r="BI626" s="0">
        <v>4642</v>
      </c>
      <c r="BK626" s="0" t="s">
        <v>4978</v>
      </c>
    </row>
    <row r="627">
      <c r="A627" s="0">
        <v>5283</v>
      </c>
      <c r="B627" s="0" t="s">
        <v>4979</v>
      </c>
      <c r="C627" s="0" t="s">
        <v>290</v>
      </c>
      <c r="D627" s="0" t="s">
        <v>1376</v>
      </c>
      <c r="E627" s="0" t="s">
        <v>4980</v>
      </c>
      <c r="F627" s="0">
        <v>1</v>
      </c>
      <c r="G627" s="0" t="s">
        <v>293</v>
      </c>
      <c r="H627" s="0" t="s">
        <v>294</v>
      </c>
      <c r="I627" s="0" t="s">
        <v>295</v>
      </c>
      <c r="J627" s="0" t="s">
        <v>543</v>
      </c>
      <c r="K627" s="0" t="s">
        <v>1112</v>
      </c>
      <c r="L627" s="0" t="s">
        <v>549</v>
      </c>
      <c r="P627" s="0" t="s">
        <v>343</v>
      </c>
      <c r="Q627" s="0" t="s">
        <v>343</v>
      </c>
      <c r="R627" s="0" t="s">
        <v>343</v>
      </c>
      <c r="T627" s="0" t="s">
        <v>4981</v>
      </c>
      <c r="U627" s="0" t="s">
        <v>4982</v>
      </c>
      <c r="X627" s="0" t="s">
        <v>529</v>
      </c>
      <c r="Y627" s="0" t="s">
        <v>80</v>
      </c>
      <c r="Z627" s="0" t="s">
        <v>3178</v>
      </c>
      <c r="AA627" s="0" t="s">
        <v>215</v>
      </c>
      <c r="AB627" s="0" t="s">
        <v>531</v>
      </c>
      <c r="AC627" s="0" t="s">
        <v>532</v>
      </c>
      <c r="AE627" s="0" t="s">
        <v>4932</v>
      </c>
      <c r="AF627" s="0" t="s">
        <v>1688</v>
      </c>
      <c r="AP627" s="0" t="s">
        <v>305</v>
      </c>
      <c r="BA627" s="0">
        <v>500</v>
      </c>
      <c r="BB627" s="0" t="s">
        <v>232</v>
      </c>
      <c r="BC627" s="0">
        <v>3</v>
      </c>
      <c r="BD627" s="0">
        <v>374053</v>
      </c>
      <c r="BE627" s="0">
        <v>364</v>
      </c>
      <c r="BF627" s="0">
        <v>2</v>
      </c>
      <c r="BG627" s="0" t="s">
        <v>4983</v>
      </c>
      <c r="BI627" s="0">
        <v>3724</v>
      </c>
      <c r="BK627" s="0" t="s">
        <v>4984</v>
      </c>
    </row>
    <row r="628">
      <c r="A628" s="0">
        <v>5289</v>
      </c>
      <c r="B628" s="0" t="s">
        <v>4985</v>
      </c>
      <c r="C628" s="0" t="s">
        <v>290</v>
      </c>
      <c r="D628" s="0" t="s">
        <v>1376</v>
      </c>
      <c r="E628" s="0" t="s">
        <v>4986</v>
      </c>
      <c r="F628" s="0">
        <v>1</v>
      </c>
      <c r="G628" s="0" t="s">
        <v>293</v>
      </c>
      <c r="H628" s="0" t="s">
        <v>294</v>
      </c>
      <c r="I628" s="0" t="s">
        <v>295</v>
      </c>
      <c r="P628" s="0" t="s">
        <v>343</v>
      </c>
      <c r="Q628" s="0" t="s">
        <v>343</v>
      </c>
      <c r="R628" s="0" t="s">
        <v>343</v>
      </c>
      <c r="T628" s="0" t="s">
        <v>4987</v>
      </c>
      <c r="U628" s="0" t="s">
        <v>4988</v>
      </c>
      <c r="X628" s="0" t="s">
        <v>529</v>
      </c>
      <c r="Y628" s="0" t="s">
        <v>80</v>
      </c>
      <c r="Z628" s="0" t="s">
        <v>3178</v>
      </c>
      <c r="AA628" s="0" t="s">
        <v>215</v>
      </c>
      <c r="AB628" s="0" t="s">
        <v>531</v>
      </c>
      <c r="AC628" s="0" t="s">
        <v>532</v>
      </c>
      <c r="AE628" s="0" t="s">
        <v>4932</v>
      </c>
      <c r="AF628" s="0" t="s">
        <v>1688</v>
      </c>
      <c r="AP628" s="0" t="s">
        <v>305</v>
      </c>
      <c r="BA628" s="0">
        <v>500</v>
      </c>
      <c r="BB628" s="0" t="s">
        <v>232</v>
      </c>
      <c r="BC628" s="0">
        <v>3</v>
      </c>
      <c r="BD628" s="0">
        <v>374053</v>
      </c>
      <c r="BE628" s="0">
        <v>364</v>
      </c>
      <c r="BF628" s="0">
        <v>2</v>
      </c>
      <c r="BG628" s="0" t="s">
        <v>4989</v>
      </c>
      <c r="BI628" s="0">
        <v>4223</v>
      </c>
      <c r="BK628" s="0" t="s">
        <v>4990</v>
      </c>
    </row>
    <row r="629">
      <c r="A629" s="0">
        <v>5271</v>
      </c>
      <c r="B629" s="0" t="s">
        <v>4991</v>
      </c>
      <c r="C629" s="0" t="s">
        <v>2620</v>
      </c>
      <c r="D629" s="0" t="s">
        <v>1376</v>
      </c>
      <c r="E629" s="0" t="s">
        <v>4992</v>
      </c>
      <c r="F629" s="0">
        <v>1</v>
      </c>
      <c r="G629" s="0" t="s">
        <v>581</v>
      </c>
      <c r="H629" s="0" t="s">
        <v>581</v>
      </c>
      <c r="I629" s="0" t="s">
        <v>583</v>
      </c>
      <c r="J629" s="0" t="s">
        <v>594</v>
      </c>
      <c r="K629" s="0" t="s">
        <v>1190</v>
      </c>
      <c r="L629" s="0" t="s">
        <v>3174</v>
      </c>
      <c r="P629" s="0" t="s">
        <v>343</v>
      </c>
      <c r="Q629" s="0" t="s">
        <v>343</v>
      </c>
      <c r="R629" s="0" t="s">
        <v>343</v>
      </c>
      <c r="T629" s="0" t="s">
        <v>4993</v>
      </c>
      <c r="X629" s="0" t="s">
        <v>529</v>
      </c>
      <c r="Y629" s="0" t="s">
        <v>80</v>
      </c>
      <c r="Z629" s="0" t="s">
        <v>3178</v>
      </c>
      <c r="AA629" s="0" t="s">
        <v>215</v>
      </c>
      <c r="AB629" s="0" t="s">
        <v>531</v>
      </c>
      <c r="AC629" s="0" t="s">
        <v>532</v>
      </c>
      <c r="AE629" s="0" t="s">
        <v>4932</v>
      </c>
      <c r="AF629" s="0" t="s">
        <v>1688</v>
      </c>
      <c r="AP629" s="0" t="s">
        <v>305</v>
      </c>
      <c r="BA629" s="0">
        <v>500</v>
      </c>
      <c r="BB629" s="0" t="s">
        <v>232</v>
      </c>
      <c r="BC629" s="0">
        <v>3</v>
      </c>
      <c r="BD629" s="0">
        <v>34</v>
      </c>
      <c r="BE629" s="0">
        <v>364</v>
      </c>
      <c r="BF629" s="0">
        <v>2</v>
      </c>
      <c r="BG629" s="0" t="s">
        <v>4994</v>
      </c>
      <c r="BI629" s="0">
        <v>1685</v>
      </c>
      <c r="BK629" s="0" t="s">
        <v>4995</v>
      </c>
    </row>
    <row r="630">
      <c r="A630" s="0">
        <v>5292</v>
      </c>
      <c r="B630" s="0" t="s">
        <v>4996</v>
      </c>
      <c r="C630" s="0" t="s">
        <v>2620</v>
      </c>
      <c r="D630" s="0" t="s">
        <v>1376</v>
      </c>
      <c r="E630" s="0" t="s">
        <v>4997</v>
      </c>
      <c r="F630" s="0">
        <v>1</v>
      </c>
      <c r="G630" s="0" t="s">
        <v>319</v>
      </c>
      <c r="H630" s="0" t="s">
        <v>658</v>
      </c>
      <c r="I630" s="0" t="s">
        <v>948</v>
      </c>
      <c r="J630" s="0" t="s">
        <v>525</v>
      </c>
      <c r="K630" s="0" t="s">
        <v>594</v>
      </c>
      <c r="L630" s="0" t="s">
        <v>2442</v>
      </c>
      <c r="P630" s="0" t="s">
        <v>323</v>
      </c>
      <c r="Q630" s="0" t="s">
        <v>868</v>
      </c>
      <c r="R630" s="0" t="s">
        <v>2007</v>
      </c>
      <c r="T630" s="0" t="s">
        <v>4998</v>
      </c>
      <c r="X630" s="0" t="s">
        <v>529</v>
      </c>
      <c r="Y630" s="0" t="s">
        <v>80</v>
      </c>
      <c r="Z630" s="0" t="s">
        <v>3178</v>
      </c>
      <c r="AA630" s="0" t="s">
        <v>215</v>
      </c>
      <c r="AB630" s="0" t="s">
        <v>531</v>
      </c>
      <c r="AC630" s="0" t="s">
        <v>532</v>
      </c>
      <c r="AE630" s="0" t="s">
        <v>4932</v>
      </c>
      <c r="AF630" s="0" t="s">
        <v>1688</v>
      </c>
      <c r="AP630" s="0" t="s">
        <v>305</v>
      </c>
      <c r="BA630" s="0">
        <v>500</v>
      </c>
      <c r="BB630" s="0" t="s">
        <v>232</v>
      </c>
      <c r="BC630" s="0">
        <v>3</v>
      </c>
      <c r="BD630" s="0">
        <v>34</v>
      </c>
      <c r="BE630" s="0">
        <v>364</v>
      </c>
      <c r="BF630" s="0">
        <v>2</v>
      </c>
      <c r="BG630" s="0" t="s">
        <v>4999</v>
      </c>
      <c r="BI630" s="0">
        <v>4410</v>
      </c>
      <c r="BK630" s="0" t="s">
        <v>5000</v>
      </c>
    </row>
    <row r="631">
      <c r="A631" s="0">
        <v>5276</v>
      </c>
      <c r="B631" s="0" t="s">
        <v>5001</v>
      </c>
      <c r="C631" s="0" t="s">
        <v>2620</v>
      </c>
      <c r="D631" s="0" t="s">
        <v>1376</v>
      </c>
      <c r="E631" s="0" t="s">
        <v>3317</v>
      </c>
      <c r="F631" s="0">
        <v>1</v>
      </c>
      <c r="G631" s="0" t="s">
        <v>293</v>
      </c>
      <c r="H631" s="0" t="s">
        <v>294</v>
      </c>
      <c r="I631" s="0" t="s">
        <v>295</v>
      </c>
      <c r="J631" s="0" t="s">
        <v>581</v>
      </c>
      <c r="K631" s="0" t="s">
        <v>581</v>
      </c>
      <c r="L631" s="0" t="s">
        <v>583</v>
      </c>
      <c r="P631" s="0" t="s">
        <v>343</v>
      </c>
      <c r="Q631" s="0" t="s">
        <v>343</v>
      </c>
      <c r="R631" s="0" t="s">
        <v>343</v>
      </c>
      <c r="T631" s="0" t="s">
        <v>5002</v>
      </c>
      <c r="X631" s="0" t="s">
        <v>529</v>
      </c>
      <c r="Y631" s="0" t="s">
        <v>80</v>
      </c>
      <c r="Z631" s="0" t="s">
        <v>3178</v>
      </c>
      <c r="AA631" s="0" t="s">
        <v>215</v>
      </c>
      <c r="AB631" s="0" t="s">
        <v>531</v>
      </c>
      <c r="AC631" s="0" t="s">
        <v>532</v>
      </c>
      <c r="AE631" s="0" t="s">
        <v>4932</v>
      </c>
      <c r="AF631" s="0" t="s">
        <v>1688</v>
      </c>
      <c r="AP631" s="0" t="s">
        <v>305</v>
      </c>
      <c r="BA631" s="0">
        <v>500</v>
      </c>
      <c r="BB631" s="0" t="s">
        <v>232</v>
      </c>
      <c r="BC631" s="0">
        <v>3</v>
      </c>
      <c r="BD631" s="0">
        <v>34</v>
      </c>
      <c r="BE631" s="0">
        <v>364</v>
      </c>
      <c r="BF631" s="0">
        <v>2</v>
      </c>
      <c r="BG631" s="0" t="s">
        <v>5003</v>
      </c>
      <c r="BI631" s="0">
        <v>2748</v>
      </c>
      <c r="BK631" s="0" t="s">
        <v>5004</v>
      </c>
    </row>
    <row r="632">
      <c r="A632" s="0">
        <v>5285</v>
      </c>
      <c r="B632" s="0" t="s">
        <v>5005</v>
      </c>
      <c r="C632" s="0" t="s">
        <v>2620</v>
      </c>
      <c r="D632" s="0" t="s">
        <v>1376</v>
      </c>
      <c r="E632" s="0" t="s">
        <v>5006</v>
      </c>
      <c r="F632" s="0">
        <v>1</v>
      </c>
      <c r="G632" s="0" t="s">
        <v>293</v>
      </c>
      <c r="H632" s="0" t="s">
        <v>294</v>
      </c>
      <c r="I632" s="0" t="s">
        <v>295</v>
      </c>
      <c r="P632" s="0" t="s">
        <v>323</v>
      </c>
      <c r="Q632" s="0" t="s">
        <v>323</v>
      </c>
      <c r="R632" s="0" t="s">
        <v>1021</v>
      </c>
      <c r="T632" s="0" t="s">
        <v>5007</v>
      </c>
      <c r="X632" s="0" t="s">
        <v>529</v>
      </c>
      <c r="Y632" s="0" t="s">
        <v>80</v>
      </c>
      <c r="Z632" s="0" t="s">
        <v>3178</v>
      </c>
      <c r="AA632" s="0" t="s">
        <v>215</v>
      </c>
      <c r="AB632" s="0" t="s">
        <v>531</v>
      </c>
      <c r="AC632" s="0" t="s">
        <v>532</v>
      </c>
      <c r="AE632" s="0" t="s">
        <v>4932</v>
      </c>
      <c r="AF632" s="0" t="s">
        <v>1688</v>
      </c>
      <c r="AP632" s="0" t="s">
        <v>305</v>
      </c>
      <c r="BA632" s="0">
        <v>500</v>
      </c>
      <c r="BB632" s="0" t="s">
        <v>232</v>
      </c>
      <c r="BC632" s="0">
        <v>3</v>
      </c>
      <c r="BD632" s="0">
        <v>34</v>
      </c>
      <c r="BE632" s="0">
        <v>364</v>
      </c>
      <c r="BF632" s="0">
        <v>2</v>
      </c>
      <c r="BG632" s="0" t="s">
        <v>5008</v>
      </c>
      <c r="BI632" s="0">
        <v>3912</v>
      </c>
      <c r="BK632" s="0" t="s">
        <v>5009</v>
      </c>
    </row>
    <row r="633">
      <c r="A633" s="0">
        <v>5278</v>
      </c>
      <c r="C633" s="0" t="s">
        <v>2620</v>
      </c>
      <c r="D633" s="0" t="s">
        <v>1376</v>
      </c>
      <c r="E633" s="0" t="s">
        <v>5010</v>
      </c>
      <c r="F633" s="0">
        <v>1</v>
      </c>
      <c r="G633" s="0" t="s">
        <v>400</v>
      </c>
      <c r="H633" s="0" t="s">
        <v>1190</v>
      </c>
      <c r="I633" s="0" t="s">
        <v>3174</v>
      </c>
      <c r="J633" s="0" t="s">
        <v>555</v>
      </c>
      <c r="K633" s="0" t="s">
        <v>1112</v>
      </c>
      <c r="L633" s="0" t="s">
        <v>549</v>
      </c>
      <c r="M633" s="0" t="s">
        <v>293</v>
      </c>
      <c r="N633" s="0" t="s">
        <v>294</v>
      </c>
      <c r="O633" s="0" t="s">
        <v>295</v>
      </c>
      <c r="P633" s="0" t="s">
        <v>343</v>
      </c>
      <c r="Q633" s="0" t="s">
        <v>343</v>
      </c>
      <c r="R633" s="0" t="s">
        <v>343</v>
      </c>
      <c r="T633" s="0" t="s">
        <v>5011</v>
      </c>
      <c r="U633" s="0" t="s">
        <v>5012</v>
      </c>
      <c r="X633" s="0" t="s">
        <v>529</v>
      </c>
      <c r="Y633" s="0" t="s">
        <v>80</v>
      </c>
      <c r="Z633" s="0" t="s">
        <v>3178</v>
      </c>
      <c r="AA633" s="0" t="s">
        <v>215</v>
      </c>
      <c r="AB633" s="0" t="s">
        <v>531</v>
      </c>
      <c r="AC633" s="0" t="s">
        <v>532</v>
      </c>
      <c r="AE633" s="0" t="s">
        <v>4932</v>
      </c>
      <c r="AF633" s="0" t="s">
        <v>1688</v>
      </c>
      <c r="AP633" s="0" t="s">
        <v>305</v>
      </c>
      <c r="BA633" s="0">
        <v>500</v>
      </c>
      <c r="BB633" s="0" t="s">
        <v>232</v>
      </c>
      <c r="BC633" s="0">
        <v>3</v>
      </c>
      <c r="BD633" s="0">
        <v>34</v>
      </c>
      <c r="BE633" s="0">
        <v>364</v>
      </c>
      <c r="BF633" s="0">
        <v>2</v>
      </c>
      <c r="BG633" s="0" t="s">
        <v>5013</v>
      </c>
      <c r="BI633" s="0">
        <v>3089</v>
      </c>
      <c r="BK633" s="0" t="s">
        <v>5014</v>
      </c>
    </row>
    <row r="634">
      <c r="A634" s="0">
        <v>5279</v>
      </c>
      <c r="C634" s="0" t="s">
        <v>315</v>
      </c>
      <c r="D634" s="0" t="s">
        <v>1376</v>
      </c>
      <c r="E634" s="0" t="s">
        <v>5015</v>
      </c>
      <c r="F634" s="0">
        <v>1</v>
      </c>
      <c r="G634" s="0" t="s">
        <v>400</v>
      </c>
      <c r="H634" s="0" t="s">
        <v>1190</v>
      </c>
      <c r="I634" s="0" t="s">
        <v>3174</v>
      </c>
      <c r="J634" s="0" t="s">
        <v>543</v>
      </c>
      <c r="K634" s="0" t="s">
        <v>593</v>
      </c>
      <c r="L634" s="0" t="s">
        <v>729</v>
      </c>
      <c r="M634" s="0" t="s">
        <v>293</v>
      </c>
      <c r="N634" s="0" t="s">
        <v>294</v>
      </c>
      <c r="O634" s="0" t="s">
        <v>295</v>
      </c>
      <c r="P634" s="0" t="s">
        <v>343</v>
      </c>
      <c r="Q634" s="0" t="s">
        <v>343</v>
      </c>
      <c r="R634" s="0" t="s">
        <v>343</v>
      </c>
      <c r="T634" s="0" t="s">
        <v>5016</v>
      </c>
      <c r="U634" s="0" t="s">
        <v>5017</v>
      </c>
      <c r="X634" s="0" t="s">
        <v>529</v>
      </c>
      <c r="Y634" s="0" t="s">
        <v>80</v>
      </c>
      <c r="Z634" s="0" t="s">
        <v>3178</v>
      </c>
      <c r="AA634" s="0" t="s">
        <v>215</v>
      </c>
      <c r="AB634" s="0" t="s">
        <v>531</v>
      </c>
      <c r="AC634" s="0" t="s">
        <v>532</v>
      </c>
      <c r="AE634" s="0" t="s">
        <v>4932</v>
      </c>
      <c r="AF634" s="0" t="s">
        <v>1688</v>
      </c>
      <c r="AP634" s="0" t="s">
        <v>305</v>
      </c>
      <c r="BA634" s="0">
        <v>500</v>
      </c>
      <c r="BB634" s="0" t="s">
        <v>232</v>
      </c>
      <c r="BC634" s="0">
        <v>3</v>
      </c>
      <c r="BD634" s="0">
        <v>374043</v>
      </c>
      <c r="BE634" s="0">
        <v>364</v>
      </c>
      <c r="BF634" s="0">
        <v>2</v>
      </c>
      <c r="BG634" s="0" t="s">
        <v>5018</v>
      </c>
      <c r="BI634" s="0">
        <v>3240</v>
      </c>
      <c r="BK634" s="0" t="s">
        <v>5019</v>
      </c>
    </row>
    <row r="635">
      <c r="A635" s="0">
        <v>5287</v>
      </c>
      <c r="B635" s="0" t="s">
        <v>5020</v>
      </c>
      <c r="C635" s="0" t="s">
        <v>1855</v>
      </c>
      <c r="D635" s="0" t="s">
        <v>1376</v>
      </c>
      <c r="E635" s="0" t="s">
        <v>5021</v>
      </c>
      <c r="F635" s="0">
        <v>1</v>
      </c>
      <c r="G635" s="0" t="s">
        <v>293</v>
      </c>
      <c r="H635" s="0" t="s">
        <v>294</v>
      </c>
      <c r="I635" s="0" t="s">
        <v>295</v>
      </c>
      <c r="J635" s="0" t="s">
        <v>594</v>
      </c>
      <c r="K635" s="0" t="s">
        <v>1190</v>
      </c>
      <c r="L635" s="0" t="s">
        <v>469</v>
      </c>
      <c r="P635" s="0" t="s">
        <v>343</v>
      </c>
      <c r="Q635" s="0" t="s">
        <v>343</v>
      </c>
      <c r="R635" s="0" t="s">
        <v>343</v>
      </c>
      <c r="T635" s="0" t="s">
        <v>5022</v>
      </c>
      <c r="U635" s="0" t="s">
        <v>5023</v>
      </c>
      <c r="X635" s="0" t="s">
        <v>347</v>
      </c>
      <c r="Y635" s="0" t="s">
        <v>80</v>
      </c>
      <c r="Z635" s="0" t="s">
        <v>3178</v>
      </c>
      <c r="AA635" s="0" t="s">
        <v>215</v>
      </c>
      <c r="AB635" s="0" t="s">
        <v>531</v>
      </c>
      <c r="AC635" s="0" t="s">
        <v>532</v>
      </c>
      <c r="AE635" s="0" t="s">
        <v>4932</v>
      </c>
      <c r="AF635" s="0" t="s">
        <v>1688</v>
      </c>
      <c r="AP635" s="0" t="s">
        <v>305</v>
      </c>
      <c r="BA635" s="0">
        <v>500</v>
      </c>
      <c r="BB635" s="0" t="s">
        <v>232</v>
      </c>
      <c r="BC635" s="0">
        <v>3</v>
      </c>
      <c r="BD635" s="0">
        <v>28</v>
      </c>
      <c r="BE635" s="0">
        <v>364</v>
      </c>
      <c r="BF635" s="0">
        <v>4</v>
      </c>
      <c r="BG635" s="0" t="s">
        <v>5024</v>
      </c>
      <c r="BI635" s="0">
        <v>4082</v>
      </c>
      <c r="BK635" s="0" t="s">
        <v>5025</v>
      </c>
    </row>
    <row r="636">
      <c r="A636" s="0">
        <v>5282</v>
      </c>
      <c r="B636" s="0" t="s">
        <v>5026</v>
      </c>
      <c r="C636" s="0" t="s">
        <v>339</v>
      </c>
      <c r="D636" s="0" t="s">
        <v>1376</v>
      </c>
      <c r="E636" s="0" t="s">
        <v>3360</v>
      </c>
      <c r="F636" s="0">
        <v>1</v>
      </c>
      <c r="G636" s="0" t="s">
        <v>594</v>
      </c>
      <c r="H636" s="0" t="s">
        <v>1190</v>
      </c>
      <c r="I636" s="0" t="s">
        <v>3174</v>
      </c>
      <c r="J636" s="0" t="s">
        <v>319</v>
      </c>
      <c r="K636" s="0" t="s">
        <v>3256</v>
      </c>
      <c r="L636" s="0" t="s">
        <v>3257</v>
      </c>
      <c r="P636" s="0" t="s">
        <v>323</v>
      </c>
      <c r="Q636" s="0" t="s">
        <v>323</v>
      </c>
      <c r="R636" s="0" t="s">
        <v>2034</v>
      </c>
      <c r="T636" s="0" t="s">
        <v>5027</v>
      </c>
      <c r="U636" s="0" t="s">
        <v>5028</v>
      </c>
      <c r="X636" s="0" t="s">
        <v>347</v>
      </c>
      <c r="Y636" s="0" t="s">
        <v>80</v>
      </c>
      <c r="Z636" s="0" t="s">
        <v>3178</v>
      </c>
      <c r="AA636" s="0" t="s">
        <v>215</v>
      </c>
      <c r="AB636" s="0" t="s">
        <v>531</v>
      </c>
      <c r="AC636" s="0" t="s">
        <v>532</v>
      </c>
      <c r="AE636" s="0" t="s">
        <v>4932</v>
      </c>
      <c r="AF636" s="0" t="s">
        <v>1688</v>
      </c>
      <c r="AM636" s="0" t="s">
        <v>501</v>
      </c>
      <c r="AN636" s="0" t="s">
        <v>3364</v>
      </c>
      <c r="AO636" s="0" t="s">
        <v>512</v>
      </c>
      <c r="AP636" s="0" t="s">
        <v>305</v>
      </c>
      <c r="AQ636" s="0" t="s">
        <v>5029</v>
      </c>
      <c r="AR636" s="0" t="s">
        <v>1070</v>
      </c>
      <c r="AS636" s="0">
        <v>20</v>
      </c>
      <c r="AT636" s="0">
        <v>46</v>
      </c>
      <c r="AU636" s="0">
        <v>46</v>
      </c>
      <c r="AV636" s="0" t="s">
        <v>332</v>
      </c>
      <c r="AX636" s="0" t="s">
        <v>3269</v>
      </c>
      <c r="AY636" s="0" t="s">
        <v>3366</v>
      </c>
      <c r="AZ636" s="0" t="s">
        <v>3367</v>
      </c>
      <c r="BA636" s="0">
        <v>500</v>
      </c>
      <c r="BB636" s="0" t="s">
        <v>232</v>
      </c>
      <c r="BC636" s="0">
        <v>3</v>
      </c>
      <c r="BD636" s="0">
        <v>8</v>
      </c>
      <c r="BE636" s="0">
        <v>364</v>
      </c>
      <c r="BF636" s="0">
        <v>4</v>
      </c>
      <c r="BG636" s="0" t="s">
        <v>5030</v>
      </c>
      <c r="BI636" s="0">
        <v>3617</v>
      </c>
      <c r="BK636" s="0" t="s">
        <v>5031</v>
      </c>
    </row>
    <row r="637">
      <c r="A637" s="0">
        <v>5294</v>
      </c>
      <c r="B637" s="0" t="s">
        <v>5032</v>
      </c>
      <c r="C637" s="0" t="s">
        <v>1139</v>
      </c>
      <c r="D637" s="0" t="s">
        <v>1376</v>
      </c>
      <c r="E637" s="0" t="s">
        <v>5033</v>
      </c>
      <c r="F637" s="0">
        <v>1</v>
      </c>
      <c r="G637" s="0" t="s">
        <v>293</v>
      </c>
      <c r="H637" s="0" t="s">
        <v>294</v>
      </c>
      <c r="I637" s="0" t="s">
        <v>295</v>
      </c>
      <c r="P637" s="0" t="s">
        <v>323</v>
      </c>
      <c r="Q637" s="0" t="s">
        <v>343</v>
      </c>
      <c r="R637" s="0" t="s">
        <v>5034</v>
      </c>
      <c r="T637" s="0" t="s">
        <v>5035</v>
      </c>
      <c r="U637" s="0" t="s">
        <v>5036</v>
      </c>
      <c r="X637" s="0" t="s">
        <v>347</v>
      </c>
      <c r="Y637" s="0" t="s">
        <v>80</v>
      </c>
      <c r="Z637" s="0" t="s">
        <v>3178</v>
      </c>
      <c r="AA637" s="0" t="s">
        <v>215</v>
      </c>
      <c r="AB637" s="0" t="s">
        <v>531</v>
      </c>
      <c r="AC637" s="0" t="s">
        <v>532</v>
      </c>
      <c r="AE637" s="0" t="s">
        <v>4932</v>
      </c>
      <c r="AF637" s="0" t="s">
        <v>1688</v>
      </c>
      <c r="AM637" s="0" t="s">
        <v>5037</v>
      </c>
      <c r="AN637" s="0" t="s">
        <v>762</v>
      </c>
      <c r="AO637" s="0" t="s">
        <v>5038</v>
      </c>
      <c r="AP637" s="0" t="s">
        <v>305</v>
      </c>
      <c r="AQ637" s="0" t="s">
        <v>1450</v>
      </c>
      <c r="AR637" s="0" t="s">
        <v>1059</v>
      </c>
      <c r="AS637" s="0">
        <v>576</v>
      </c>
      <c r="AT637" s="0">
        <v>1206</v>
      </c>
      <c r="AU637" s="0">
        <v>1353</v>
      </c>
      <c r="AV637" s="0" t="s">
        <v>332</v>
      </c>
      <c r="AX637" s="0" t="s">
        <v>3023</v>
      </c>
      <c r="AY637" s="0" t="s">
        <v>1771</v>
      </c>
      <c r="AZ637" s="0" t="s">
        <v>883</v>
      </c>
      <c r="BA637" s="0">
        <v>500</v>
      </c>
      <c r="BB637" s="0" t="s">
        <v>232</v>
      </c>
      <c r="BC637" s="0">
        <v>3</v>
      </c>
      <c r="BD637" s="0">
        <v>38030</v>
      </c>
      <c r="BE637" s="0">
        <v>364</v>
      </c>
      <c r="BF637" s="0">
        <v>4</v>
      </c>
      <c r="BG637" s="0" t="s">
        <v>5039</v>
      </c>
      <c r="BI637" s="0">
        <v>4461</v>
      </c>
      <c r="BK637" s="0" t="s">
        <v>5040</v>
      </c>
    </row>
    <row r="638">
      <c r="A638" s="0">
        <v>5295</v>
      </c>
      <c r="B638" s="0" t="s">
        <v>5041</v>
      </c>
      <c r="C638" s="0" t="s">
        <v>1139</v>
      </c>
      <c r="D638" s="0" t="s">
        <v>1376</v>
      </c>
      <c r="E638" s="0" t="s">
        <v>5042</v>
      </c>
      <c r="F638" s="0">
        <v>1</v>
      </c>
      <c r="G638" s="0" t="s">
        <v>293</v>
      </c>
      <c r="H638" s="0" t="s">
        <v>294</v>
      </c>
      <c r="I638" s="0" t="s">
        <v>295</v>
      </c>
      <c r="P638" s="0" t="s">
        <v>323</v>
      </c>
      <c r="Q638" s="0" t="s">
        <v>343</v>
      </c>
      <c r="R638" s="0" t="s">
        <v>5034</v>
      </c>
      <c r="T638" s="0" t="s">
        <v>5043</v>
      </c>
      <c r="U638" s="0" t="s">
        <v>5044</v>
      </c>
      <c r="X638" s="0" t="s">
        <v>347</v>
      </c>
      <c r="Y638" s="0" t="s">
        <v>80</v>
      </c>
      <c r="Z638" s="0" t="s">
        <v>3178</v>
      </c>
      <c r="AA638" s="0" t="s">
        <v>215</v>
      </c>
      <c r="AB638" s="0" t="s">
        <v>531</v>
      </c>
      <c r="AC638" s="0" t="s">
        <v>532</v>
      </c>
      <c r="AE638" s="0" t="s">
        <v>4932</v>
      </c>
      <c r="AF638" s="0" t="s">
        <v>1688</v>
      </c>
      <c r="AM638" s="0" t="s">
        <v>5037</v>
      </c>
      <c r="AN638" s="0" t="s">
        <v>310</v>
      </c>
      <c r="AO638" s="0" t="s">
        <v>5038</v>
      </c>
      <c r="AP638" s="0" t="s">
        <v>305</v>
      </c>
      <c r="AQ638" s="0" t="s">
        <v>5045</v>
      </c>
      <c r="AR638" s="0" t="s">
        <v>5046</v>
      </c>
      <c r="AS638" s="0">
        <v>846</v>
      </c>
      <c r="AT638" s="0">
        <v>1740</v>
      </c>
      <c r="AU638" s="0">
        <v>2106</v>
      </c>
      <c r="AV638" s="0" t="s">
        <v>332</v>
      </c>
      <c r="AX638" s="0" t="s">
        <v>780</v>
      </c>
      <c r="AY638" s="0" t="s">
        <v>1771</v>
      </c>
      <c r="AZ638" s="0" t="s">
        <v>307</v>
      </c>
      <c r="BA638" s="0">
        <v>500</v>
      </c>
      <c r="BB638" s="0" t="s">
        <v>232</v>
      </c>
      <c r="BC638" s="0">
        <v>3</v>
      </c>
      <c r="BD638" s="0">
        <v>38030</v>
      </c>
      <c r="BE638" s="0">
        <v>364</v>
      </c>
      <c r="BF638" s="0">
        <v>4</v>
      </c>
      <c r="BG638" s="0" t="s">
        <v>5047</v>
      </c>
      <c r="BI638" s="0">
        <v>4510</v>
      </c>
      <c r="BK638" s="0" t="s">
        <v>5048</v>
      </c>
    </row>
    <row r="639">
      <c r="A639" s="0">
        <v>5269</v>
      </c>
      <c r="B639" s="0" t="s">
        <v>5049</v>
      </c>
      <c r="C639" s="0" t="s">
        <v>945</v>
      </c>
      <c r="D639" s="0" t="s">
        <v>1376</v>
      </c>
      <c r="E639" s="0" t="s">
        <v>5050</v>
      </c>
      <c r="F639" s="0">
        <v>1</v>
      </c>
      <c r="G639" s="0" t="s">
        <v>543</v>
      </c>
      <c r="H639" s="0" t="s">
        <v>1112</v>
      </c>
      <c r="I639" s="0" t="s">
        <v>5051</v>
      </c>
      <c r="J639" s="0" t="s">
        <v>508</v>
      </c>
      <c r="K639" s="0" t="s">
        <v>1190</v>
      </c>
      <c r="L639" s="0" t="s">
        <v>3379</v>
      </c>
      <c r="M639" s="0" t="s">
        <v>400</v>
      </c>
      <c r="N639" s="0" t="s">
        <v>1190</v>
      </c>
      <c r="O639" s="0" t="s">
        <v>469</v>
      </c>
      <c r="P639" s="0" t="s">
        <v>323</v>
      </c>
      <c r="Q639" s="0" t="s">
        <v>343</v>
      </c>
      <c r="R639" s="0" t="s">
        <v>5034</v>
      </c>
      <c r="T639" s="0" t="s">
        <v>5052</v>
      </c>
      <c r="U639" s="0" t="s">
        <v>5053</v>
      </c>
      <c r="X639" s="0" t="s">
        <v>529</v>
      </c>
      <c r="Y639" s="0" t="s">
        <v>80</v>
      </c>
      <c r="Z639" s="0" t="s">
        <v>3178</v>
      </c>
      <c r="AA639" s="0" t="s">
        <v>215</v>
      </c>
      <c r="AB639" s="0" t="s">
        <v>531</v>
      </c>
      <c r="AC639" s="0" t="s">
        <v>532</v>
      </c>
      <c r="AE639" s="0" t="s">
        <v>4932</v>
      </c>
      <c r="AF639" s="0" t="s">
        <v>1688</v>
      </c>
      <c r="AM639" s="0" t="s">
        <v>926</v>
      </c>
      <c r="AN639" s="0" t="s">
        <v>366</v>
      </c>
      <c r="AO639" s="0" t="s">
        <v>1771</v>
      </c>
      <c r="AP639" s="0" t="s">
        <v>305</v>
      </c>
      <c r="BA639" s="0">
        <v>500</v>
      </c>
      <c r="BB639" s="0" t="s">
        <v>232</v>
      </c>
      <c r="BC639" s="0">
        <v>3</v>
      </c>
      <c r="BD639" s="0">
        <v>14</v>
      </c>
      <c r="BE639" s="0">
        <v>364</v>
      </c>
      <c r="BF639" s="0">
        <v>2</v>
      </c>
      <c r="BG639" s="0" t="s">
        <v>5054</v>
      </c>
      <c r="BI639" s="0">
        <v>1110</v>
      </c>
      <c r="BK639" s="0" t="s">
        <v>5055</v>
      </c>
    </row>
    <row r="640">
      <c r="A640" s="0">
        <v>5268</v>
      </c>
      <c r="B640" s="0" t="s">
        <v>5056</v>
      </c>
      <c r="C640" s="0" t="s">
        <v>945</v>
      </c>
      <c r="D640" s="0" t="s">
        <v>1376</v>
      </c>
      <c r="E640" s="0" t="s">
        <v>3399</v>
      </c>
      <c r="F640" s="0">
        <v>1</v>
      </c>
      <c r="G640" s="0" t="s">
        <v>543</v>
      </c>
      <c r="H640" s="0" t="s">
        <v>1112</v>
      </c>
      <c r="I640" s="0" t="s">
        <v>5051</v>
      </c>
      <c r="J640" s="0" t="s">
        <v>508</v>
      </c>
      <c r="K640" s="0" t="s">
        <v>1190</v>
      </c>
      <c r="L640" s="0" t="s">
        <v>3379</v>
      </c>
      <c r="M640" s="0" t="s">
        <v>400</v>
      </c>
      <c r="N640" s="0" t="s">
        <v>1190</v>
      </c>
      <c r="O640" s="0" t="s">
        <v>469</v>
      </c>
      <c r="P640" s="0" t="s">
        <v>323</v>
      </c>
      <c r="Q640" s="0" t="s">
        <v>323</v>
      </c>
      <c r="R640" s="0" t="s">
        <v>5034</v>
      </c>
      <c r="T640" s="0" t="s">
        <v>5057</v>
      </c>
      <c r="U640" s="0" t="s">
        <v>5058</v>
      </c>
      <c r="X640" s="0" t="s">
        <v>529</v>
      </c>
      <c r="Y640" s="0" t="s">
        <v>80</v>
      </c>
      <c r="Z640" s="0" t="s">
        <v>3178</v>
      </c>
      <c r="AA640" s="0" t="s">
        <v>215</v>
      </c>
      <c r="AB640" s="0" t="s">
        <v>531</v>
      </c>
      <c r="AC640" s="0" t="s">
        <v>532</v>
      </c>
      <c r="AE640" s="0" t="s">
        <v>4932</v>
      </c>
      <c r="AF640" s="0" t="s">
        <v>1688</v>
      </c>
      <c r="AM640" s="0" t="s">
        <v>311</v>
      </c>
      <c r="AN640" s="0" t="s">
        <v>1066</v>
      </c>
      <c r="AO640" s="0" t="s">
        <v>598</v>
      </c>
      <c r="AP640" s="0" t="s">
        <v>305</v>
      </c>
      <c r="AQ640" s="0" t="s">
        <v>3402</v>
      </c>
      <c r="AR640" s="0" t="s">
        <v>475</v>
      </c>
      <c r="AS640" s="0">
        <v>66</v>
      </c>
      <c r="AT640" s="0">
        <v>138</v>
      </c>
      <c r="AU640" s="0">
        <v>165</v>
      </c>
      <c r="AV640" s="0" t="s">
        <v>332</v>
      </c>
      <c r="AW640" s="0" t="s">
        <v>332</v>
      </c>
      <c r="AX640" s="0" t="s">
        <v>781</v>
      </c>
      <c r="AY640" s="0" t="s">
        <v>627</v>
      </c>
      <c r="AZ640" s="0" t="s">
        <v>3367</v>
      </c>
      <c r="BA640" s="0">
        <v>500</v>
      </c>
      <c r="BB640" s="0" t="s">
        <v>232</v>
      </c>
      <c r="BC640" s="0">
        <v>3</v>
      </c>
      <c r="BD640" s="0">
        <v>14</v>
      </c>
      <c r="BE640" s="0">
        <v>364</v>
      </c>
      <c r="BF640" s="0">
        <v>2</v>
      </c>
      <c r="BG640" s="0" t="s">
        <v>5059</v>
      </c>
      <c r="BI640" s="0">
        <v>779</v>
      </c>
      <c r="BK640" s="0" t="s">
        <v>5060</v>
      </c>
    </row>
    <row r="641">
      <c r="A641" s="0">
        <v>5356</v>
      </c>
      <c r="B641" s="0" t="s">
        <v>5061</v>
      </c>
      <c r="E641" s="0" t="s">
        <v>5062</v>
      </c>
      <c r="F641" s="0">
        <v>1</v>
      </c>
      <c r="G641" s="0" t="s">
        <v>555</v>
      </c>
      <c r="H641" s="0" t="s">
        <v>593</v>
      </c>
      <c r="I641" s="0" t="s">
        <v>5051</v>
      </c>
      <c r="J641" s="0" t="s">
        <v>508</v>
      </c>
      <c r="K641" s="0" t="s">
        <v>1190</v>
      </c>
      <c r="L641" s="0" t="s">
        <v>5063</v>
      </c>
      <c r="M641" s="0" t="s">
        <v>400</v>
      </c>
      <c r="N641" s="0" t="s">
        <v>1190</v>
      </c>
      <c r="O641" s="0" t="s">
        <v>469</v>
      </c>
      <c r="P641" s="0" t="s">
        <v>323</v>
      </c>
      <c r="Q641" s="0" t="s">
        <v>323</v>
      </c>
      <c r="T641" s="0" t="s">
        <v>5064</v>
      </c>
      <c r="X641" s="0" t="s">
        <v>1116</v>
      </c>
      <c r="Y641" s="0" t="s">
        <v>80</v>
      </c>
      <c r="Z641" s="0" t="s">
        <v>3178</v>
      </c>
      <c r="AA641" s="0" t="s">
        <v>215</v>
      </c>
      <c r="AB641" s="0" t="s">
        <v>531</v>
      </c>
      <c r="AC641" s="0" t="s">
        <v>532</v>
      </c>
      <c r="AE641" s="0" t="s">
        <v>4932</v>
      </c>
      <c r="AF641" s="0" t="s">
        <v>1688</v>
      </c>
      <c r="AP641" s="0" t="s">
        <v>305</v>
      </c>
      <c r="BA641" s="0">
        <v>500</v>
      </c>
      <c r="BB641" s="0" t="s">
        <v>232</v>
      </c>
      <c r="BC641" s="0">
        <v>3</v>
      </c>
      <c r="BE641" s="0">
        <v>364</v>
      </c>
      <c r="BF641" s="0">
        <v>1</v>
      </c>
      <c r="BG641" s="0" t="s">
        <v>5065</v>
      </c>
      <c r="BI641" s="0">
        <v>4570</v>
      </c>
      <c r="BK641" s="0" t="s">
        <v>5066</v>
      </c>
    </row>
    <row r="642">
      <c r="A642" s="0">
        <v>5274</v>
      </c>
      <c r="B642" s="0" t="s">
        <v>5067</v>
      </c>
      <c r="C642" s="0" t="s">
        <v>315</v>
      </c>
      <c r="D642" s="0" t="s">
        <v>1376</v>
      </c>
      <c r="E642" s="0" t="s">
        <v>5068</v>
      </c>
      <c r="F642" s="0">
        <v>1</v>
      </c>
      <c r="G642" s="0" t="s">
        <v>293</v>
      </c>
      <c r="H642" s="0" t="s">
        <v>3113</v>
      </c>
      <c r="I642" s="0" t="s">
        <v>3249</v>
      </c>
      <c r="J642" s="0" t="s">
        <v>594</v>
      </c>
      <c r="K642" s="0" t="s">
        <v>1190</v>
      </c>
      <c r="L642" s="0" t="s">
        <v>3174</v>
      </c>
      <c r="P642" s="0" t="s">
        <v>343</v>
      </c>
      <c r="Q642" s="0" t="s">
        <v>343</v>
      </c>
      <c r="R642" s="0" t="s">
        <v>343</v>
      </c>
      <c r="T642" s="0" t="s">
        <v>5069</v>
      </c>
      <c r="U642" s="0" t="s">
        <v>5070</v>
      </c>
      <c r="V642" s="0" t="s">
        <v>3252</v>
      </c>
      <c r="X642" s="0" t="s">
        <v>529</v>
      </c>
      <c r="Y642" s="0" t="s">
        <v>80</v>
      </c>
      <c r="Z642" s="0" t="s">
        <v>3178</v>
      </c>
      <c r="AA642" s="0" t="s">
        <v>215</v>
      </c>
      <c r="AB642" s="0" t="s">
        <v>531</v>
      </c>
      <c r="AC642" s="0" t="s">
        <v>532</v>
      </c>
      <c r="AE642" s="0" t="s">
        <v>4932</v>
      </c>
      <c r="AF642" s="0" t="s">
        <v>1688</v>
      </c>
      <c r="AP642" s="0" t="s">
        <v>305</v>
      </c>
      <c r="BA642" s="0">
        <v>500</v>
      </c>
      <c r="BB642" s="0" t="s">
        <v>232</v>
      </c>
      <c r="BC642" s="0">
        <v>3</v>
      </c>
      <c r="BD642" s="0">
        <v>374043</v>
      </c>
      <c r="BE642" s="0">
        <v>364</v>
      </c>
      <c r="BF642" s="0">
        <v>2</v>
      </c>
      <c r="BG642" s="0" t="s">
        <v>5071</v>
      </c>
      <c r="BI642" s="0">
        <v>2376</v>
      </c>
      <c r="BK642" s="0" t="s">
        <v>5072</v>
      </c>
    </row>
    <row r="643">
      <c r="A643" s="0">
        <v>5275</v>
      </c>
      <c r="B643" s="0" t="s">
        <v>5073</v>
      </c>
      <c r="C643" s="0" t="s">
        <v>315</v>
      </c>
      <c r="D643" s="0" t="s">
        <v>1376</v>
      </c>
      <c r="E643" s="0" t="s">
        <v>5074</v>
      </c>
      <c r="F643" s="0">
        <v>1</v>
      </c>
      <c r="G643" s="0" t="s">
        <v>293</v>
      </c>
      <c r="H643" s="0" t="s">
        <v>3113</v>
      </c>
      <c r="I643" s="0" t="s">
        <v>3249</v>
      </c>
      <c r="J643" s="0" t="s">
        <v>594</v>
      </c>
      <c r="K643" s="0" t="s">
        <v>1190</v>
      </c>
      <c r="L643" s="0" t="s">
        <v>3174</v>
      </c>
      <c r="P643" s="0" t="s">
        <v>343</v>
      </c>
      <c r="Q643" s="0" t="s">
        <v>343</v>
      </c>
      <c r="R643" s="0" t="s">
        <v>343</v>
      </c>
      <c r="T643" s="0" t="s">
        <v>5075</v>
      </c>
      <c r="U643" s="0" t="s">
        <v>5076</v>
      </c>
      <c r="V643" s="0" t="s">
        <v>3252</v>
      </c>
      <c r="X643" s="0" t="s">
        <v>529</v>
      </c>
      <c r="Y643" s="0" t="s">
        <v>80</v>
      </c>
      <c r="Z643" s="0" t="s">
        <v>3178</v>
      </c>
      <c r="AA643" s="0" t="s">
        <v>215</v>
      </c>
      <c r="AB643" s="0" t="s">
        <v>531</v>
      </c>
      <c r="AC643" s="0" t="s">
        <v>532</v>
      </c>
      <c r="AE643" s="0" t="s">
        <v>4932</v>
      </c>
      <c r="AF643" s="0" t="s">
        <v>1688</v>
      </c>
      <c r="AP643" s="0" t="s">
        <v>305</v>
      </c>
      <c r="BA643" s="0">
        <v>500</v>
      </c>
      <c r="BB643" s="0" t="s">
        <v>232</v>
      </c>
      <c r="BC643" s="0">
        <v>3</v>
      </c>
      <c r="BD643" s="0">
        <v>374043</v>
      </c>
      <c r="BE643" s="0">
        <v>364</v>
      </c>
      <c r="BF643" s="0">
        <v>2</v>
      </c>
      <c r="BG643" s="0" t="s">
        <v>5077</v>
      </c>
      <c r="BI643" s="0">
        <v>2573</v>
      </c>
      <c r="BK643" s="0" t="s">
        <v>5078</v>
      </c>
    </row>
    <row r="644">
      <c r="A644" s="0">
        <v>5286</v>
      </c>
      <c r="B644" s="0" t="s">
        <v>5079</v>
      </c>
      <c r="C644" s="0" t="s">
        <v>2620</v>
      </c>
      <c r="D644" s="0" t="s">
        <v>1376</v>
      </c>
      <c r="E644" s="0" t="s">
        <v>5080</v>
      </c>
      <c r="F644" s="0">
        <v>1</v>
      </c>
      <c r="G644" s="0" t="s">
        <v>5081</v>
      </c>
      <c r="H644" s="0" t="s">
        <v>1190</v>
      </c>
      <c r="I644" s="0" t="s">
        <v>2947</v>
      </c>
      <c r="J644" s="0" t="s">
        <v>555</v>
      </c>
      <c r="K644" s="0" t="s">
        <v>593</v>
      </c>
      <c r="L644" s="0" t="s">
        <v>2947</v>
      </c>
      <c r="P644" s="0" t="s">
        <v>323</v>
      </c>
      <c r="Q644" s="0" t="s">
        <v>323</v>
      </c>
      <c r="R644" s="0" t="s">
        <v>1253</v>
      </c>
      <c r="T644" s="0" t="s">
        <v>5082</v>
      </c>
      <c r="X644" s="0" t="s">
        <v>529</v>
      </c>
      <c r="Y644" s="0" t="s">
        <v>80</v>
      </c>
      <c r="Z644" s="0" t="s">
        <v>3178</v>
      </c>
      <c r="AA644" s="0" t="s">
        <v>215</v>
      </c>
      <c r="AB644" s="0" t="s">
        <v>531</v>
      </c>
      <c r="AC644" s="0" t="s">
        <v>532</v>
      </c>
      <c r="AE644" s="0" t="s">
        <v>4932</v>
      </c>
      <c r="AF644" s="0" t="s">
        <v>1688</v>
      </c>
      <c r="AP644" s="0" t="s">
        <v>305</v>
      </c>
      <c r="BA644" s="0">
        <v>500</v>
      </c>
      <c r="BB644" s="0" t="s">
        <v>232</v>
      </c>
      <c r="BC644" s="0">
        <v>3</v>
      </c>
      <c r="BD644" s="0">
        <v>34</v>
      </c>
      <c r="BE644" s="0">
        <v>364</v>
      </c>
      <c r="BF644" s="0">
        <v>2</v>
      </c>
      <c r="BG644" s="0" t="s">
        <v>5083</v>
      </c>
      <c r="BI644" s="0">
        <v>4000</v>
      </c>
      <c r="BK644" s="0" t="s">
        <v>5084</v>
      </c>
    </row>
    <row r="645">
      <c r="A645" s="0">
        <v>5273</v>
      </c>
      <c r="B645" s="0" t="s">
        <v>5085</v>
      </c>
      <c r="C645" s="0" t="s">
        <v>315</v>
      </c>
      <c r="D645" s="0" t="s">
        <v>1376</v>
      </c>
      <c r="E645" s="0" t="s">
        <v>5086</v>
      </c>
      <c r="F645" s="0">
        <v>1</v>
      </c>
      <c r="G645" s="0" t="s">
        <v>319</v>
      </c>
      <c r="H645" s="0" t="s">
        <v>483</v>
      </c>
      <c r="I645" s="0" t="s">
        <v>524</v>
      </c>
      <c r="J645" s="0" t="s">
        <v>293</v>
      </c>
      <c r="K645" s="0" t="s">
        <v>294</v>
      </c>
      <c r="L645" s="0" t="s">
        <v>918</v>
      </c>
      <c r="P645" s="0" t="s">
        <v>343</v>
      </c>
      <c r="Q645" s="0" t="s">
        <v>343</v>
      </c>
      <c r="R645" s="0" t="s">
        <v>343</v>
      </c>
      <c r="T645" s="0" t="s">
        <v>5087</v>
      </c>
      <c r="U645" s="0" t="s">
        <v>5088</v>
      </c>
      <c r="X645" s="0" t="s">
        <v>529</v>
      </c>
      <c r="Y645" s="0" t="s">
        <v>80</v>
      </c>
      <c r="Z645" s="0" t="s">
        <v>3178</v>
      </c>
      <c r="AA645" s="0" t="s">
        <v>215</v>
      </c>
      <c r="AB645" s="0" t="s">
        <v>531</v>
      </c>
      <c r="AC645" s="0" t="s">
        <v>532</v>
      </c>
      <c r="AE645" s="0" t="s">
        <v>4932</v>
      </c>
      <c r="AF645" s="0" t="s">
        <v>1688</v>
      </c>
      <c r="AP645" s="0" t="s">
        <v>305</v>
      </c>
      <c r="BA645" s="0">
        <v>500</v>
      </c>
      <c r="BB645" s="0" t="s">
        <v>232</v>
      </c>
      <c r="BC645" s="0">
        <v>3</v>
      </c>
      <c r="BD645" s="0">
        <v>374043</v>
      </c>
      <c r="BE645" s="0">
        <v>364</v>
      </c>
      <c r="BF645" s="0">
        <v>2</v>
      </c>
      <c r="BG645" s="0" t="s">
        <v>5089</v>
      </c>
      <c r="BI645" s="0">
        <v>2160</v>
      </c>
      <c r="BK645" s="0" t="s">
        <v>5090</v>
      </c>
    </row>
    <row r="646">
      <c r="A646" s="0">
        <v>5296</v>
      </c>
      <c r="B646" s="0" t="s">
        <v>5091</v>
      </c>
      <c r="C646" s="0" t="s">
        <v>1855</v>
      </c>
      <c r="D646" s="0" t="s">
        <v>1376</v>
      </c>
      <c r="E646" s="0" t="s">
        <v>5092</v>
      </c>
      <c r="F646" s="0">
        <v>1</v>
      </c>
      <c r="G646" s="0" t="s">
        <v>293</v>
      </c>
      <c r="H646" s="0" t="s">
        <v>294</v>
      </c>
      <c r="I646" s="0" t="s">
        <v>295</v>
      </c>
      <c r="J646" s="0" t="s">
        <v>400</v>
      </c>
      <c r="K646" s="0" t="s">
        <v>1190</v>
      </c>
      <c r="L646" s="0" t="s">
        <v>469</v>
      </c>
      <c r="P646" s="0" t="s">
        <v>343</v>
      </c>
      <c r="Q646" s="0" t="s">
        <v>343</v>
      </c>
      <c r="R646" s="0" t="s">
        <v>343</v>
      </c>
      <c r="T646" s="0" t="s">
        <v>5093</v>
      </c>
      <c r="U646" s="0" t="s">
        <v>5094</v>
      </c>
      <c r="X646" s="0" t="s">
        <v>347</v>
      </c>
      <c r="Y646" s="0" t="s">
        <v>80</v>
      </c>
      <c r="Z646" s="0" t="s">
        <v>3178</v>
      </c>
      <c r="AA646" s="0" t="s">
        <v>215</v>
      </c>
      <c r="AB646" s="0" t="s">
        <v>531</v>
      </c>
      <c r="AC646" s="0" t="s">
        <v>532</v>
      </c>
      <c r="AE646" s="0" t="s">
        <v>4932</v>
      </c>
      <c r="AF646" s="0" t="s">
        <v>1688</v>
      </c>
      <c r="AP646" s="0" t="s">
        <v>305</v>
      </c>
      <c r="BA646" s="0">
        <v>500</v>
      </c>
      <c r="BB646" s="0" t="s">
        <v>232</v>
      </c>
      <c r="BC646" s="0">
        <v>3</v>
      </c>
      <c r="BD646" s="0">
        <v>28</v>
      </c>
      <c r="BE646" s="0">
        <v>364</v>
      </c>
      <c r="BF646" s="0">
        <v>4</v>
      </c>
      <c r="BG646" s="0" t="s">
        <v>5095</v>
      </c>
      <c r="BI646" s="0">
        <v>4558</v>
      </c>
      <c r="BK646" s="0" t="s">
        <v>5096</v>
      </c>
    </row>
    <row r="647">
      <c r="A647" s="0">
        <v>5270</v>
      </c>
      <c r="B647" s="0" t="s">
        <v>5097</v>
      </c>
      <c r="C647" s="0" t="s">
        <v>315</v>
      </c>
      <c r="D647" s="0" t="s">
        <v>1376</v>
      </c>
      <c r="E647" s="0" t="s">
        <v>3457</v>
      </c>
      <c r="F647" s="0">
        <v>1</v>
      </c>
      <c r="G647" s="0" t="s">
        <v>594</v>
      </c>
      <c r="H647" s="0" t="s">
        <v>1190</v>
      </c>
      <c r="I647" s="0" t="s">
        <v>3174</v>
      </c>
      <c r="J647" s="0" t="s">
        <v>293</v>
      </c>
      <c r="K647" s="0" t="s">
        <v>3113</v>
      </c>
      <c r="L647" s="0" t="s">
        <v>3249</v>
      </c>
      <c r="P647" s="0" t="s">
        <v>343</v>
      </c>
      <c r="Q647" s="0" t="s">
        <v>343</v>
      </c>
      <c r="R647" s="0" t="s">
        <v>343</v>
      </c>
      <c r="T647" s="0" t="s">
        <v>5098</v>
      </c>
      <c r="U647" s="0" t="s">
        <v>5099</v>
      </c>
      <c r="V647" s="0" t="s">
        <v>3252</v>
      </c>
      <c r="X647" s="0" t="s">
        <v>529</v>
      </c>
      <c r="Y647" s="0" t="s">
        <v>80</v>
      </c>
      <c r="Z647" s="0" t="s">
        <v>3178</v>
      </c>
      <c r="AA647" s="0" t="s">
        <v>215</v>
      </c>
      <c r="AB647" s="0" t="s">
        <v>531</v>
      </c>
      <c r="AC647" s="0" t="s">
        <v>532</v>
      </c>
      <c r="AE647" s="0" t="s">
        <v>4932</v>
      </c>
      <c r="AF647" s="0" t="s">
        <v>1688</v>
      </c>
      <c r="AP647" s="0" t="s">
        <v>305</v>
      </c>
      <c r="BA647" s="0">
        <v>500</v>
      </c>
      <c r="BB647" s="0" t="s">
        <v>232</v>
      </c>
      <c r="BC647" s="0">
        <v>3</v>
      </c>
      <c r="BD647" s="0">
        <v>374043</v>
      </c>
      <c r="BE647" s="0">
        <v>364</v>
      </c>
      <c r="BF647" s="0">
        <v>2</v>
      </c>
      <c r="BG647" s="0" t="s">
        <v>5100</v>
      </c>
      <c r="BI647" s="0">
        <v>1417</v>
      </c>
      <c r="BK647" s="0" t="s">
        <v>5101</v>
      </c>
    </row>
    <row r="648">
      <c r="A648" s="0">
        <v>5301</v>
      </c>
      <c r="B648" s="0" t="s">
        <v>5102</v>
      </c>
      <c r="C648" s="0" t="s">
        <v>656</v>
      </c>
      <c r="D648" s="0" t="s">
        <v>4455</v>
      </c>
      <c r="E648" s="0" t="s">
        <v>2848</v>
      </c>
      <c r="F648" s="0">
        <v>2</v>
      </c>
      <c r="G648" s="0" t="s">
        <v>293</v>
      </c>
      <c r="H648" s="0" t="s">
        <v>294</v>
      </c>
      <c r="I648" s="0" t="s">
        <v>295</v>
      </c>
      <c r="P648" s="0" t="s">
        <v>323</v>
      </c>
      <c r="Q648" s="0" t="s">
        <v>323</v>
      </c>
      <c r="R648" s="0" t="s">
        <v>344</v>
      </c>
      <c r="T648" s="0" t="s">
        <v>5103</v>
      </c>
      <c r="U648" s="0" t="s">
        <v>5104</v>
      </c>
      <c r="W648" s="0" t="s">
        <v>4455</v>
      </c>
      <c r="X648" s="0" t="s">
        <v>347</v>
      </c>
      <c r="Y648" s="0" t="s">
        <v>142</v>
      </c>
      <c r="Z648" s="0" t="s">
        <v>2844</v>
      </c>
      <c r="AA648" s="0" t="s">
        <v>155</v>
      </c>
      <c r="AB648" s="0" t="s">
        <v>531</v>
      </c>
      <c r="AC648" s="0" t="s">
        <v>532</v>
      </c>
      <c r="AE648" s="0" t="s">
        <v>5105</v>
      </c>
      <c r="AF648" s="0" t="s">
        <v>301</v>
      </c>
      <c r="AM648" s="0" t="s">
        <v>3797</v>
      </c>
      <c r="AN648" s="0" t="s">
        <v>3798</v>
      </c>
      <c r="AO648" s="0" t="s">
        <v>5106</v>
      </c>
      <c r="AP648" s="0" t="s">
        <v>305</v>
      </c>
      <c r="AQ648" s="0" t="s">
        <v>2853</v>
      </c>
      <c r="AR648" s="0" t="s">
        <v>2854</v>
      </c>
      <c r="AU648" s="0">
        <v>47</v>
      </c>
      <c r="AV648" s="0" t="s">
        <v>3800</v>
      </c>
      <c r="AW648" s="0" t="s">
        <v>331</v>
      </c>
      <c r="AX648" s="0" t="s">
        <v>5107</v>
      </c>
      <c r="AY648" s="0" t="s">
        <v>5108</v>
      </c>
      <c r="AZ648" s="0" t="s">
        <v>5109</v>
      </c>
      <c r="BA648" s="0">
        <v>501</v>
      </c>
      <c r="BB648" s="0" t="s">
        <v>232</v>
      </c>
      <c r="BC648" s="0">
        <v>2</v>
      </c>
      <c r="BD648" s="0">
        <v>10</v>
      </c>
      <c r="BE648" s="0">
        <v>2562</v>
      </c>
      <c r="BF648" s="0">
        <v>4</v>
      </c>
      <c r="BG648" s="0" t="s">
        <v>5110</v>
      </c>
      <c r="BI648" s="0">
        <v>391</v>
      </c>
      <c r="BK648" s="0" t="s">
        <v>5111</v>
      </c>
    </row>
    <row r="649">
      <c r="A649" s="0">
        <v>5316</v>
      </c>
      <c r="B649" s="0" t="s">
        <v>5112</v>
      </c>
      <c r="C649" s="0" t="s">
        <v>579</v>
      </c>
      <c r="D649" s="0" t="s">
        <v>4455</v>
      </c>
      <c r="E649" s="0" t="s">
        <v>5113</v>
      </c>
      <c r="F649" s="0">
        <v>2</v>
      </c>
      <c r="G649" s="0" t="s">
        <v>293</v>
      </c>
      <c r="H649" s="0" t="s">
        <v>294</v>
      </c>
      <c r="I649" s="0" t="s">
        <v>295</v>
      </c>
      <c r="J649" s="0" t="s">
        <v>3805</v>
      </c>
      <c r="L649" s="0" t="s">
        <v>583</v>
      </c>
      <c r="T649" s="0" t="s">
        <v>5114</v>
      </c>
      <c r="U649" s="0" t="s">
        <v>5115</v>
      </c>
      <c r="W649" s="0" t="s">
        <v>4455</v>
      </c>
      <c r="X649" s="0" t="s">
        <v>347</v>
      </c>
      <c r="Y649" s="0" t="s">
        <v>142</v>
      </c>
      <c r="Z649" s="0" t="s">
        <v>2844</v>
      </c>
      <c r="AA649" s="0" t="s">
        <v>155</v>
      </c>
      <c r="AB649" s="0" t="s">
        <v>531</v>
      </c>
      <c r="AC649" s="0" t="s">
        <v>532</v>
      </c>
      <c r="AE649" s="0" t="s">
        <v>5105</v>
      </c>
      <c r="AF649" s="0" t="s">
        <v>301</v>
      </c>
      <c r="AP649" s="0" t="s">
        <v>305</v>
      </c>
      <c r="BA649" s="0">
        <v>501</v>
      </c>
      <c r="BB649" s="0" t="s">
        <v>232</v>
      </c>
      <c r="BC649" s="0">
        <v>2</v>
      </c>
      <c r="BD649" s="0">
        <v>374046</v>
      </c>
      <c r="BE649" s="0">
        <v>2562</v>
      </c>
      <c r="BF649" s="0">
        <v>4</v>
      </c>
      <c r="BG649" s="0" t="s">
        <v>5116</v>
      </c>
      <c r="BI649" s="0">
        <v>2169</v>
      </c>
      <c r="BK649" s="0" t="s">
        <v>5117</v>
      </c>
    </row>
    <row r="650">
      <c r="A650" s="0">
        <v>5309</v>
      </c>
      <c r="B650" s="0" t="s">
        <v>5118</v>
      </c>
      <c r="C650" s="0" t="s">
        <v>579</v>
      </c>
      <c r="D650" s="0" t="s">
        <v>4455</v>
      </c>
      <c r="E650" s="0" t="s">
        <v>5119</v>
      </c>
      <c r="F650" s="0">
        <v>2</v>
      </c>
      <c r="G650" s="0" t="s">
        <v>293</v>
      </c>
      <c r="H650" s="0" t="s">
        <v>294</v>
      </c>
      <c r="I650" s="0" t="s">
        <v>295</v>
      </c>
      <c r="J650" s="0" t="s">
        <v>3805</v>
      </c>
      <c r="L650" s="0" t="s">
        <v>583</v>
      </c>
      <c r="T650" s="0" t="s">
        <v>5120</v>
      </c>
      <c r="W650" s="0" t="s">
        <v>4455</v>
      </c>
      <c r="X650" s="0" t="s">
        <v>529</v>
      </c>
      <c r="Y650" s="0" t="s">
        <v>142</v>
      </c>
      <c r="Z650" s="0" t="s">
        <v>2844</v>
      </c>
      <c r="AA650" s="0" t="s">
        <v>155</v>
      </c>
      <c r="AB650" s="0" t="s">
        <v>531</v>
      </c>
      <c r="AC650" s="0" t="s">
        <v>532</v>
      </c>
      <c r="AE650" s="0" t="s">
        <v>5105</v>
      </c>
      <c r="AF650" s="0" t="s">
        <v>301</v>
      </c>
      <c r="AP650" s="0" t="s">
        <v>305</v>
      </c>
      <c r="BA650" s="0">
        <v>501</v>
      </c>
      <c r="BB650" s="0" t="s">
        <v>232</v>
      </c>
      <c r="BC650" s="0">
        <v>2</v>
      </c>
      <c r="BD650" s="0">
        <v>374046</v>
      </c>
      <c r="BE650" s="0">
        <v>2562</v>
      </c>
      <c r="BF650" s="0">
        <v>2</v>
      </c>
      <c r="BG650" s="0" t="s">
        <v>5121</v>
      </c>
      <c r="BI650" s="0">
        <v>3246</v>
      </c>
      <c r="BK650" s="0" t="s">
        <v>5122</v>
      </c>
    </row>
    <row r="651">
      <c r="A651" s="0">
        <v>5373</v>
      </c>
      <c r="B651" s="0" t="s">
        <v>5123</v>
      </c>
      <c r="C651" s="0" t="s">
        <v>656</v>
      </c>
      <c r="D651" s="0" t="s">
        <v>4455</v>
      </c>
      <c r="E651" s="0" t="s">
        <v>2876</v>
      </c>
      <c r="F651" s="0">
        <v>2</v>
      </c>
      <c r="G651" s="0" t="s">
        <v>293</v>
      </c>
      <c r="H651" s="0" t="s">
        <v>294</v>
      </c>
      <c r="I651" s="0" t="s">
        <v>295</v>
      </c>
      <c r="P651" s="0" t="s">
        <v>4762</v>
      </c>
      <c r="R651" s="0" t="s">
        <v>344</v>
      </c>
      <c r="T651" s="0" t="s">
        <v>5124</v>
      </c>
      <c r="U651" s="0" t="s">
        <v>5125</v>
      </c>
      <c r="W651" s="0" t="s">
        <v>4455</v>
      </c>
      <c r="X651" s="0" t="s">
        <v>347</v>
      </c>
      <c r="Y651" s="0" t="s">
        <v>142</v>
      </c>
      <c r="Z651" s="0" t="s">
        <v>2844</v>
      </c>
      <c r="AA651" s="0" t="s">
        <v>155</v>
      </c>
      <c r="AB651" s="0" t="s">
        <v>531</v>
      </c>
      <c r="AC651" s="0" t="s">
        <v>532</v>
      </c>
      <c r="AE651" s="0" t="s">
        <v>5105</v>
      </c>
      <c r="AF651" s="0" t="s">
        <v>301</v>
      </c>
      <c r="AM651" s="0" t="s">
        <v>608</v>
      </c>
      <c r="AN651" s="0" t="s">
        <v>608</v>
      </c>
      <c r="AO651" s="0" t="s">
        <v>2879</v>
      </c>
      <c r="AP651" s="0" t="s">
        <v>305</v>
      </c>
      <c r="AQ651" s="0" t="s">
        <v>423</v>
      </c>
      <c r="AR651" s="0" t="s">
        <v>1012</v>
      </c>
      <c r="AU651" s="0">
        <v>570</v>
      </c>
      <c r="AV651" s="0" t="s">
        <v>332</v>
      </c>
      <c r="AX651" s="0" t="s">
        <v>1066</v>
      </c>
      <c r="AY651" s="0" t="s">
        <v>367</v>
      </c>
      <c r="AZ651" s="0" t="s">
        <v>390</v>
      </c>
      <c r="BA651" s="0">
        <v>501</v>
      </c>
      <c r="BB651" s="0" t="s">
        <v>232</v>
      </c>
      <c r="BC651" s="0">
        <v>2</v>
      </c>
      <c r="BD651" s="0">
        <v>10</v>
      </c>
      <c r="BE651" s="0">
        <v>2562</v>
      </c>
      <c r="BF651" s="0">
        <v>4</v>
      </c>
      <c r="BG651" s="0" t="s">
        <v>5126</v>
      </c>
      <c r="BI651" s="0">
        <v>2382</v>
      </c>
      <c r="BK651" s="0" t="s">
        <v>5127</v>
      </c>
    </row>
    <row r="652">
      <c r="A652" s="0">
        <v>5307</v>
      </c>
      <c r="B652" s="0" t="s">
        <v>5128</v>
      </c>
      <c r="C652" s="0" t="s">
        <v>290</v>
      </c>
      <c r="D652" s="0" t="s">
        <v>4455</v>
      </c>
      <c r="E652" s="0" t="s">
        <v>2893</v>
      </c>
      <c r="F652" s="0">
        <v>2</v>
      </c>
      <c r="G652" s="0" t="s">
        <v>525</v>
      </c>
      <c r="H652" s="0" t="s">
        <v>508</v>
      </c>
      <c r="I652" s="0" t="s">
        <v>469</v>
      </c>
      <c r="J652" s="0" t="s">
        <v>293</v>
      </c>
      <c r="K652" s="0" t="s">
        <v>294</v>
      </c>
      <c r="L652" s="0" t="s">
        <v>295</v>
      </c>
      <c r="P652" s="0" t="s">
        <v>323</v>
      </c>
      <c r="Q652" s="0" t="s">
        <v>323</v>
      </c>
      <c r="R652" s="0" t="s">
        <v>3836</v>
      </c>
      <c r="T652" s="0" t="s">
        <v>5129</v>
      </c>
      <c r="U652" s="0" t="s">
        <v>5130</v>
      </c>
      <c r="W652" s="0" t="s">
        <v>4455</v>
      </c>
      <c r="X652" s="0" t="s">
        <v>347</v>
      </c>
      <c r="Y652" s="0" t="s">
        <v>142</v>
      </c>
      <c r="Z652" s="0" t="s">
        <v>2844</v>
      </c>
      <c r="AA652" s="0" t="s">
        <v>155</v>
      </c>
      <c r="AB652" s="0" t="s">
        <v>531</v>
      </c>
      <c r="AC652" s="0" t="s">
        <v>532</v>
      </c>
      <c r="AE652" s="0" t="s">
        <v>5105</v>
      </c>
      <c r="AF652" s="0" t="s">
        <v>301</v>
      </c>
      <c r="AP652" s="0" t="s">
        <v>305</v>
      </c>
      <c r="BA652" s="0">
        <v>501</v>
      </c>
      <c r="BB652" s="0" t="s">
        <v>232</v>
      </c>
      <c r="BC652" s="0">
        <v>2</v>
      </c>
      <c r="BD652" s="0">
        <v>374053</v>
      </c>
      <c r="BE652" s="0">
        <v>2562</v>
      </c>
      <c r="BF652" s="0">
        <v>4</v>
      </c>
      <c r="BG652" s="0" t="s">
        <v>5131</v>
      </c>
      <c r="BI652" s="0">
        <v>2930</v>
      </c>
      <c r="BK652" s="0" t="s">
        <v>5132</v>
      </c>
    </row>
    <row r="653">
      <c r="A653" s="0">
        <v>5375</v>
      </c>
      <c r="B653" s="0" t="s">
        <v>5133</v>
      </c>
      <c r="C653" s="0" t="s">
        <v>290</v>
      </c>
      <c r="D653" s="0" t="s">
        <v>4455</v>
      </c>
      <c r="E653" s="0" t="s">
        <v>5134</v>
      </c>
      <c r="F653" s="0">
        <v>2</v>
      </c>
      <c r="G653" s="0" t="s">
        <v>293</v>
      </c>
      <c r="H653" s="0" t="s">
        <v>294</v>
      </c>
      <c r="I653" s="0" t="s">
        <v>295</v>
      </c>
      <c r="U653" s="0" t="s">
        <v>5135</v>
      </c>
      <c r="W653" s="0" t="s">
        <v>4455</v>
      </c>
      <c r="X653" s="0" t="s">
        <v>347</v>
      </c>
      <c r="Y653" s="0" t="s">
        <v>142</v>
      </c>
      <c r="Z653" s="0" t="s">
        <v>2844</v>
      </c>
      <c r="AA653" s="0" t="s">
        <v>155</v>
      </c>
      <c r="AB653" s="0" t="s">
        <v>531</v>
      </c>
      <c r="AC653" s="0" t="s">
        <v>532</v>
      </c>
      <c r="AE653" s="0" t="s">
        <v>5105</v>
      </c>
      <c r="AF653" s="0" t="s">
        <v>301</v>
      </c>
      <c r="AP653" s="0" t="s">
        <v>305</v>
      </c>
      <c r="BA653" s="0">
        <v>501</v>
      </c>
      <c r="BB653" s="0" t="s">
        <v>232</v>
      </c>
      <c r="BC653" s="0">
        <v>2</v>
      </c>
      <c r="BD653" s="0">
        <v>374053</v>
      </c>
      <c r="BE653" s="0">
        <v>2562</v>
      </c>
      <c r="BF653" s="0">
        <v>4</v>
      </c>
      <c r="BG653" s="0" t="s">
        <v>5136</v>
      </c>
      <c r="BI653" s="0">
        <v>2756</v>
      </c>
      <c r="BK653" s="0" t="s">
        <v>5137</v>
      </c>
    </row>
    <row r="654">
      <c r="A654" s="0">
        <v>5377</v>
      </c>
      <c r="B654" s="0" t="s">
        <v>5138</v>
      </c>
      <c r="C654" s="0" t="s">
        <v>339</v>
      </c>
      <c r="D654" s="0" t="s">
        <v>4455</v>
      </c>
      <c r="E654" s="0" t="s">
        <v>3842</v>
      </c>
      <c r="F654" s="0">
        <v>2</v>
      </c>
      <c r="G654" s="0" t="s">
        <v>319</v>
      </c>
      <c r="H654" s="0" t="s">
        <v>1540</v>
      </c>
      <c r="I654" s="0" t="s">
        <v>524</v>
      </c>
      <c r="K654" s="0" t="s">
        <v>508</v>
      </c>
      <c r="L654" s="0" t="s">
        <v>5139</v>
      </c>
      <c r="P654" s="0" t="s">
        <v>5140</v>
      </c>
      <c r="Q654" s="0" t="s">
        <v>5140</v>
      </c>
      <c r="R654" s="0" t="s">
        <v>1783</v>
      </c>
      <c r="T654" s="0" t="s">
        <v>5141</v>
      </c>
      <c r="U654" s="0" t="s">
        <v>5142</v>
      </c>
      <c r="W654" s="0" t="s">
        <v>4455</v>
      </c>
      <c r="X654" s="0" t="s">
        <v>347</v>
      </c>
      <c r="Y654" s="0" t="s">
        <v>142</v>
      </c>
      <c r="Z654" s="0" t="s">
        <v>2844</v>
      </c>
      <c r="AA654" s="0" t="s">
        <v>155</v>
      </c>
      <c r="AB654" s="0" t="s">
        <v>531</v>
      </c>
      <c r="AC654" s="0" t="s">
        <v>532</v>
      </c>
      <c r="AE654" s="0" t="s">
        <v>5105</v>
      </c>
      <c r="AF654" s="0" t="s">
        <v>301</v>
      </c>
      <c r="AM654" s="0" t="s">
        <v>964</v>
      </c>
      <c r="AN654" s="0" t="s">
        <v>3023</v>
      </c>
      <c r="AO654" s="0" t="s">
        <v>387</v>
      </c>
      <c r="AP654" s="0" t="s">
        <v>305</v>
      </c>
      <c r="AQ654" s="0" t="s">
        <v>882</v>
      </c>
      <c r="AR654" s="0" t="s">
        <v>2742</v>
      </c>
      <c r="AS654" s="0">
        <v>36</v>
      </c>
      <c r="AT654" s="0">
        <v>80</v>
      </c>
      <c r="AU654" s="0">
        <v>99</v>
      </c>
      <c r="AV654" s="0" t="s">
        <v>332</v>
      </c>
      <c r="AW654" s="0" t="s">
        <v>332</v>
      </c>
      <c r="AX654" s="0" t="s">
        <v>513</v>
      </c>
      <c r="AY654" s="0" t="s">
        <v>925</v>
      </c>
      <c r="AZ654" s="0" t="s">
        <v>598</v>
      </c>
      <c r="BA654" s="0">
        <v>501</v>
      </c>
      <c r="BB654" s="0" t="s">
        <v>232</v>
      </c>
      <c r="BC654" s="0">
        <v>2</v>
      </c>
      <c r="BD654" s="0">
        <v>8</v>
      </c>
      <c r="BE654" s="0">
        <v>2562</v>
      </c>
      <c r="BF654" s="0">
        <v>4</v>
      </c>
      <c r="BG654" s="0" t="s">
        <v>5143</v>
      </c>
      <c r="BI654" s="0">
        <v>3095</v>
      </c>
      <c r="BK654" s="0" t="s">
        <v>5144</v>
      </c>
    </row>
    <row r="655">
      <c r="A655" s="0">
        <v>5374</v>
      </c>
      <c r="B655" s="0" t="s">
        <v>5145</v>
      </c>
      <c r="C655" s="0" t="s">
        <v>339</v>
      </c>
      <c r="D655" s="0" t="s">
        <v>4455</v>
      </c>
      <c r="E655" s="0" t="s">
        <v>3848</v>
      </c>
      <c r="F655" s="0">
        <v>2</v>
      </c>
      <c r="G655" s="0" t="s">
        <v>508</v>
      </c>
      <c r="I655" s="0" t="s">
        <v>5139</v>
      </c>
      <c r="J655" s="0" t="s">
        <v>319</v>
      </c>
      <c r="K655" s="0" t="s">
        <v>523</v>
      </c>
      <c r="L655" s="0" t="s">
        <v>524</v>
      </c>
      <c r="P655" s="0" t="s">
        <v>323</v>
      </c>
      <c r="R655" s="0" t="s">
        <v>324</v>
      </c>
      <c r="T655" s="0" t="s">
        <v>5146</v>
      </c>
      <c r="U655" s="0" t="s">
        <v>5147</v>
      </c>
      <c r="W655" s="0" t="s">
        <v>4455</v>
      </c>
      <c r="X655" s="0" t="s">
        <v>347</v>
      </c>
      <c r="Y655" s="0" t="s">
        <v>142</v>
      </c>
      <c r="Z655" s="0" t="s">
        <v>2844</v>
      </c>
      <c r="AA655" s="0" t="s">
        <v>155</v>
      </c>
      <c r="AB655" s="0" t="s">
        <v>531</v>
      </c>
      <c r="AC655" s="0" t="s">
        <v>532</v>
      </c>
      <c r="AE655" s="0" t="s">
        <v>5105</v>
      </c>
      <c r="AF655" s="0" t="s">
        <v>301</v>
      </c>
      <c r="AM655" s="0" t="s">
        <v>964</v>
      </c>
      <c r="AN655" s="0" t="s">
        <v>1034</v>
      </c>
      <c r="AO655" s="0" t="s">
        <v>585</v>
      </c>
      <c r="AP655" s="0" t="s">
        <v>305</v>
      </c>
      <c r="AQ655" s="0" t="s">
        <v>5148</v>
      </c>
      <c r="AR655" s="0" t="s">
        <v>2307</v>
      </c>
      <c r="AS655" s="0">
        <v>35</v>
      </c>
      <c r="AT655" s="0">
        <v>71</v>
      </c>
      <c r="AU655" s="0">
        <v>76</v>
      </c>
      <c r="AV655" s="0" t="s">
        <v>332</v>
      </c>
      <c r="AW655" s="0" t="s">
        <v>332</v>
      </c>
      <c r="AX655" s="0" t="s">
        <v>513</v>
      </c>
      <c r="AY655" s="0" t="s">
        <v>610</v>
      </c>
      <c r="AZ655" s="0" t="s">
        <v>491</v>
      </c>
      <c r="BA655" s="0">
        <v>501</v>
      </c>
      <c r="BB655" s="0" t="s">
        <v>232</v>
      </c>
      <c r="BC655" s="0">
        <v>2</v>
      </c>
      <c r="BD655" s="0">
        <v>8</v>
      </c>
      <c r="BE655" s="0">
        <v>2562</v>
      </c>
      <c r="BF655" s="0">
        <v>4</v>
      </c>
      <c r="BG655" s="0" t="s">
        <v>5149</v>
      </c>
      <c r="BI655" s="0">
        <v>2580</v>
      </c>
      <c r="BK655" s="0" t="s">
        <v>5150</v>
      </c>
    </row>
    <row r="656">
      <c r="A656" s="0">
        <v>5317</v>
      </c>
      <c r="B656" s="0" t="s">
        <v>5151</v>
      </c>
      <c r="C656" s="0" t="s">
        <v>1139</v>
      </c>
      <c r="D656" s="0" t="s">
        <v>4455</v>
      </c>
      <c r="E656" s="0" t="s">
        <v>5152</v>
      </c>
      <c r="F656" s="0">
        <v>2</v>
      </c>
      <c r="G656" s="0" t="s">
        <v>293</v>
      </c>
      <c r="H656" s="0" t="s">
        <v>294</v>
      </c>
      <c r="I656" s="0" t="s">
        <v>295</v>
      </c>
      <c r="P656" s="0" t="s">
        <v>4762</v>
      </c>
      <c r="R656" s="0" t="s">
        <v>5153</v>
      </c>
      <c r="T656" s="0" t="s">
        <v>5154</v>
      </c>
      <c r="U656" s="0" t="s">
        <v>5155</v>
      </c>
      <c r="W656" s="0" t="s">
        <v>4455</v>
      </c>
      <c r="X656" s="0" t="s">
        <v>347</v>
      </c>
      <c r="Y656" s="0" t="s">
        <v>142</v>
      </c>
      <c r="Z656" s="0" t="s">
        <v>2844</v>
      </c>
      <c r="AA656" s="0" t="s">
        <v>155</v>
      </c>
      <c r="AB656" s="0" t="s">
        <v>531</v>
      </c>
      <c r="AC656" s="0" t="s">
        <v>532</v>
      </c>
      <c r="AE656" s="0" t="s">
        <v>5105</v>
      </c>
      <c r="AF656" s="0" t="s">
        <v>301</v>
      </c>
      <c r="AM656" s="0" t="s">
        <v>2726</v>
      </c>
      <c r="AN656" s="0" t="s">
        <v>517</v>
      </c>
      <c r="AO656" s="0" t="s">
        <v>474</v>
      </c>
      <c r="AP656" s="0" t="s">
        <v>305</v>
      </c>
      <c r="AQ656" s="0" t="s">
        <v>5156</v>
      </c>
      <c r="AR656" s="0" t="s">
        <v>1180</v>
      </c>
      <c r="AS656" s="0">
        <v>340</v>
      </c>
      <c r="AT656" s="0">
        <v>724</v>
      </c>
      <c r="AU656" s="0">
        <v>814</v>
      </c>
      <c r="AV656" s="0" t="s">
        <v>332</v>
      </c>
      <c r="AW656" s="0" t="s">
        <v>332</v>
      </c>
      <c r="AX656" s="0" t="s">
        <v>425</v>
      </c>
      <c r="AY656" s="0" t="s">
        <v>311</v>
      </c>
      <c r="AZ656" s="0" t="s">
        <v>2742</v>
      </c>
      <c r="BA656" s="0">
        <v>501</v>
      </c>
      <c r="BB656" s="0" t="s">
        <v>232</v>
      </c>
      <c r="BC656" s="0">
        <v>2</v>
      </c>
      <c r="BD656" s="0">
        <v>38030</v>
      </c>
      <c r="BE656" s="0">
        <v>2562</v>
      </c>
      <c r="BF656" s="0">
        <v>4</v>
      </c>
      <c r="BG656" s="0" t="s">
        <v>5157</v>
      </c>
      <c r="BI656" s="0">
        <v>2170</v>
      </c>
      <c r="BK656" s="0" t="s">
        <v>5158</v>
      </c>
    </row>
    <row r="657">
      <c r="A657" s="0">
        <v>5302</v>
      </c>
      <c r="B657" s="0" t="s">
        <v>5159</v>
      </c>
      <c r="C657" s="0" t="s">
        <v>315</v>
      </c>
      <c r="D657" s="0" t="s">
        <v>4455</v>
      </c>
      <c r="E657" s="0" t="s">
        <v>3859</v>
      </c>
      <c r="F657" s="0">
        <v>2</v>
      </c>
      <c r="G657" s="0" t="s">
        <v>319</v>
      </c>
      <c r="H657" s="0" t="s">
        <v>879</v>
      </c>
      <c r="I657" s="0" t="s">
        <v>471</v>
      </c>
      <c r="J657" s="0" t="s">
        <v>293</v>
      </c>
      <c r="K657" s="0" t="s">
        <v>294</v>
      </c>
      <c r="L657" s="0" t="s">
        <v>295</v>
      </c>
      <c r="M657" s="0" t="s">
        <v>525</v>
      </c>
      <c r="N657" s="0" t="s">
        <v>400</v>
      </c>
      <c r="T657" s="0" t="s">
        <v>5160</v>
      </c>
      <c r="U657" s="0" t="s">
        <v>5161</v>
      </c>
      <c r="W657" s="0" t="s">
        <v>4455</v>
      </c>
      <c r="X657" s="0" t="s">
        <v>347</v>
      </c>
      <c r="Y657" s="0" t="s">
        <v>142</v>
      </c>
      <c r="Z657" s="0" t="s">
        <v>2844</v>
      </c>
      <c r="AA657" s="0" t="s">
        <v>155</v>
      </c>
      <c r="AB657" s="0" t="s">
        <v>531</v>
      </c>
      <c r="AC657" s="0" t="s">
        <v>532</v>
      </c>
      <c r="AE657" s="0" t="s">
        <v>5105</v>
      </c>
      <c r="AF657" s="0" t="s">
        <v>301</v>
      </c>
      <c r="AP657" s="0" t="s">
        <v>305</v>
      </c>
      <c r="BA657" s="0">
        <v>501</v>
      </c>
      <c r="BB657" s="0" t="s">
        <v>232</v>
      </c>
      <c r="BC657" s="0">
        <v>2</v>
      </c>
      <c r="BD657" s="0">
        <v>374043</v>
      </c>
      <c r="BE657" s="0">
        <v>2562</v>
      </c>
      <c r="BF657" s="0">
        <v>4</v>
      </c>
      <c r="BG657" s="0" t="s">
        <v>5162</v>
      </c>
      <c r="BI657" s="0">
        <v>1429</v>
      </c>
      <c r="BK657" s="0" t="s">
        <v>5163</v>
      </c>
    </row>
    <row r="658">
      <c r="A658" s="0">
        <v>5311</v>
      </c>
      <c r="B658" s="0" t="s">
        <v>5164</v>
      </c>
      <c r="C658" s="0" t="s">
        <v>656</v>
      </c>
      <c r="D658" s="0" t="s">
        <v>4455</v>
      </c>
      <c r="E658" s="0" t="s">
        <v>2924</v>
      </c>
      <c r="F658" s="0">
        <v>2</v>
      </c>
      <c r="G658" s="0" t="s">
        <v>293</v>
      </c>
      <c r="H658" s="0" t="s">
        <v>294</v>
      </c>
      <c r="I658" s="0" t="s">
        <v>295</v>
      </c>
      <c r="P658" s="0" t="s">
        <v>323</v>
      </c>
      <c r="Q658" s="0" t="s">
        <v>323</v>
      </c>
      <c r="R658" s="0" t="s">
        <v>344</v>
      </c>
      <c r="T658" s="0" t="s">
        <v>5165</v>
      </c>
      <c r="U658" s="0" t="s">
        <v>5166</v>
      </c>
      <c r="W658" s="0" t="s">
        <v>4455</v>
      </c>
      <c r="X658" s="0" t="s">
        <v>347</v>
      </c>
      <c r="Y658" s="0" t="s">
        <v>142</v>
      </c>
      <c r="Z658" s="0" t="s">
        <v>2844</v>
      </c>
      <c r="AA658" s="0" t="s">
        <v>155</v>
      </c>
      <c r="AB658" s="0" t="s">
        <v>531</v>
      </c>
      <c r="AC658" s="0" t="s">
        <v>532</v>
      </c>
      <c r="AE658" s="0" t="s">
        <v>5105</v>
      </c>
      <c r="AF658" s="0" t="s">
        <v>301</v>
      </c>
      <c r="AM658" s="0" t="s">
        <v>2926</v>
      </c>
      <c r="AN658" s="0" t="s">
        <v>2927</v>
      </c>
      <c r="AO658" s="0" t="s">
        <v>2928</v>
      </c>
      <c r="AP658" s="0" t="s">
        <v>305</v>
      </c>
      <c r="AQ658" s="0" t="s">
        <v>2929</v>
      </c>
      <c r="AR658" s="0" t="s">
        <v>2930</v>
      </c>
      <c r="AU658" s="0">
        <v>60</v>
      </c>
      <c r="AV658" s="0" t="s">
        <v>895</v>
      </c>
      <c r="AW658" s="0" t="s">
        <v>1238</v>
      </c>
      <c r="AX658" s="0" t="s">
        <v>2931</v>
      </c>
      <c r="AY658" s="0" t="s">
        <v>5167</v>
      </c>
      <c r="AZ658" s="0" t="s">
        <v>2933</v>
      </c>
      <c r="BA658" s="0">
        <v>501</v>
      </c>
      <c r="BB658" s="0" t="s">
        <v>232</v>
      </c>
      <c r="BC658" s="0">
        <v>2</v>
      </c>
      <c r="BD658" s="0">
        <v>10</v>
      </c>
      <c r="BE658" s="0">
        <v>2562</v>
      </c>
      <c r="BF658" s="0">
        <v>4</v>
      </c>
      <c r="BG658" s="0" t="s">
        <v>5168</v>
      </c>
      <c r="BI658" s="0">
        <v>793</v>
      </c>
      <c r="BK658" s="0" t="s">
        <v>5169</v>
      </c>
    </row>
    <row r="659">
      <c r="A659" s="0">
        <v>5376</v>
      </c>
      <c r="B659" s="0" t="s">
        <v>5170</v>
      </c>
      <c r="E659" s="0" t="s">
        <v>5171</v>
      </c>
      <c r="F659" s="0">
        <v>2</v>
      </c>
      <c r="G659" s="0" t="s">
        <v>5172</v>
      </c>
      <c r="H659" s="0" t="s">
        <v>398</v>
      </c>
      <c r="I659" s="0" t="s">
        <v>471</v>
      </c>
      <c r="J659" s="0" t="s">
        <v>508</v>
      </c>
      <c r="P659" s="0" t="s">
        <v>323</v>
      </c>
      <c r="Q659" s="0" t="s">
        <v>323</v>
      </c>
      <c r="R659" s="0" t="s">
        <v>5173</v>
      </c>
      <c r="W659" s="0" t="s">
        <v>4455</v>
      </c>
      <c r="X659" s="0" t="s">
        <v>1116</v>
      </c>
      <c r="Y659" s="0" t="s">
        <v>142</v>
      </c>
      <c r="Z659" s="0" t="s">
        <v>2844</v>
      </c>
      <c r="AA659" s="0" t="s">
        <v>155</v>
      </c>
      <c r="AB659" s="0" t="s">
        <v>531</v>
      </c>
      <c r="AC659" s="0" t="s">
        <v>532</v>
      </c>
      <c r="AE659" s="0" t="s">
        <v>5105</v>
      </c>
      <c r="AF659" s="0" t="s">
        <v>301</v>
      </c>
      <c r="AP659" s="0" t="s">
        <v>305</v>
      </c>
      <c r="BA659" s="0">
        <v>501</v>
      </c>
      <c r="BB659" s="0" t="s">
        <v>232</v>
      </c>
      <c r="BC659" s="0">
        <v>2</v>
      </c>
      <c r="BE659" s="0">
        <v>2562</v>
      </c>
      <c r="BF659" s="0">
        <v>1</v>
      </c>
      <c r="BG659" s="0" t="s">
        <v>5174</v>
      </c>
      <c r="BI659" s="0">
        <v>2791</v>
      </c>
      <c r="BK659" s="0" t="s">
        <v>5175</v>
      </c>
    </row>
    <row r="660">
      <c r="A660" s="0">
        <v>5324</v>
      </c>
      <c r="B660" s="0" t="s">
        <v>5176</v>
      </c>
      <c r="C660" s="0" t="s">
        <v>1139</v>
      </c>
      <c r="D660" s="0" t="s">
        <v>4455</v>
      </c>
      <c r="E660" s="0" t="s">
        <v>5177</v>
      </c>
      <c r="F660" s="0">
        <v>2</v>
      </c>
      <c r="G660" s="0" t="s">
        <v>293</v>
      </c>
      <c r="H660" s="0" t="s">
        <v>294</v>
      </c>
      <c r="I660" s="0" t="s">
        <v>918</v>
      </c>
      <c r="J660" s="0" t="s">
        <v>319</v>
      </c>
      <c r="K660" s="0" t="s">
        <v>483</v>
      </c>
      <c r="L660" s="0" t="s">
        <v>469</v>
      </c>
      <c r="T660" s="0" t="s">
        <v>5178</v>
      </c>
      <c r="U660" s="0" t="s">
        <v>5179</v>
      </c>
      <c r="W660" s="0" t="s">
        <v>4455</v>
      </c>
      <c r="X660" s="0" t="s">
        <v>347</v>
      </c>
      <c r="Y660" s="0" t="s">
        <v>91</v>
      </c>
      <c r="Z660" s="0" t="s">
        <v>2718</v>
      </c>
      <c r="AA660" s="0" t="s">
        <v>156</v>
      </c>
      <c r="AB660" s="0" t="s">
        <v>531</v>
      </c>
      <c r="AC660" s="0" t="s">
        <v>532</v>
      </c>
      <c r="AE660" s="0" t="s">
        <v>5180</v>
      </c>
      <c r="AF660" s="0" t="s">
        <v>301</v>
      </c>
      <c r="AM660" s="0" t="s">
        <v>387</v>
      </c>
      <c r="AN660" s="0" t="s">
        <v>504</v>
      </c>
      <c r="AO660" s="0" t="s">
        <v>5181</v>
      </c>
      <c r="AP660" s="0" t="s">
        <v>305</v>
      </c>
      <c r="AQ660" s="0" t="s">
        <v>5182</v>
      </c>
      <c r="AR660" s="0" t="s">
        <v>5183</v>
      </c>
      <c r="AS660" s="0">
        <v>330</v>
      </c>
      <c r="AT660" s="0">
        <v>678</v>
      </c>
      <c r="AU660" s="0">
        <v>762</v>
      </c>
      <c r="AV660" s="0" t="s">
        <v>332</v>
      </c>
      <c r="AW660" s="0" t="s">
        <v>332</v>
      </c>
      <c r="AX660" s="0" t="s">
        <v>598</v>
      </c>
      <c r="AY660" s="0" t="s">
        <v>816</v>
      </c>
      <c r="AZ660" s="0" t="s">
        <v>1434</v>
      </c>
      <c r="BA660" s="0">
        <v>502</v>
      </c>
      <c r="BB660" s="0" t="s">
        <v>232</v>
      </c>
      <c r="BC660" s="0">
        <v>2</v>
      </c>
      <c r="BD660" s="0">
        <v>38030</v>
      </c>
      <c r="BE660" s="0">
        <v>332</v>
      </c>
      <c r="BF660" s="0">
        <v>4</v>
      </c>
      <c r="BG660" s="0" t="s">
        <v>5184</v>
      </c>
      <c r="BH660" s="0">
        <v>37</v>
      </c>
      <c r="BI660" s="0">
        <v>2168</v>
      </c>
      <c r="BK660" s="0" t="s">
        <v>5185</v>
      </c>
    </row>
    <row r="661">
      <c r="A661" s="0">
        <v>5331</v>
      </c>
      <c r="B661" s="0" t="s">
        <v>5186</v>
      </c>
      <c r="C661" s="0" t="s">
        <v>1139</v>
      </c>
      <c r="D661" s="0" t="s">
        <v>4455</v>
      </c>
      <c r="E661" s="0" t="s">
        <v>2731</v>
      </c>
      <c r="F661" s="0">
        <v>2</v>
      </c>
      <c r="G661" s="0" t="s">
        <v>293</v>
      </c>
      <c r="H661" s="0" t="s">
        <v>294</v>
      </c>
      <c r="I661" s="0" t="s">
        <v>295</v>
      </c>
      <c r="T661" s="0" t="s">
        <v>5187</v>
      </c>
      <c r="U661" s="0" t="s">
        <v>5188</v>
      </c>
      <c r="W661" s="0" t="s">
        <v>4455</v>
      </c>
      <c r="X661" s="0" t="s">
        <v>347</v>
      </c>
      <c r="Y661" s="0" t="s">
        <v>91</v>
      </c>
      <c r="Z661" s="0" t="s">
        <v>2718</v>
      </c>
      <c r="AA661" s="0" t="s">
        <v>156</v>
      </c>
      <c r="AB661" s="0" t="s">
        <v>531</v>
      </c>
      <c r="AC661" s="0" t="s">
        <v>532</v>
      </c>
      <c r="AE661" s="0" t="s">
        <v>5180</v>
      </c>
      <c r="AF661" s="0" t="s">
        <v>301</v>
      </c>
      <c r="AM661" s="0" t="s">
        <v>2733</v>
      </c>
      <c r="AN661" s="0" t="s">
        <v>2733</v>
      </c>
      <c r="AO661" s="0" t="s">
        <v>1503</v>
      </c>
      <c r="AP661" s="0" t="s">
        <v>305</v>
      </c>
      <c r="AQ661" s="0" t="s">
        <v>442</v>
      </c>
      <c r="AR661" s="0" t="s">
        <v>817</v>
      </c>
      <c r="AS661" s="0">
        <v>88</v>
      </c>
      <c r="AT661" s="0">
        <v>179</v>
      </c>
      <c r="AU661" s="0">
        <v>195</v>
      </c>
      <c r="AV661" s="0" t="s">
        <v>332</v>
      </c>
      <c r="AW661" s="0" t="s">
        <v>332</v>
      </c>
      <c r="AX661" s="0" t="s">
        <v>2734</v>
      </c>
      <c r="AY661" s="0" t="s">
        <v>2734</v>
      </c>
      <c r="AZ661" s="0" t="s">
        <v>1763</v>
      </c>
      <c r="BA661" s="0">
        <v>502</v>
      </c>
      <c r="BB661" s="0" t="s">
        <v>232</v>
      </c>
      <c r="BC661" s="0">
        <v>2</v>
      </c>
      <c r="BD661" s="0">
        <v>38030</v>
      </c>
      <c r="BE661" s="0">
        <v>332</v>
      </c>
      <c r="BF661" s="0">
        <v>4</v>
      </c>
      <c r="BG661" s="0" t="s">
        <v>5189</v>
      </c>
      <c r="BI661" s="0">
        <v>3383</v>
      </c>
      <c r="BK661" s="0" t="s">
        <v>5190</v>
      </c>
    </row>
    <row r="662">
      <c r="A662" s="0">
        <v>5326</v>
      </c>
      <c r="B662" s="0" t="s">
        <v>5191</v>
      </c>
      <c r="C662" s="0" t="s">
        <v>1139</v>
      </c>
      <c r="D662" s="0" t="s">
        <v>4455</v>
      </c>
      <c r="E662" s="0" t="s">
        <v>2738</v>
      </c>
      <c r="F662" s="0">
        <v>2</v>
      </c>
      <c r="G662" s="0" t="s">
        <v>293</v>
      </c>
      <c r="H662" s="0" t="s">
        <v>294</v>
      </c>
      <c r="I662" s="0" t="s">
        <v>295</v>
      </c>
      <c r="T662" s="0" t="s">
        <v>5192</v>
      </c>
      <c r="U662" s="0" t="s">
        <v>5193</v>
      </c>
      <c r="W662" s="0" t="s">
        <v>4455</v>
      </c>
      <c r="X662" s="0" t="s">
        <v>347</v>
      </c>
      <c r="Y662" s="0" t="s">
        <v>91</v>
      </c>
      <c r="Z662" s="0" t="s">
        <v>2718</v>
      </c>
      <c r="AA662" s="0" t="s">
        <v>156</v>
      </c>
      <c r="AB662" s="0" t="s">
        <v>531</v>
      </c>
      <c r="AC662" s="0" t="s">
        <v>532</v>
      </c>
      <c r="AE662" s="0" t="s">
        <v>5180</v>
      </c>
      <c r="AF662" s="0" t="s">
        <v>301</v>
      </c>
      <c r="AM662" s="0" t="s">
        <v>666</v>
      </c>
      <c r="AN662" s="0" t="s">
        <v>701</v>
      </c>
      <c r="AO662" s="0" t="s">
        <v>1066</v>
      </c>
      <c r="AP662" s="0" t="s">
        <v>305</v>
      </c>
      <c r="AQ662" s="0" t="s">
        <v>5194</v>
      </c>
      <c r="AR662" s="0" t="s">
        <v>5195</v>
      </c>
      <c r="AS662" s="0">
        <v>114</v>
      </c>
      <c r="AT662" s="0">
        <v>236</v>
      </c>
      <c r="AU662" s="0">
        <v>276</v>
      </c>
      <c r="AV662" s="0" t="s">
        <v>332</v>
      </c>
      <c r="AX662" s="0" t="s">
        <v>2741</v>
      </c>
      <c r="AY662" s="0" t="s">
        <v>503</v>
      </c>
      <c r="AZ662" s="0" t="s">
        <v>515</v>
      </c>
      <c r="BA662" s="0">
        <v>502</v>
      </c>
      <c r="BB662" s="0" t="s">
        <v>232</v>
      </c>
      <c r="BC662" s="0">
        <v>2</v>
      </c>
      <c r="BD662" s="0">
        <v>38030</v>
      </c>
      <c r="BE662" s="0">
        <v>332</v>
      </c>
      <c r="BF662" s="0">
        <v>4</v>
      </c>
      <c r="BG662" s="0" t="s">
        <v>5196</v>
      </c>
      <c r="BI662" s="0">
        <v>2579</v>
      </c>
      <c r="BK662" s="0" t="s">
        <v>5197</v>
      </c>
    </row>
    <row r="663">
      <c r="A663" s="0">
        <v>5322</v>
      </c>
      <c r="B663" s="0" t="s">
        <v>5198</v>
      </c>
      <c r="C663" s="0" t="s">
        <v>290</v>
      </c>
      <c r="D663" s="0" t="s">
        <v>4455</v>
      </c>
      <c r="E663" s="0" t="s">
        <v>2754</v>
      </c>
      <c r="F663" s="0">
        <v>2</v>
      </c>
      <c r="G663" s="0" t="s">
        <v>293</v>
      </c>
      <c r="H663" s="0" t="s">
        <v>294</v>
      </c>
      <c r="I663" s="0" t="s">
        <v>295</v>
      </c>
      <c r="J663" s="0" t="s">
        <v>400</v>
      </c>
      <c r="L663" s="0" t="s">
        <v>469</v>
      </c>
      <c r="T663" s="0" t="s">
        <v>5178</v>
      </c>
      <c r="U663" s="0" t="s">
        <v>5199</v>
      </c>
      <c r="W663" s="0" t="s">
        <v>4455</v>
      </c>
      <c r="X663" s="0" t="s">
        <v>529</v>
      </c>
      <c r="Y663" s="0" t="s">
        <v>91</v>
      </c>
      <c r="Z663" s="0" t="s">
        <v>2718</v>
      </c>
      <c r="AA663" s="0" t="s">
        <v>156</v>
      </c>
      <c r="AB663" s="0" t="s">
        <v>531</v>
      </c>
      <c r="AC663" s="0" t="s">
        <v>532</v>
      </c>
      <c r="AE663" s="0" t="s">
        <v>5180</v>
      </c>
      <c r="AF663" s="0" t="s">
        <v>301</v>
      </c>
      <c r="AP663" s="0" t="s">
        <v>305</v>
      </c>
      <c r="BA663" s="0">
        <v>502</v>
      </c>
      <c r="BB663" s="0" t="s">
        <v>232</v>
      </c>
      <c r="BC663" s="0">
        <v>2</v>
      </c>
      <c r="BD663" s="0">
        <v>374053</v>
      </c>
      <c r="BE663" s="0">
        <v>332</v>
      </c>
      <c r="BF663" s="0">
        <v>2</v>
      </c>
      <c r="BG663" s="0" t="s">
        <v>5200</v>
      </c>
      <c r="BI663" s="0">
        <v>1695</v>
      </c>
      <c r="BK663" s="0" t="s">
        <v>5201</v>
      </c>
    </row>
    <row r="664">
      <c r="A664" s="0">
        <v>5323</v>
      </c>
      <c r="B664" s="0" t="s">
        <v>5202</v>
      </c>
      <c r="C664" s="0" t="s">
        <v>290</v>
      </c>
      <c r="D664" s="0" t="s">
        <v>4455</v>
      </c>
      <c r="E664" s="0" t="s">
        <v>2759</v>
      </c>
      <c r="F664" s="0">
        <v>2</v>
      </c>
      <c r="G664" s="0" t="s">
        <v>293</v>
      </c>
      <c r="H664" s="0" t="s">
        <v>294</v>
      </c>
      <c r="I664" s="0" t="s">
        <v>295</v>
      </c>
      <c r="J664" s="0" t="s">
        <v>400</v>
      </c>
      <c r="L664" s="0" t="s">
        <v>469</v>
      </c>
      <c r="T664" s="0" t="s">
        <v>5203</v>
      </c>
      <c r="U664" s="0" t="s">
        <v>5204</v>
      </c>
      <c r="W664" s="0" t="s">
        <v>4455</v>
      </c>
      <c r="X664" s="0" t="s">
        <v>529</v>
      </c>
      <c r="Y664" s="0" t="s">
        <v>91</v>
      </c>
      <c r="Z664" s="0" t="s">
        <v>2718</v>
      </c>
      <c r="AA664" s="0" t="s">
        <v>156</v>
      </c>
      <c r="AB664" s="0" t="s">
        <v>531</v>
      </c>
      <c r="AC664" s="0" t="s">
        <v>532</v>
      </c>
      <c r="AE664" s="0" t="s">
        <v>5180</v>
      </c>
      <c r="AF664" s="0" t="s">
        <v>301</v>
      </c>
      <c r="AP664" s="0" t="s">
        <v>305</v>
      </c>
      <c r="BA664" s="0">
        <v>502</v>
      </c>
      <c r="BB664" s="0" t="s">
        <v>232</v>
      </c>
      <c r="BC664" s="0">
        <v>2</v>
      </c>
      <c r="BD664" s="0">
        <v>374053</v>
      </c>
      <c r="BE664" s="0">
        <v>332</v>
      </c>
      <c r="BF664" s="0">
        <v>2</v>
      </c>
      <c r="BG664" s="0" t="s">
        <v>5205</v>
      </c>
      <c r="BI664" s="0">
        <v>1939</v>
      </c>
      <c r="BK664" s="0" t="s">
        <v>5206</v>
      </c>
    </row>
    <row r="665">
      <c r="A665" s="0">
        <v>5318</v>
      </c>
      <c r="B665" s="0" t="s">
        <v>5207</v>
      </c>
      <c r="C665" s="0" t="s">
        <v>290</v>
      </c>
      <c r="D665" s="0" t="s">
        <v>4455</v>
      </c>
      <c r="E665" s="0" t="s">
        <v>2764</v>
      </c>
      <c r="F665" s="0">
        <v>2</v>
      </c>
      <c r="G665" s="0" t="s">
        <v>293</v>
      </c>
      <c r="H665" s="0" t="s">
        <v>294</v>
      </c>
      <c r="I665" s="0" t="s">
        <v>295</v>
      </c>
      <c r="J665" s="0" t="s">
        <v>508</v>
      </c>
      <c r="P665" s="0" t="s">
        <v>323</v>
      </c>
      <c r="Q665" s="0" t="s">
        <v>323</v>
      </c>
      <c r="R665" s="0" t="s">
        <v>1295</v>
      </c>
      <c r="T665" s="0" t="s">
        <v>5208</v>
      </c>
      <c r="U665" s="0" t="s">
        <v>5209</v>
      </c>
      <c r="W665" s="0" t="s">
        <v>4455</v>
      </c>
      <c r="X665" s="0" t="s">
        <v>529</v>
      </c>
      <c r="Y665" s="0" t="s">
        <v>91</v>
      </c>
      <c r="Z665" s="0" t="s">
        <v>2718</v>
      </c>
      <c r="AA665" s="0" t="s">
        <v>156</v>
      </c>
      <c r="AB665" s="0" t="s">
        <v>531</v>
      </c>
      <c r="AC665" s="0" t="s">
        <v>532</v>
      </c>
      <c r="AE665" s="0" t="s">
        <v>5180</v>
      </c>
      <c r="AF665" s="0" t="s">
        <v>301</v>
      </c>
      <c r="AP665" s="0" t="s">
        <v>305</v>
      </c>
      <c r="BA665" s="0">
        <v>502</v>
      </c>
      <c r="BB665" s="0" t="s">
        <v>232</v>
      </c>
      <c r="BC665" s="0">
        <v>2</v>
      </c>
      <c r="BD665" s="0">
        <v>374053</v>
      </c>
      <c r="BE665" s="0">
        <v>332</v>
      </c>
      <c r="BF665" s="0">
        <v>2</v>
      </c>
      <c r="BG665" s="0" t="s">
        <v>5210</v>
      </c>
      <c r="BI665" s="0">
        <v>390</v>
      </c>
      <c r="BK665" s="0" t="s">
        <v>5211</v>
      </c>
    </row>
    <row r="666">
      <c r="A666" s="0">
        <v>5328</v>
      </c>
      <c r="B666" s="0" t="s">
        <v>5212</v>
      </c>
      <c r="C666" s="0" t="s">
        <v>1139</v>
      </c>
      <c r="D666" s="0" t="s">
        <v>4455</v>
      </c>
      <c r="E666" s="0" t="s">
        <v>2771</v>
      </c>
      <c r="F666" s="0">
        <v>2</v>
      </c>
      <c r="G666" s="0" t="s">
        <v>293</v>
      </c>
      <c r="H666" s="0" t="s">
        <v>294</v>
      </c>
      <c r="I666" s="0" t="s">
        <v>295</v>
      </c>
      <c r="T666" s="0" t="s">
        <v>5213</v>
      </c>
      <c r="U666" s="0" t="s">
        <v>5214</v>
      </c>
      <c r="W666" s="0" t="s">
        <v>4455</v>
      </c>
      <c r="X666" s="0" t="s">
        <v>347</v>
      </c>
      <c r="Y666" s="0" t="s">
        <v>91</v>
      </c>
      <c r="Z666" s="0" t="s">
        <v>2718</v>
      </c>
      <c r="AA666" s="0" t="s">
        <v>156</v>
      </c>
      <c r="AB666" s="0" t="s">
        <v>531</v>
      </c>
      <c r="AC666" s="0" t="s">
        <v>532</v>
      </c>
      <c r="AE666" s="0" t="s">
        <v>5180</v>
      </c>
      <c r="AF666" s="0" t="s">
        <v>301</v>
      </c>
      <c r="AP666" s="0" t="s">
        <v>305</v>
      </c>
      <c r="BA666" s="0">
        <v>502</v>
      </c>
      <c r="BB666" s="0" t="s">
        <v>232</v>
      </c>
      <c r="BC666" s="0">
        <v>2</v>
      </c>
      <c r="BD666" s="0">
        <v>38030</v>
      </c>
      <c r="BE666" s="0">
        <v>332</v>
      </c>
      <c r="BF666" s="0">
        <v>4</v>
      </c>
      <c r="BG666" s="0" t="s">
        <v>5215</v>
      </c>
      <c r="BI666" s="0">
        <v>2929</v>
      </c>
      <c r="BK666" s="0" t="s">
        <v>5216</v>
      </c>
    </row>
    <row r="667">
      <c r="A667" s="0">
        <v>5321</v>
      </c>
      <c r="B667" s="0" t="s">
        <v>5217</v>
      </c>
      <c r="C667" s="0" t="s">
        <v>339</v>
      </c>
      <c r="D667" s="0" t="s">
        <v>4455</v>
      </c>
      <c r="E667" s="0" t="s">
        <v>2779</v>
      </c>
      <c r="F667" s="0">
        <v>2</v>
      </c>
      <c r="G667" s="0" t="s">
        <v>319</v>
      </c>
      <c r="H667" s="0" t="s">
        <v>879</v>
      </c>
      <c r="I667" s="0" t="s">
        <v>3933</v>
      </c>
      <c r="J667" s="0" t="s">
        <v>508</v>
      </c>
      <c r="L667" s="0" t="s">
        <v>2692</v>
      </c>
      <c r="R667" s="0" t="s">
        <v>2685</v>
      </c>
      <c r="T667" s="0" t="s">
        <v>5218</v>
      </c>
      <c r="U667" s="0" t="s">
        <v>5219</v>
      </c>
      <c r="W667" s="0" t="s">
        <v>4455</v>
      </c>
      <c r="X667" s="0" t="s">
        <v>347</v>
      </c>
      <c r="Y667" s="0" t="s">
        <v>91</v>
      </c>
      <c r="Z667" s="0" t="s">
        <v>2718</v>
      </c>
      <c r="AA667" s="0" t="s">
        <v>156</v>
      </c>
      <c r="AB667" s="0" t="s">
        <v>531</v>
      </c>
      <c r="AC667" s="0" t="s">
        <v>532</v>
      </c>
      <c r="AE667" s="0" t="s">
        <v>5180</v>
      </c>
      <c r="AF667" s="0" t="s">
        <v>301</v>
      </c>
      <c r="AM667" s="0" t="s">
        <v>2750</v>
      </c>
      <c r="AN667" s="0" t="s">
        <v>1946</v>
      </c>
      <c r="AO667" s="0" t="s">
        <v>443</v>
      </c>
      <c r="AP667" s="0" t="s">
        <v>305</v>
      </c>
      <c r="AQ667" s="0" t="s">
        <v>1807</v>
      </c>
      <c r="AR667" s="0" t="s">
        <v>475</v>
      </c>
      <c r="AS667" s="0">
        <v>39</v>
      </c>
      <c r="AT667" s="0">
        <v>86</v>
      </c>
      <c r="AU667" s="0">
        <v>88</v>
      </c>
      <c r="AV667" s="0" t="s">
        <v>332</v>
      </c>
      <c r="AW667" s="0" t="s">
        <v>332</v>
      </c>
      <c r="AX667" s="0" t="s">
        <v>707</v>
      </c>
      <c r="AY667" s="0" t="s">
        <v>707</v>
      </c>
      <c r="AZ667" s="0" t="s">
        <v>310</v>
      </c>
      <c r="BA667" s="0">
        <v>502</v>
      </c>
      <c r="BB667" s="0" t="s">
        <v>232</v>
      </c>
      <c r="BC667" s="0">
        <v>2</v>
      </c>
      <c r="BD667" s="0">
        <v>8</v>
      </c>
      <c r="BE667" s="0">
        <v>332</v>
      </c>
      <c r="BF667" s="0">
        <v>4</v>
      </c>
      <c r="BG667" s="0" t="s">
        <v>5220</v>
      </c>
      <c r="BI667" s="0">
        <v>1428</v>
      </c>
      <c r="BK667" s="0" t="s">
        <v>5221</v>
      </c>
    </row>
    <row r="668">
      <c r="A668" s="0">
        <v>5325</v>
      </c>
      <c r="B668" s="0" t="s">
        <v>5222</v>
      </c>
      <c r="C668" s="0" t="s">
        <v>1139</v>
      </c>
      <c r="D668" s="0" t="s">
        <v>4455</v>
      </c>
      <c r="E668" s="0" t="s">
        <v>5223</v>
      </c>
      <c r="F668" s="0">
        <v>2</v>
      </c>
      <c r="G668" s="0" t="s">
        <v>293</v>
      </c>
      <c r="H668" s="0" t="s">
        <v>294</v>
      </c>
      <c r="I668" s="0" t="s">
        <v>295</v>
      </c>
      <c r="P668" s="0" t="s">
        <v>323</v>
      </c>
      <c r="R668" s="0" t="s">
        <v>344</v>
      </c>
      <c r="T668" s="0" t="s">
        <v>5224</v>
      </c>
      <c r="U668" s="0" t="s">
        <v>5225</v>
      </c>
      <c r="W668" s="0" t="s">
        <v>4455</v>
      </c>
      <c r="X668" s="0" t="s">
        <v>347</v>
      </c>
      <c r="Y668" s="0" t="s">
        <v>91</v>
      </c>
      <c r="Z668" s="0" t="s">
        <v>2718</v>
      </c>
      <c r="AA668" s="0" t="s">
        <v>156</v>
      </c>
      <c r="AB668" s="0" t="s">
        <v>531</v>
      </c>
      <c r="AC668" s="0" t="s">
        <v>532</v>
      </c>
      <c r="AE668" s="0" t="s">
        <v>5180</v>
      </c>
      <c r="AF668" s="0" t="s">
        <v>301</v>
      </c>
      <c r="AM668" s="0" t="s">
        <v>2726</v>
      </c>
      <c r="AN668" s="0" t="s">
        <v>517</v>
      </c>
      <c r="AO668" s="0" t="s">
        <v>2727</v>
      </c>
      <c r="AP668" s="0" t="s">
        <v>305</v>
      </c>
      <c r="AQ668" s="0" t="s">
        <v>423</v>
      </c>
      <c r="AR668" s="0" t="s">
        <v>1012</v>
      </c>
      <c r="AS668" s="0">
        <v>210</v>
      </c>
      <c r="AT668" s="0">
        <v>437</v>
      </c>
      <c r="AU668" s="0">
        <v>476</v>
      </c>
      <c r="AV668" s="0" t="s">
        <v>332</v>
      </c>
      <c r="AX668" s="0" t="s">
        <v>739</v>
      </c>
      <c r="AY668" s="0" t="s">
        <v>780</v>
      </c>
      <c r="AZ668" s="0" t="s">
        <v>1432</v>
      </c>
      <c r="BA668" s="0">
        <v>502</v>
      </c>
      <c r="BB668" s="0" t="s">
        <v>232</v>
      </c>
      <c r="BC668" s="0">
        <v>2</v>
      </c>
      <c r="BD668" s="0">
        <v>38030</v>
      </c>
      <c r="BE668" s="0">
        <v>332</v>
      </c>
      <c r="BF668" s="0">
        <v>4</v>
      </c>
      <c r="BG668" s="0" t="s">
        <v>5226</v>
      </c>
      <c r="BI668" s="0">
        <v>2383</v>
      </c>
      <c r="BK668" s="0" t="s">
        <v>5227</v>
      </c>
    </row>
    <row r="669">
      <c r="A669" s="0">
        <v>5330</v>
      </c>
      <c r="B669" s="0" t="s">
        <v>5228</v>
      </c>
      <c r="C669" s="0" t="s">
        <v>1139</v>
      </c>
      <c r="D669" s="0" t="s">
        <v>4455</v>
      </c>
      <c r="E669" s="0" t="s">
        <v>5229</v>
      </c>
      <c r="F669" s="0">
        <v>2</v>
      </c>
      <c r="G669" s="0" t="s">
        <v>293</v>
      </c>
      <c r="H669" s="0" t="s">
        <v>294</v>
      </c>
      <c r="I669" s="0" t="s">
        <v>295</v>
      </c>
      <c r="T669" s="0" t="s">
        <v>5230</v>
      </c>
      <c r="U669" s="0" t="s">
        <v>5231</v>
      </c>
      <c r="W669" s="0" t="s">
        <v>4455</v>
      </c>
      <c r="X669" s="0" t="s">
        <v>347</v>
      </c>
      <c r="Y669" s="0" t="s">
        <v>91</v>
      </c>
      <c r="Z669" s="0" t="s">
        <v>2718</v>
      </c>
      <c r="AA669" s="0" t="s">
        <v>156</v>
      </c>
      <c r="AB669" s="0" t="s">
        <v>531</v>
      </c>
      <c r="AC669" s="0" t="s">
        <v>532</v>
      </c>
      <c r="AE669" s="0" t="s">
        <v>5180</v>
      </c>
      <c r="AF669" s="0" t="s">
        <v>301</v>
      </c>
      <c r="AM669" s="0" t="s">
        <v>2213</v>
      </c>
      <c r="AN669" s="0" t="s">
        <v>2213</v>
      </c>
      <c r="AO669" s="0" t="s">
        <v>2213</v>
      </c>
      <c r="AP669" s="0" t="s">
        <v>305</v>
      </c>
      <c r="AQ669" s="0" t="s">
        <v>5232</v>
      </c>
      <c r="AR669" s="0" t="s">
        <v>2984</v>
      </c>
      <c r="AS669" s="0">
        <v>1620</v>
      </c>
      <c r="AT669" s="0">
        <v>3308</v>
      </c>
      <c r="AU669" s="0">
        <v>3685</v>
      </c>
      <c r="AV669" s="0" t="s">
        <v>332</v>
      </c>
      <c r="AX669" s="0" t="s">
        <v>2982</v>
      </c>
      <c r="AY669" s="0" t="s">
        <v>1990</v>
      </c>
      <c r="AZ669" s="0" t="s">
        <v>2864</v>
      </c>
      <c r="BA669" s="0">
        <v>502</v>
      </c>
      <c r="BB669" s="0" t="s">
        <v>232</v>
      </c>
      <c r="BC669" s="0">
        <v>2</v>
      </c>
      <c r="BD669" s="0">
        <v>38030</v>
      </c>
      <c r="BE669" s="0">
        <v>332</v>
      </c>
      <c r="BF669" s="0">
        <v>4</v>
      </c>
      <c r="BG669" s="0" t="s">
        <v>5233</v>
      </c>
      <c r="BI669" s="0">
        <v>3245</v>
      </c>
      <c r="BK669" s="0" t="s">
        <v>5234</v>
      </c>
    </row>
    <row r="670">
      <c r="A670" s="0">
        <v>5329</v>
      </c>
      <c r="B670" s="0" t="s">
        <v>5235</v>
      </c>
      <c r="C670" s="0" t="s">
        <v>1139</v>
      </c>
      <c r="D670" s="0" t="s">
        <v>4455</v>
      </c>
      <c r="E670" s="0" t="s">
        <v>5236</v>
      </c>
      <c r="F670" s="0">
        <v>2</v>
      </c>
      <c r="G670" s="0" t="s">
        <v>293</v>
      </c>
      <c r="H670" s="0" t="s">
        <v>294</v>
      </c>
      <c r="I670" s="0" t="s">
        <v>295</v>
      </c>
      <c r="T670" s="0" t="s">
        <v>5237</v>
      </c>
      <c r="U670" s="0" t="s">
        <v>5238</v>
      </c>
      <c r="W670" s="0" t="s">
        <v>4455</v>
      </c>
      <c r="X670" s="0" t="s">
        <v>347</v>
      </c>
      <c r="Y670" s="0" t="s">
        <v>91</v>
      </c>
      <c r="Z670" s="0" t="s">
        <v>2718</v>
      </c>
      <c r="AA670" s="0" t="s">
        <v>156</v>
      </c>
      <c r="AB670" s="0" t="s">
        <v>531</v>
      </c>
      <c r="AC670" s="0" t="s">
        <v>532</v>
      </c>
      <c r="AE670" s="0" t="s">
        <v>5180</v>
      </c>
      <c r="AF670" s="0" t="s">
        <v>301</v>
      </c>
      <c r="AM670" s="0" t="s">
        <v>310</v>
      </c>
      <c r="AN670" s="0" t="s">
        <v>310</v>
      </c>
      <c r="AO670" s="0" t="s">
        <v>763</v>
      </c>
      <c r="AP670" s="0" t="s">
        <v>305</v>
      </c>
      <c r="AQ670" s="0" t="s">
        <v>5239</v>
      </c>
      <c r="AR670" s="0" t="s">
        <v>1440</v>
      </c>
      <c r="AS670" s="0">
        <v>900</v>
      </c>
      <c r="AT670" s="0">
        <v>1860</v>
      </c>
      <c r="AU670" s="0">
        <v>2150</v>
      </c>
      <c r="AV670" s="0" t="s">
        <v>332</v>
      </c>
      <c r="AW670" s="0" t="s">
        <v>332</v>
      </c>
      <c r="AX670" s="0" t="s">
        <v>1472</v>
      </c>
      <c r="AY670" s="0" t="s">
        <v>780</v>
      </c>
      <c r="AZ670" s="0" t="s">
        <v>2864</v>
      </c>
      <c r="BA670" s="0">
        <v>502</v>
      </c>
      <c r="BB670" s="0" t="s">
        <v>232</v>
      </c>
      <c r="BC670" s="0">
        <v>2</v>
      </c>
      <c r="BD670" s="0">
        <v>38030</v>
      </c>
      <c r="BE670" s="0">
        <v>332</v>
      </c>
      <c r="BF670" s="0">
        <v>4</v>
      </c>
      <c r="BG670" s="0" t="s">
        <v>5240</v>
      </c>
      <c r="BI670" s="0">
        <v>3094</v>
      </c>
      <c r="BK670" s="0" t="s">
        <v>5241</v>
      </c>
    </row>
    <row r="671">
      <c r="A671" s="0">
        <v>5327</v>
      </c>
      <c r="B671" s="0" t="s">
        <v>5242</v>
      </c>
      <c r="C671" s="0" t="s">
        <v>579</v>
      </c>
      <c r="D671" s="0" t="s">
        <v>4455</v>
      </c>
      <c r="E671" s="0" t="s">
        <v>2827</v>
      </c>
      <c r="F671" s="0">
        <v>2</v>
      </c>
      <c r="G671" s="0" t="s">
        <v>581</v>
      </c>
      <c r="I671" s="0" t="s">
        <v>583</v>
      </c>
      <c r="J671" s="0" t="s">
        <v>293</v>
      </c>
      <c r="K671" s="0" t="s">
        <v>294</v>
      </c>
      <c r="L671" s="0" t="s">
        <v>295</v>
      </c>
      <c r="T671" s="0" t="s">
        <v>5243</v>
      </c>
      <c r="U671" s="0" t="s">
        <v>5244</v>
      </c>
      <c r="W671" s="0" t="s">
        <v>4455</v>
      </c>
      <c r="X671" s="0" t="s">
        <v>347</v>
      </c>
      <c r="Y671" s="0" t="s">
        <v>91</v>
      </c>
      <c r="Z671" s="0" t="s">
        <v>2718</v>
      </c>
      <c r="AA671" s="0" t="s">
        <v>156</v>
      </c>
      <c r="AB671" s="0" t="s">
        <v>531</v>
      </c>
      <c r="AC671" s="0" t="s">
        <v>532</v>
      </c>
      <c r="AE671" s="0" t="s">
        <v>5180</v>
      </c>
      <c r="AF671" s="0" t="s">
        <v>301</v>
      </c>
      <c r="AP671" s="0" t="s">
        <v>305</v>
      </c>
      <c r="BA671" s="0">
        <v>502</v>
      </c>
      <c r="BB671" s="0" t="s">
        <v>232</v>
      </c>
      <c r="BC671" s="0">
        <v>2</v>
      </c>
      <c r="BD671" s="0">
        <v>374046</v>
      </c>
      <c r="BE671" s="0">
        <v>332</v>
      </c>
      <c r="BF671" s="0">
        <v>4</v>
      </c>
      <c r="BG671" s="0" t="s">
        <v>5245</v>
      </c>
      <c r="BI671" s="0">
        <v>2757</v>
      </c>
      <c r="BK671" s="0" t="s">
        <v>5246</v>
      </c>
    </row>
    <row r="672">
      <c r="A672" s="0">
        <v>5319</v>
      </c>
      <c r="B672" s="0" t="s">
        <v>5247</v>
      </c>
      <c r="C672" s="0" t="s">
        <v>290</v>
      </c>
      <c r="D672" s="0" t="s">
        <v>4455</v>
      </c>
      <c r="E672" s="0" t="s">
        <v>2832</v>
      </c>
      <c r="F672" s="0">
        <v>2</v>
      </c>
      <c r="G672" s="0" t="s">
        <v>293</v>
      </c>
      <c r="H672" s="0" t="s">
        <v>294</v>
      </c>
      <c r="I672" s="0" t="s">
        <v>295</v>
      </c>
      <c r="P672" s="0" t="s">
        <v>323</v>
      </c>
      <c r="Q672" s="0" t="s">
        <v>323</v>
      </c>
      <c r="R672" s="0" t="s">
        <v>1295</v>
      </c>
      <c r="U672" s="0" t="s">
        <v>5248</v>
      </c>
      <c r="W672" s="0" t="s">
        <v>4455</v>
      </c>
      <c r="X672" s="0" t="s">
        <v>529</v>
      </c>
      <c r="Y672" s="0" t="s">
        <v>91</v>
      </c>
      <c r="Z672" s="0" t="s">
        <v>2718</v>
      </c>
      <c r="AA672" s="0" t="s">
        <v>156</v>
      </c>
      <c r="AB672" s="0" t="s">
        <v>531</v>
      </c>
      <c r="AC672" s="0" t="s">
        <v>532</v>
      </c>
      <c r="AE672" s="0" t="s">
        <v>5180</v>
      </c>
      <c r="AF672" s="0" t="s">
        <v>301</v>
      </c>
      <c r="AP672" s="0" t="s">
        <v>305</v>
      </c>
      <c r="BA672" s="0">
        <v>502</v>
      </c>
      <c r="BB672" s="0" t="s">
        <v>232</v>
      </c>
      <c r="BC672" s="0">
        <v>2</v>
      </c>
      <c r="BD672" s="0">
        <v>374053</v>
      </c>
      <c r="BE672" s="0">
        <v>332</v>
      </c>
      <c r="BF672" s="0">
        <v>2</v>
      </c>
      <c r="BG672" s="0" t="s">
        <v>5249</v>
      </c>
      <c r="BI672" s="0">
        <v>792</v>
      </c>
      <c r="BK672" s="0" t="s">
        <v>5250</v>
      </c>
    </row>
    <row r="673">
      <c r="A673" s="0">
        <v>5320</v>
      </c>
      <c r="B673" s="0" t="s">
        <v>5251</v>
      </c>
      <c r="C673" s="0" t="s">
        <v>290</v>
      </c>
      <c r="D673" s="0" t="s">
        <v>4455</v>
      </c>
      <c r="E673" s="0" t="s">
        <v>2837</v>
      </c>
      <c r="F673" s="0">
        <v>2</v>
      </c>
      <c r="G673" s="0" t="s">
        <v>293</v>
      </c>
      <c r="H673" s="0" t="s">
        <v>294</v>
      </c>
      <c r="I673" s="0" t="s">
        <v>295</v>
      </c>
      <c r="P673" s="0" t="s">
        <v>323</v>
      </c>
      <c r="Q673" s="0" t="s">
        <v>323</v>
      </c>
      <c r="R673" s="0" t="s">
        <v>1295</v>
      </c>
      <c r="U673" s="0" t="s">
        <v>5252</v>
      </c>
      <c r="W673" s="0" t="s">
        <v>4455</v>
      </c>
      <c r="X673" s="0" t="s">
        <v>529</v>
      </c>
      <c r="Y673" s="0" t="s">
        <v>91</v>
      </c>
      <c r="Z673" s="0" t="s">
        <v>2718</v>
      </c>
      <c r="AA673" s="0" t="s">
        <v>156</v>
      </c>
      <c r="AB673" s="0" t="s">
        <v>531</v>
      </c>
      <c r="AC673" s="0" t="s">
        <v>532</v>
      </c>
      <c r="AE673" s="0" t="s">
        <v>5180</v>
      </c>
      <c r="AF673" s="0" t="s">
        <v>301</v>
      </c>
      <c r="AP673" s="0" t="s">
        <v>305</v>
      </c>
      <c r="BA673" s="0">
        <v>502</v>
      </c>
      <c r="BB673" s="0" t="s">
        <v>232</v>
      </c>
      <c r="BC673" s="0">
        <v>2</v>
      </c>
      <c r="BD673" s="0">
        <v>374053</v>
      </c>
      <c r="BE673" s="0">
        <v>332</v>
      </c>
      <c r="BF673" s="0">
        <v>2</v>
      </c>
      <c r="BG673" s="0" t="s">
        <v>5253</v>
      </c>
      <c r="BI673" s="0">
        <v>1123</v>
      </c>
      <c r="BK673" s="0" t="s">
        <v>5254</v>
      </c>
    </row>
    <row r="674">
      <c r="A674" s="0">
        <v>5339</v>
      </c>
      <c r="B674" s="0" t="s">
        <v>1729</v>
      </c>
      <c r="C674" s="0" t="s">
        <v>315</v>
      </c>
      <c r="D674" s="0" t="s">
        <v>5255</v>
      </c>
      <c r="E674" s="0" t="s">
        <v>1731</v>
      </c>
      <c r="F674" s="0">
        <v>1</v>
      </c>
      <c r="G674" s="0" t="s">
        <v>594</v>
      </c>
      <c r="H674" s="0" t="s">
        <v>1190</v>
      </c>
      <c r="I674" s="0" t="s">
        <v>549</v>
      </c>
      <c r="J674" s="0" t="s">
        <v>293</v>
      </c>
      <c r="K674" s="0" t="s">
        <v>294</v>
      </c>
      <c r="L674" s="0" t="s">
        <v>295</v>
      </c>
      <c r="P674" s="0" t="s">
        <v>323</v>
      </c>
      <c r="Q674" s="0" t="s">
        <v>323</v>
      </c>
      <c r="R674" s="0" t="s">
        <v>673</v>
      </c>
      <c r="T674" s="0" t="s">
        <v>5256</v>
      </c>
      <c r="U674" s="0" t="s">
        <v>5257</v>
      </c>
      <c r="W674" s="0" t="s">
        <v>5258</v>
      </c>
      <c r="X674" s="0" t="s">
        <v>347</v>
      </c>
      <c r="Y674" s="0" t="s">
        <v>104</v>
      </c>
      <c r="Z674" s="0" t="s">
        <v>2464</v>
      </c>
      <c r="AA674" s="0" t="s">
        <v>167</v>
      </c>
      <c r="AB674" s="0" t="s">
        <v>531</v>
      </c>
      <c r="AC674" s="0" t="s">
        <v>532</v>
      </c>
      <c r="AE674" s="0" t="s">
        <v>2466</v>
      </c>
      <c r="AF674" s="0" t="s">
        <v>301</v>
      </c>
      <c r="AP674" s="0" t="s">
        <v>305</v>
      </c>
      <c r="BA674" s="0">
        <v>503</v>
      </c>
      <c r="BB674" s="0" t="s">
        <v>232</v>
      </c>
      <c r="BC674" s="0">
        <v>2</v>
      </c>
      <c r="BD674" s="0">
        <v>374043</v>
      </c>
      <c r="BE674" s="0">
        <v>58611</v>
      </c>
      <c r="BF674" s="0">
        <v>4</v>
      </c>
      <c r="BG674" s="0" t="s">
        <v>5259</v>
      </c>
      <c r="BI674" s="0">
        <v>2377</v>
      </c>
      <c r="BK674" s="0" t="s">
        <v>5260</v>
      </c>
    </row>
    <row r="675">
      <c r="A675" s="0">
        <v>5354</v>
      </c>
      <c r="B675" s="0" t="s">
        <v>1729</v>
      </c>
      <c r="C675" s="0" t="s">
        <v>315</v>
      </c>
      <c r="D675" s="0" t="s">
        <v>4021</v>
      </c>
      <c r="E675" s="0" t="s">
        <v>1731</v>
      </c>
      <c r="F675" s="0">
        <v>3</v>
      </c>
      <c r="G675" s="0" t="s">
        <v>293</v>
      </c>
      <c r="H675" s="0" t="s">
        <v>294</v>
      </c>
      <c r="I675" s="0" t="s">
        <v>295</v>
      </c>
      <c r="J675" s="0" t="s">
        <v>508</v>
      </c>
      <c r="K675" s="0" t="s">
        <v>1190</v>
      </c>
      <c r="L675" s="0" t="s">
        <v>549</v>
      </c>
      <c r="P675" s="0" t="s">
        <v>323</v>
      </c>
      <c r="Q675" s="0" t="s">
        <v>323</v>
      </c>
      <c r="R675" s="0" t="s">
        <v>673</v>
      </c>
      <c r="T675" s="0" t="s">
        <v>5261</v>
      </c>
      <c r="W675" s="0" t="s">
        <v>5258</v>
      </c>
      <c r="X675" s="0" t="s">
        <v>529</v>
      </c>
      <c r="Y675" s="0" t="s">
        <v>104</v>
      </c>
      <c r="Z675" s="0" t="s">
        <v>2464</v>
      </c>
      <c r="AA675" s="0" t="s">
        <v>167</v>
      </c>
      <c r="AB675" s="0" t="s">
        <v>531</v>
      </c>
      <c r="AC675" s="0" t="s">
        <v>532</v>
      </c>
      <c r="AE675" s="0" t="s">
        <v>2466</v>
      </c>
      <c r="AF675" s="0" t="s">
        <v>301</v>
      </c>
      <c r="AP675" s="0" t="s">
        <v>305</v>
      </c>
      <c r="BA675" s="0">
        <v>503</v>
      </c>
      <c r="BB675" s="0" t="s">
        <v>232</v>
      </c>
      <c r="BC675" s="0">
        <v>2</v>
      </c>
      <c r="BD675" s="0">
        <v>374043</v>
      </c>
      <c r="BE675" s="0">
        <v>58611</v>
      </c>
      <c r="BF675" s="0">
        <v>2</v>
      </c>
      <c r="BG675" s="0" t="s">
        <v>5262</v>
      </c>
      <c r="BI675" s="0">
        <v>3244</v>
      </c>
      <c r="BK675" s="0" t="s">
        <v>5263</v>
      </c>
    </row>
    <row r="676">
      <c r="A676" s="0">
        <v>5342</v>
      </c>
      <c r="C676" s="0" t="s">
        <v>315</v>
      </c>
      <c r="D676" s="0" t="s">
        <v>5255</v>
      </c>
      <c r="E676" s="0" t="s">
        <v>5264</v>
      </c>
      <c r="F676" s="0">
        <v>1</v>
      </c>
      <c r="G676" s="0" t="s">
        <v>293</v>
      </c>
      <c r="H676" s="0" t="s">
        <v>294</v>
      </c>
      <c r="I676" s="0" t="s">
        <v>295</v>
      </c>
      <c r="J676" s="0" t="s">
        <v>319</v>
      </c>
      <c r="K676" s="0" t="s">
        <v>483</v>
      </c>
      <c r="L676" s="0" t="s">
        <v>5265</v>
      </c>
      <c r="P676" s="0" t="s">
        <v>343</v>
      </c>
      <c r="Q676" s="0" t="s">
        <v>343</v>
      </c>
      <c r="T676" s="0" t="s">
        <v>5266</v>
      </c>
      <c r="W676" s="0" t="s">
        <v>5258</v>
      </c>
      <c r="X676" s="0" t="s">
        <v>529</v>
      </c>
      <c r="Y676" s="0" t="s">
        <v>104</v>
      </c>
      <c r="Z676" s="0" t="s">
        <v>2464</v>
      </c>
      <c r="AA676" s="0" t="s">
        <v>167</v>
      </c>
      <c r="AB676" s="0" t="s">
        <v>531</v>
      </c>
      <c r="AC676" s="0" t="s">
        <v>532</v>
      </c>
      <c r="AE676" s="0" t="s">
        <v>2466</v>
      </c>
      <c r="AF676" s="0" t="s">
        <v>301</v>
      </c>
      <c r="AP676" s="0" t="s">
        <v>305</v>
      </c>
      <c r="BA676" s="0">
        <v>503</v>
      </c>
      <c r="BB676" s="0" t="s">
        <v>232</v>
      </c>
      <c r="BC676" s="0">
        <v>2</v>
      </c>
      <c r="BD676" s="0">
        <v>374043</v>
      </c>
      <c r="BE676" s="0">
        <v>58611</v>
      </c>
      <c r="BF676" s="0">
        <v>2</v>
      </c>
      <c r="BG676" s="0" t="s">
        <v>5267</v>
      </c>
      <c r="BI676" s="0">
        <v>2923</v>
      </c>
      <c r="BK676" s="0" t="s">
        <v>5268</v>
      </c>
    </row>
    <row r="677">
      <c r="A677" s="0">
        <v>5332</v>
      </c>
      <c r="B677" s="0" t="s">
        <v>5269</v>
      </c>
      <c r="C677" s="0" t="s">
        <v>656</v>
      </c>
      <c r="D677" s="0" t="s">
        <v>5255</v>
      </c>
      <c r="E677" s="0" t="s">
        <v>5270</v>
      </c>
      <c r="F677" s="0">
        <v>1</v>
      </c>
      <c r="G677" s="0" t="s">
        <v>319</v>
      </c>
      <c r="H677" s="0" t="s">
        <v>5271</v>
      </c>
      <c r="I677" s="0" t="s">
        <v>524</v>
      </c>
      <c r="J677" s="0" t="s">
        <v>594</v>
      </c>
      <c r="M677" s="0" t="s">
        <v>293</v>
      </c>
      <c r="N677" s="0" t="s">
        <v>294</v>
      </c>
      <c r="O677" s="0" t="s">
        <v>295</v>
      </c>
      <c r="P677" s="0" t="s">
        <v>5272</v>
      </c>
      <c r="Q677" s="0" t="s">
        <v>5272</v>
      </c>
      <c r="R677" s="0" t="s">
        <v>2103</v>
      </c>
      <c r="U677" s="0" t="s">
        <v>5273</v>
      </c>
      <c r="W677" s="0" t="s">
        <v>5258</v>
      </c>
      <c r="X677" s="0" t="s">
        <v>347</v>
      </c>
      <c r="Y677" s="0" t="s">
        <v>104</v>
      </c>
      <c r="Z677" s="0" t="s">
        <v>2464</v>
      </c>
      <c r="AA677" s="0" t="s">
        <v>167</v>
      </c>
      <c r="AB677" s="0" t="s">
        <v>531</v>
      </c>
      <c r="AC677" s="0" t="s">
        <v>532</v>
      </c>
      <c r="AE677" s="0" t="s">
        <v>2466</v>
      </c>
      <c r="AF677" s="0" t="s">
        <v>301</v>
      </c>
      <c r="AP677" s="0" t="s">
        <v>305</v>
      </c>
      <c r="BA677" s="0">
        <v>503</v>
      </c>
      <c r="BB677" s="0" t="s">
        <v>232</v>
      </c>
      <c r="BC677" s="0">
        <v>2</v>
      </c>
      <c r="BD677" s="0">
        <v>10</v>
      </c>
      <c r="BE677" s="0">
        <v>58611</v>
      </c>
      <c r="BF677" s="0">
        <v>4</v>
      </c>
      <c r="BG677" s="0" t="s">
        <v>5274</v>
      </c>
      <c r="BI677" s="0">
        <v>379</v>
      </c>
      <c r="BK677" s="0" t="s">
        <v>5275</v>
      </c>
    </row>
    <row r="678">
      <c r="A678" s="0">
        <v>5469</v>
      </c>
      <c r="B678" s="0" t="s">
        <v>5276</v>
      </c>
      <c r="C678" s="0" t="s">
        <v>339</v>
      </c>
      <c r="D678" s="0" t="s">
        <v>5277</v>
      </c>
      <c r="E678" s="0" t="s">
        <v>5278</v>
      </c>
      <c r="F678" s="0">
        <v>1</v>
      </c>
      <c r="G678" s="0" t="s">
        <v>319</v>
      </c>
      <c r="H678" s="0" t="s">
        <v>523</v>
      </c>
      <c r="I678" s="0" t="s">
        <v>1268</v>
      </c>
      <c r="J678" s="0" t="s">
        <v>594</v>
      </c>
      <c r="L678" s="0" t="s">
        <v>1268</v>
      </c>
      <c r="P678" s="0" t="s">
        <v>5279</v>
      </c>
      <c r="Q678" s="0" t="s">
        <v>343</v>
      </c>
      <c r="R678" s="0" t="s">
        <v>1783</v>
      </c>
      <c r="U678" s="0" t="s">
        <v>5280</v>
      </c>
      <c r="W678" s="0" t="s">
        <v>5258</v>
      </c>
      <c r="X678" s="0" t="s">
        <v>347</v>
      </c>
      <c r="Y678" s="0" t="s">
        <v>104</v>
      </c>
      <c r="Z678" s="0" t="s">
        <v>2464</v>
      </c>
      <c r="AA678" s="0" t="s">
        <v>167</v>
      </c>
      <c r="AB678" s="0" t="s">
        <v>531</v>
      </c>
      <c r="AC678" s="0" t="s">
        <v>532</v>
      </c>
      <c r="AE678" s="0" t="s">
        <v>2466</v>
      </c>
      <c r="AF678" s="0" t="s">
        <v>301</v>
      </c>
      <c r="AM678" s="0" t="s">
        <v>311</v>
      </c>
      <c r="AN678" s="0" t="s">
        <v>1946</v>
      </c>
      <c r="AO678" s="0" t="s">
        <v>1584</v>
      </c>
      <c r="AP678" s="0" t="s">
        <v>305</v>
      </c>
      <c r="AQ678" s="0" t="s">
        <v>5281</v>
      </c>
      <c r="AR678" s="0" t="s">
        <v>612</v>
      </c>
      <c r="AU678" s="0">
        <v>88</v>
      </c>
      <c r="AV678" s="0" t="s">
        <v>332</v>
      </c>
      <c r="AW678" s="0" t="s">
        <v>332</v>
      </c>
      <c r="AX678" s="0" t="s">
        <v>707</v>
      </c>
      <c r="AY678" s="0" t="s">
        <v>707</v>
      </c>
      <c r="AZ678" s="0" t="s">
        <v>310</v>
      </c>
      <c r="BA678" s="0">
        <v>503</v>
      </c>
      <c r="BB678" s="0" t="s">
        <v>232</v>
      </c>
      <c r="BC678" s="0">
        <v>2</v>
      </c>
      <c r="BD678" s="0">
        <v>8</v>
      </c>
      <c r="BE678" s="0">
        <v>58611</v>
      </c>
      <c r="BF678" s="0">
        <v>4</v>
      </c>
      <c r="BG678" s="0" t="s">
        <v>5282</v>
      </c>
      <c r="BI678" s="0">
        <v>3621</v>
      </c>
      <c r="BK678" s="0" t="s">
        <v>5283</v>
      </c>
    </row>
    <row r="679">
      <c r="A679" s="0">
        <v>5519</v>
      </c>
      <c r="B679" s="0" t="s">
        <v>5284</v>
      </c>
      <c r="C679" s="0" t="s">
        <v>945</v>
      </c>
      <c r="D679" s="0" t="s">
        <v>5285</v>
      </c>
      <c r="E679" s="0" t="s">
        <v>5286</v>
      </c>
      <c r="F679" s="0">
        <v>1</v>
      </c>
      <c r="G679" s="0" t="s">
        <v>319</v>
      </c>
      <c r="H679" s="0" t="s">
        <v>523</v>
      </c>
      <c r="I679" s="0" t="s">
        <v>1268</v>
      </c>
      <c r="J679" s="0" t="s">
        <v>594</v>
      </c>
      <c r="L679" s="0" t="s">
        <v>1268</v>
      </c>
      <c r="M679" s="0" t="s">
        <v>5287</v>
      </c>
      <c r="O679" s="0" t="s">
        <v>1685</v>
      </c>
      <c r="P679" s="0" t="s">
        <v>343</v>
      </c>
      <c r="Q679" s="0" t="s">
        <v>343</v>
      </c>
      <c r="T679" s="0" t="s">
        <v>5288</v>
      </c>
      <c r="U679" s="0" t="s">
        <v>5289</v>
      </c>
      <c r="W679" s="0" t="s">
        <v>5258</v>
      </c>
      <c r="X679" s="0" t="s">
        <v>347</v>
      </c>
      <c r="Y679" s="0" t="s">
        <v>104</v>
      </c>
      <c r="Z679" s="0" t="s">
        <v>2464</v>
      </c>
      <c r="AA679" s="0" t="s">
        <v>167</v>
      </c>
      <c r="AB679" s="0" t="s">
        <v>531</v>
      </c>
      <c r="AC679" s="0" t="s">
        <v>532</v>
      </c>
      <c r="AE679" s="0" t="s">
        <v>2466</v>
      </c>
      <c r="AF679" s="0" t="s">
        <v>301</v>
      </c>
      <c r="AM679" s="0" t="s">
        <v>5290</v>
      </c>
      <c r="AN679" s="0" t="s">
        <v>5291</v>
      </c>
      <c r="AO679" s="0" t="s">
        <v>5292</v>
      </c>
      <c r="AP679" s="0" t="s">
        <v>305</v>
      </c>
      <c r="AQ679" s="0" t="s">
        <v>5293</v>
      </c>
      <c r="AR679" s="0" t="s">
        <v>5294</v>
      </c>
      <c r="AS679" s="0">
        <v>17</v>
      </c>
      <c r="AT679" s="0">
        <v>36</v>
      </c>
      <c r="AU679" s="0">
        <v>45</v>
      </c>
      <c r="AV679" s="0" t="s">
        <v>5295</v>
      </c>
      <c r="AW679" s="0" t="s">
        <v>308</v>
      </c>
      <c r="AX679" s="0" t="s">
        <v>5296</v>
      </c>
      <c r="AY679" s="0" t="s">
        <v>5297</v>
      </c>
      <c r="AZ679" s="0" t="s">
        <v>5298</v>
      </c>
      <c r="BA679" s="0">
        <v>503</v>
      </c>
      <c r="BB679" s="0" t="s">
        <v>232</v>
      </c>
      <c r="BC679" s="0">
        <v>2</v>
      </c>
      <c r="BD679" s="0">
        <v>14</v>
      </c>
      <c r="BE679" s="0">
        <v>58611</v>
      </c>
      <c r="BF679" s="0">
        <v>4</v>
      </c>
      <c r="BG679" s="0" t="s">
        <v>5299</v>
      </c>
      <c r="BI679" s="0">
        <v>3730</v>
      </c>
      <c r="BK679" s="0" t="s">
        <v>5300</v>
      </c>
    </row>
    <row r="680">
      <c r="A680" s="0">
        <v>5338</v>
      </c>
      <c r="B680" s="0" t="s">
        <v>5301</v>
      </c>
      <c r="E680" s="0" t="s">
        <v>5302</v>
      </c>
      <c r="F680" s="0">
        <v>1</v>
      </c>
      <c r="G680" s="0" t="s">
        <v>319</v>
      </c>
      <c r="H680" s="0" t="s">
        <v>658</v>
      </c>
      <c r="I680" s="0" t="s">
        <v>948</v>
      </c>
      <c r="J680" s="0" t="s">
        <v>594</v>
      </c>
      <c r="P680" s="0" t="s">
        <v>323</v>
      </c>
      <c r="Q680" s="0" t="s">
        <v>323</v>
      </c>
      <c r="R680" s="0" t="s">
        <v>661</v>
      </c>
      <c r="T680" s="0" t="s">
        <v>5303</v>
      </c>
      <c r="W680" s="0" t="s">
        <v>5258</v>
      </c>
      <c r="X680" s="0" t="s">
        <v>1116</v>
      </c>
      <c r="Y680" s="0" t="s">
        <v>104</v>
      </c>
      <c r="Z680" s="0" t="s">
        <v>2464</v>
      </c>
      <c r="AA680" s="0" t="s">
        <v>167</v>
      </c>
      <c r="AB680" s="0" t="s">
        <v>531</v>
      </c>
      <c r="AC680" s="0" t="s">
        <v>532</v>
      </c>
      <c r="AE680" s="0" t="s">
        <v>2466</v>
      </c>
      <c r="AF680" s="0" t="s">
        <v>301</v>
      </c>
      <c r="AP680" s="0" t="s">
        <v>305</v>
      </c>
      <c r="BA680" s="0">
        <v>503</v>
      </c>
      <c r="BB680" s="0" t="s">
        <v>232</v>
      </c>
      <c r="BC680" s="0">
        <v>2</v>
      </c>
      <c r="BE680" s="0">
        <v>58611</v>
      </c>
      <c r="BF680" s="0">
        <v>1</v>
      </c>
      <c r="BG680" s="0" t="s">
        <v>5304</v>
      </c>
      <c r="BI680" s="0">
        <v>1998</v>
      </c>
      <c r="BK680" s="0" t="s">
        <v>5305</v>
      </c>
    </row>
    <row r="681">
      <c r="A681" s="0">
        <v>5334</v>
      </c>
      <c r="B681" s="0" t="s">
        <v>5306</v>
      </c>
      <c r="C681" s="0" t="s">
        <v>945</v>
      </c>
      <c r="D681" s="0" t="s">
        <v>5255</v>
      </c>
      <c r="E681" s="0" t="s">
        <v>5307</v>
      </c>
      <c r="F681" s="0">
        <v>1</v>
      </c>
      <c r="G681" s="0" t="s">
        <v>319</v>
      </c>
      <c r="H681" s="0" t="s">
        <v>658</v>
      </c>
      <c r="I681" s="0" t="s">
        <v>948</v>
      </c>
      <c r="J681" s="0" t="s">
        <v>594</v>
      </c>
      <c r="P681" s="0" t="s">
        <v>323</v>
      </c>
      <c r="Q681" s="0" t="s">
        <v>323</v>
      </c>
      <c r="R681" s="0" t="s">
        <v>661</v>
      </c>
      <c r="T681" s="0" t="s">
        <v>5303</v>
      </c>
      <c r="U681" s="0" t="s">
        <v>5308</v>
      </c>
      <c r="W681" s="0" t="s">
        <v>5258</v>
      </c>
      <c r="X681" s="0" t="s">
        <v>529</v>
      </c>
      <c r="Y681" s="0" t="s">
        <v>104</v>
      </c>
      <c r="Z681" s="0" t="s">
        <v>2464</v>
      </c>
      <c r="AA681" s="0" t="s">
        <v>167</v>
      </c>
      <c r="AB681" s="0" t="s">
        <v>531</v>
      </c>
      <c r="AC681" s="0" t="s">
        <v>532</v>
      </c>
      <c r="AE681" s="0" t="s">
        <v>2466</v>
      </c>
      <c r="AF681" s="0" t="s">
        <v>301</v>
      </c>
      <c r="AP681" s="0" t="s">
        <v>305</v>
      </c>
      <c r="BA681" s="0">
        <v>503</v>
      </c>
      <c r="BB681" s="0" t="s">
        <v>232</v>
      </c>
      <c r="BC681" s="0">
        <v>2</v>
      </c>
      <c r="BD681" s="0">
        <v>14</v>
      </c>
      <c r="BE681" s="0">
        <v>58611</v>
      </c>
      <c r="BF681" s="0">
        <v>2</v>
      </c>
      <c r="BG681" s="0" t="s">
        <v>5309</v>
      </c>
      <c r="BI681" s="0">
        <v>1111</v>
      </c>
      <c r="BK681" s="0" t="s">
        <v>5310</v>
      </c>
    </row>
    <row r="682">
      <c r="A682" s="0">
        <v>5337</v>
      </c>
      <c r="B682" s="0" t="s">
        <v>5311</v>
      </c>
      <c r="C682" s="0" t="s">
        <v>945</v>
      </c>
      <c r="D682" s="0" t="s">
        <v>5255</v>
      </c>
      <c r="E682" s="0" t="s">
        <v>5312</v>
      </c>
      <c r="F682" s="0">
        <v>1</v>
      </c>
      <c r="G682" s="0" t="s">
        <v>319</v>
      </c>
      <c r="H682" s="0" t="s">
        <v>658</v>
      </c>
      <c r="I682" s="0" t="s">
        <v>948</v>
      </c>
      <c r="J682" s="0" t="s">
        <v>594</v>
      </c>
      <c r="P682" s="0" t="s">
        <v>323</v>
      </c>
      <c r="Q682" s="0" t="s">
        <v>323</v>
      </c>
      <c r="R682" s="0" t="s">
        <v>661</v>
      </c>
      <c r="T682" s="0" t="s">
        <v>5303</v>
      </c>
      <c r="U682" s="0" t="s">
        <v>5313</v>
      </c>
      <c r="W682" s="0" t="s">
        <v>5258</v>
      </c>
      <c r="X682" s="0" t="s">
        <v>529</v>
      </c>
      <c r="Y682" s="0" t="s">
        <v>104</v>
      </c>
      <c r="Z682" s="0" t="s">
        <v>2464</v>
      </c>
      <c r="AA682" s="0" t="s">
        <v>167</v>
      </c>
      <c r="AB682" s="0" t="s">
        <v>531</v>
      </c>
      <c r="AC682" s="0" t="s">
        <v>532</v>
      </c>
      <c r="AE682" s="0" t="s">
        <v>2466</v>
      </c>
      <c r="AF682" s="0" t="s">
        <v>301</v>
      </c>
      <c r="AP682" s="0" t="s">
        <v>305</v>
      </c>
      <c r="BA682" s="0">
        <v>503</v>
      </c>
      <c r="BB682" s="0" t="s">
        <v>232</v>
      </c>
      <c r="BC682" s="0">
        <v>2</v>
      </c>
      <c r="BD682" s="0">
        <v>14</v>
      </c>
      <c r="BE682" s="0">
        <v>58611</v>
      </c>
      <c r="BF682" s="0">
        <v>2</v>
      </c>
      <c r="BG682" s="0" t="s">
        <v>5314</v>
      </c>
      <c r="BI682" s="0">
        <v>1931</v>
      </c>
      <c r="BK682" s="0" t="s">
        <v>5315</v>
      </c>
    </row>
    <row r="683">
      <c r="A683" s="0">
        <v>5336</v>
      </c>
      <c r="B683" s="0" t="s">
        <v>5316</v>
      </c>
      <c r="C683" s="0" t="s">
        <v>945</v>
      </c>
      <c r="D683" s="0" t="s">
        <v>5255</v>
      </c>
      <c r="E683" s="0" t="s">
        <v>5317</v>
      </c>
      <c r="F683" s="0">
        <v>1</v>
      </c>
      <c r="G683" s="0" t="s">
        <v>319</v>
      </c>
      <c r="H683" s="0" t="s">
        <v>658</v>
      </c>
      <c r="I683" s="0" t="s">
        <v>948</v>
      </c>
      <c r="J683" s="0" t="s">
        <v>594</v>
      </c>
      <c r="M683" s="0" t="s">
        <v>759</v>
      </c>
      <c r="O683" s="0" t="s">
        <v>1685</v>
      </c>
      <c r="P683" s="0" t="s">
        <v>343</v>
      </c>
      <c r="Q683" s="0" t="s">
        <v>343</v>
      </c>
      <c r="T683" s="0" t="s">
        <v>5318</v>
      </c>
      <c r="U683" s="0" t="s">
        <v>5319</v>
      </c>
      <c r="W683" s="0" t="s">
        <v>5258</v>
      </c>
      <c r="X683" s="0" t="s">
        <v>529</v>
      </c>
      <c r="Y683" s="0" t="s">
        <v>104</v>
      </c>
      <c r="Z683" s="0" t="s">
        <v>2464</v>
      </c>
      <c r="AA683" s="0" t="s">
        <v>167</v>
      </c>
      <c r="AB683" s="0" t="s">
        <v>531</v>
      </c>
      <c r="AC683" s="0" t="s">
        <v>532</v>
      </c>
      <c r="AE683" s="0" t="s">
        <v>2466</v>
      </c>
      <c r="AF683" s="0" t="s">
        <v>301</v>
      </c>
      <c r="AP683" s="0" t="s">
        <v>305</v>
      </c>
      <c r="BA683" s="0">
        <v>503</v>
      </c>
      <c r="BB683" s="0" t="s">
        <v>232</v>
      </c>
      <c r="BC683" s="0">
        <v>2</v>
      </c>
      <c r="BD683" s="0">
        <v>14</v>
      </c>
      <c r="BE683" s="0">
        <v>58611</v>
      </c>
      <c r="BF683" s="0">
        <v>2</v>
      </c>
      <c r="BG683" s="0" t="s">
        <v>5320</v>
      </c>
      <c r="BI683" s="0">
        <v>1686</v>
      </c>
      <c r="BK683" s="0" t="s">
        <v>5321</v>
      </c>
    </row>
    <row r="684">
      <c r="A684" s="0">
        <v>5335</v>
      </c>
      <c r="B684" s="0" t="s">
        <v>5316</v>
      </c>
      <c r="C684" s="0" t="s">
        <v>945</v>
      </c>
      <c r="D684" s="0" t="s">
        <v>5255</v>
      </c>
      <c r="E684" s="0" t="s">
        <v>5317</v>
      </c>
      <c r="F684" s="0">
        <v>1</v>
      </c>
      <c r="G684" s="0" t="s">
        <v>319</v>
      </c>
      <c r="H684" s="0" t="s">
        <v>658</v>
      </c>
      <c r="I684" s="0" t="s">
        <v>948</v>
      </c>
      <c r="J684" s="0" t="s">
        <v>594</v>
      </c>
      <c r="P684" s="0" t="s">
        <v>323</v>
      </c>
      <c r="Q684" s="0" t="s">
        <v>343</v>
      </c>
      <c r="R684" s="0" t="s">
        <v>661</v>
      </c>
      <c r="T684" s="0" t="s">
        <v>5322</v>
      </c>
      <c r="U684" s="0" t="s">
        <v>5323</v>
      </c>
      <c r="W684" s="0" t="s">
        <v>5258</v>
      </c>
      <c r="X684" s="0" t="s">
        <v>529</v>
      </c>
      <c r="Y684" s="0" t="s">
        <v>104</v>
      </c>
      <c r="Z684" s="0" t="s">
        <v>2464</v>
      </c>
      <c r="AA684" s="0" t="s">
        <v>167</v>
      </c>
      <c r="AB684" s="0" t="s">
        <v>531</v>
      </c>
      <c r="AC684" s="0" t="s">
        <v>532</v>
      </c>
      <c r="AE684" s="0" t="s">
        <v>2466</v>
      </c>
      <c r="AF684" s="0" t="s">
        <v>301</v>
      </c>
      <c r="AP684" s="0" t="s">
        <v>305</v>
      </c>
      <c r="BA684" s="0">
        <v>503</v>
      </c>
      <c r="BB684" s="0" t="s">
        <v>232</v>
      </c>
      <c r="BC684" s="0">
        <v>2</v>
      </c>
      <c r="BD684" s="0">
        <v>14</v>
      </c>
      <c r="BE684" s="0">
        <v>58611</v>
      </c>
      <c r="BF684" s="0">
        <v>2</v>
      </c>
      <c r="BG684" s="0" t="s">
        <v>5324</v>
      </c>
      <c r="BI684" s="0">
        <v>1418</v>
      </c>
      <c r="BK684" s="0" t="s">
        <v>5325</v>
      </c>
    </row>
    <row r="685">
      <c r="A685" s="0">
        <v>5341</v>
      </c>
      <c r="B685" s="0" t="s">
        <v>5326</v>
      </c>
      <c r="C685" s="0" t="s">
        <v>1855</v>
      </c>
      <c r="D685" s="0" t="s">
        <v>5255</v>
      </c>
      <c r="E685" s="0" t="s">
        <v>5327</v>
      </c>
      <c r="F685" s="0">
        <v>1</v>
      </c>
      <c r="G685" s="0" t="s">
        <v>293</v>
      </c>
      <c r="H685" s="0" t="s">
        <v>294</v>
      </c>
      <c r="I685" s="0" t="s">
        <v>295</v>
      </c>
      <c r="K685" s="0" t="s">
        <v>400</v>
      </c>
      <c r="L685" s="0" t="s">
        <v>5328</v>
      </c>
      <c r="P685" s="0" t="s">
        <v>343</v>
      </c>
      <c r="Q685" s="0" t="s">
        <v>343</v>
      </c>
      <c r="W685" s="0" t="s">
        <v>5258</v>
      </c>
      <c r="X685" s="0" t="s">
        <v>529</v>
      </c>
      <c r="Y685" s="0" t="s">
        <v>104</v>
      </c>
      <c r="Z685" s="0" t="s">
        <v>2464</v>
      </c>
      <c r="AA685" s="0" t="s">
        <v>167</v>
      </c>
      <c r="AB685" s="0" t="s">
        <v>531</v>
      </c>
      <c r="AC685" s="0" t="s">
        <v>532</v>
      </c>
      <c r="AE685" s="0" t="s">
        <v>2466</v>
      </c>
      <c r="AF685" s="0" t="s">
        <v>301</v>
      </c>
      <c r="AP685" s="0" t="s">
        <v>305</v>
      </c>
      <c r="BA685" s="0">
        <v>503</v>
      </c>
      <c r="BB685" s="0" t="s">
        <v>232</v>
      </c>
      <c r="BC685" s="0">
        <v>2</v>
      </c>
      <c r="BD685" s="0">
        <v>28</v>
      </c>
      <c r="BE685" s="0">
        <v>58611</v>
      </c>
      <c r="BF685" s="0">
        <v>2</v>
      </c>
      <c r="BG685" s="0" t="s">
        <v>5329</v>
      </c>
      <c r="BI685" s="0">
        <v>2749</v>
      </c>
      <c r="BK685" s="0" t="s">
        <v>5330</v>
      </c>
    </row>
    <row r="686">
      <c r="A686" s="0">
        <v>5355</v>
      </c>
      <c r="B686" s="0" t="s">
        <v>5326</v>
      </c>
      <c r="C686" s="0" t="s">
        <v>1855</v>
      </c>
      <c r="D686" s="0" t="s">
        <v>4021</v>
      </c>
      <c r="E686" s="0" t="s">
        <v>5327</v>
      </c>
      <c r="F686" s="0">
        <v>4</v>
      </c>
      <c r="G686" s="0" t="s">
        <v>293</v>
      </c>
      <c r="H686" s="0" t="s">
        <v>294</v>
      </c>
      <c r="I686" s="0" t="s">
        <v>295</v>
      </c>
      <c r="J686" s="0" t="s">
        <v>400</v>
      </c>
      <c r="K686" s="0" t="s">
        <v>1190</v>
      </c>
      <c r="L686" s="0" t="s">
        <v>497</v>
      </c>
      <c r="T686" s="0" t="s">
        <v>5261</v>
      </c>
      <c r="W686" s="0" t="s">
        <v>5258</v>
      </c>
      <c r="X686" s="0" t="s">
        <v>529</v>
      </c>
      <c r="Y686" s="0" t="s">
        <v>104</v>
      </c>
      <c r="Z686" s="0" t="s">
        <v>2464</v>
      </c>
      <c r="AA686" s="0" t="s">
        <v>167</v>
      </c>
      <c r="AB686" s="0" t="s">
        <v>531</v>
      </c>
      <c r="AC686" s="0" t="s">
        <v>532</v>
      </c>
      <c r="AE686" s="0" t="s">
        <v>2466</v>
      </c>
      <c r="AF686" s="0" t="s">
        <v>301</v>
      </c>
      <c r="AP686" s="0" t="s">
        <v>305</v>
      </c>
      <c r="BA686" s="0">
        <v>503</v>
      </c>
      <c r="BB686" s="0" t="s">
        <v>232</v>
      </c>
      <c r="BC686" s="0">
        <v>2</v>
      </c>
      <c r="BD686" s="0">
        <v>28</v>
      </c>
      <c r="BE686" s="0">
        <v>58611</v>
      </c>
      <c r="BF686" s="0">
        <v>2</v>
      </c>
      <c r="BG686" s="0" t="s">
        <v>5331</v>
      </c>
      <c r="BI686" s="0">
        <v>3382</v>
      </c>
      <c r="BK686" s="0" t="s">
        <v>5332</v>
      </c>
    </row>
    <row r="687">
      <c r="A687" s="0">
        <v>5340</v>
      </c>
      <c r="B687" s="0" t="s">
        <v>5333</v>
      </c>
      <c r="C687" s="0" t="s">
        <v>1139</v>
      </c>
      <c r="D687" s="0" t="s">
        <v>5255</v>
      </c>
      <c r="E687" s="0" t="s">
        <v>5334</v>
      </c>
      <c r="F687" s="0">
        <v>1</v>
      </c>
      <c r="G687" s="0" t="s">
        <v>293</v>
      </c>
      <c r="H687" s="0" t="s">
        <v>294</v>
      </c>
      <c r="I687" s="0" t="s">
        <v>295</v>
      </c>
      <c r="P687" s="0" t="s">
        <v>343</v>
      </c>
      <c r="Q687" s="0" t="s">
        <v>343</v>
      </c>
      <c r="T687" s="0" t="s">
        <v>5256</v>
      </c>
      <c r="U687" s="0" t="s">
        <v>5335</v>
      </c>
      <c r="W687" s="0" t="s">
        <v>5258</v>
      </c>
      <c r="X687" s="0" t="s">
        <v>529</v>
      </c>
      <c r="Y687" s="0" t="s">
        <v>104</v>
      </c>
      <c r="Z687" s="0" t="s">
        <v>2464</v>
      </c>
      <c r="AA687" s="0" t="s">
        <v>167</v>
      </c>
      <c r="AB687" s="0" t="s">
        <v>531</v>
      </c>
      <c r="AC687" s="0" t="s">
        <v>532</v>
      </c>
      <c r="AE687" s="0" t="s">
        <v>2466</v>
      </c>
      <c r="AF687" s="0" t="s">
        <v>301</v>
      </c>
      <c r="AP687" s="0" t="s">
        <v>305</v>
      </c>
      <c r="BA687" s="0">
        <v>503</v>
      </c>
      <c r="BB687" s="0" t="s">
        <v>232</v>
      </c>
      <c r="BC687" s="0">
        <v>2</v>
      </c>
      <c r="BD687" s="0">
        <v>38030</v>
      </c>
      <c r="BE687" s="0">
        <v>58611</v>
      </c>
      <c r="BF687" s="0">
        <v>2</v>
      </c>
      <c r="BG687" s="0" t="s">
        <v>5336</v>
      </c>
      <c r="BI687" s="0">
        <v>2574</v>
      </c>
      <c r="BK687" s="0" t="s">
        <v>5337</v>
      </c>
    </row>
    <row r="688">
      <c r="A688" s="0">
        <v>5333</v>
      </c>
      <c r="B688" s="0" t="s">
        <v>2549</v>
      </c>
      <c r="C688" s="0" t="s">
        <v>945</v>
      </c>
      <c r="D688" s="0" t="s">
        <v>5255</v>
      </c>
      <c r="E688" s="0" t="s">
        <v>2550</v>
      </c>
      <c r="F688" s="0">
        <v>1</v>
      </c>
      <c r="G688" s="0" t="s">
        <v>319</v>
      </c>
      <c r="H688" s="0" t="s">
        <v>398</v>
      </c>
      <c r="I688" s="0" t="s">
        <v>471</v>
      </c>
      <c r="J688" s="0" t="s">
        <v>594</v>
      </c>
      <c r="P688" s="0" t="s">
        <v>323</v>
      </c>
      <c r="Q688" s="0" t="s">
        <v>323</v>
      </c>
      <c r="R688" s="0" t="s">
        <v>2488</v>
      </c>
      <c r="T688" s="0" t="s">
        <v>5338</v>
      </c>
      <c r="U688" s="0" t="s">
        <v>5339</v>
      </c>
      <c r="W688" s="0" t="s">
        <v>5258</v>
      </c>
      <c r="X688" s="0" t="s">
        <v>347</v>
      </c>
      <c r="Y688" s="0" t="s">
        <v>104</v>
      </c>
      <c r="Z688" s="0" t="s">
        <v>2464</v>
      </c>
      <c r="AA688" s="0" t="s">
        <v>167</v>
      </c>
      <c r="AB688" s="0" t="s">
        <v>531</v>
      </c>
      <c r="AC688" s="0" t="s">
        <v>532</v>
      </c>
      <c r="AE688" s="0" t="s">
        <v>2466</v>
      </c>
      <c r="AF688" s="0" t="s">
        <v>301</v>
      </c>
      <c r="AP688" s="0" t="s">
        <v>305</v>
      </c>
      <c r="BA688" s="0">
        <v>503</v>
      </c>
      <c r="BB688" s="0" t="s">
        <v>232</v>
      </c>
      <c r="BC688" s="0">
        <v>2</v>
      </c>
      <c r="BD688" s="0">
        <v>14</v>
      </c>
      <c r="BE688" s="0">
        <v>58611</v>
      </c>
      <c r="BF688" s="0">
        <v>4</v>
      </c>
      <c r="BG688" s="0" t="s">
        <v>5340</v>
      </c>
      <c r="BI688" s="0">
        <v>780</v>
      </c>
      <c r="BK688" s="0" t="s">
        <v>5341</v>
      </c>
    </row>
    <row r="689">
      <c r="A689" s="0">
        <v>5346</v>
      </c>
      <c r="B689" s="0" t="s">
        <v>5342</v>
      </c>
      <c r="C689" s="0" t="s">
        <v>339</v>
      </c>
      <c r="D689" s="0" t="s">
        <v>5343</v>
      </c>
      <c r="E689" s="0" t="s">
        <v>5344</v>
      </c>
      <c r="F689" s="0">
        <v>1</v>
      </c>
      <c r="G689" s="0" t="s">
        <v>319</v>
      </c>
      <c r="H689" s="0" t="s">
        <v>320</v>
      </c>
      <c r="I689" s="0" t="s">
        <v>524</v>
      </c>
      <c r="J689" s="0" t="s">
        <v>400</v>
      </c>
      <c r="P689" s="0" t="s">
        <v>5345</v>
      </c>
      <c r="Q689" s="0" t="s">
        <v>5345</v>
      </c>
      <c r="R689" s="0" t="s">
        <v>1232</v>
      </c>
      <c r="T689" s="0" t="s">
        <v>5346</v>
      </c>
      <c r="U689" s="0" t="s">
        <v>5347</v>
      </c>
      <c r="W689" s="0" t="s">
        <v>5348</v>
      </c>
      <c r="X689" s="0" t="s">
        <v>347</v>
      </c>
      <c r="Y689" s="0" t="s">
        <v>126</v>
      </c>
      <c r="Z689" s="0" t="s">
        <v>5349</v>
      </c>
      <c r="AA689" s="0" t="s">
        <v>163</v>
      </c>
      <c r="AB689" s="0" t="s">
        <v>300</v>
      </c>
      <c r="AF689" s="0" t="s">
        <v>301</v>
      </c>
      <c r="AM689" s="0" t="s">
        <v>474</v>
      </c>
      <c r="AN689" s="0" t="s">
        <v>388</v>
      </c>
      <c r="AO689" s="0" t="s">
        <v>586</v>
      </c>
      <c r="AP689" s="0" t="s">
        <v>305</v>
      </c>
      <c r="AQ689" s="0" t="s">
        <v>1431</v>
      </c>
      <c r="AR689" s="0" t="s">
        <v>1432</v>
      </c>
      <c r="AS689" s="0">
        <v>38</v>
      </c>
      <c r="AT689" s="0">
        <v>87</v>
      </c>
      <c r="AU689" s="0">
        <v>109</v>
      </c>
      <c r="AV689" s="0" t="s">
        <v>332</v>
      </c>
      <c r="AX689" s="0" t="s">
        <v>503</v>
      </c>
      <c r="AY689" s="0" t="s">
        <v>367</v>
      </c>
      <c r="AZ689" s="0" t="s">
        <v>3269</v>
      </c>
      <c r="BA689" s="0">
        <v>504</v>
      </c>
      <c r="BB689" s="0" t="s">
        <v>232</v>
      </c>
      <c r="BC689" s="0">
        <v>2</v>
      </c>
      <c r="BD689" s="0">
        <v>8</v>
      </c>
      <c r="BE689" s="0">
        <v>519644</v>
      </c>
      <c r="BF689" s="0">
        <v>4</v>
      </c>
      <c r="BG689" s="0" t="s">
        <v>5350</v>
      </c>
      <c r="BI689" s="0">
        <v>383</v>
      </c>
      <c r="BK689" s="0" t="s">
        <v>5351</v>
      </c>
    </row>
    <row r="690">
      <c r="A690" s="0">
        <v>5348</v>
      </c>
      <c r="B690" s="0" t="s">
        <v>5352</v>
      </c>
      <c r="C690" s="0" t="s">
        <v>315</v>
      </c>
      <c r="D690" s="0" t="s">
        <v>5343</v>
      </c>
      <c r="E690" s="0" t="s">
        <v>5353</v>
      </c>
      <c r="F690" s="0">
        <v>2</v>
      </c>
      <c r="G690" s="0" t="s">
        <v>1969</v>
      </c>
      <c r="J690" s="0" t="s">
        <v>1969</v>
      </c>
      <c r="M690" s="0" t="s">
        <v>1969</v>
      </c>
      <c r="T690" s="0" t="s">
        <v>5354</v>
      </c>
      <c r="U690" s="0" t="s">
        <v>5355</v>
      </c>
      <c r="W690" s="0" t="s">
        <v>5348</v>
      </c>
      <c r="X690" s="0" t="s">
        <v>529</v>
      </c>
      <c r="Y690" s="0" t="s">
        <v>126</v>
      </c>
      <c r="Z690" s="0" t="s">
        <v>5349</v>
      </c>
      <c r="AA690" s="0" t="s">
        <v>163</v>
      </c>
      <c r="AB690" s="0" t="s">
        <v>300</v>
      </c>
      <c r="AF690" s="0" t="s">
        <v>301</v>
      </c>
      <c r="AP690" s="0" t="s">
        <v>305</v>
      </c>
      <c r="BA690" s="0">
        <v>504</v>
      </c>
      <c r="BB690" s="0" t="s">
        <v>232</v>
      </c>
      <c r="BC690" s="0">
        <v>2</v>
      </c>
      <c r="BD690" s="0">
        <v>374043</v>
      </c>
      <c r="BE690" s="0">
        <v>519644</v>
      </c>
      <c r="BF690" s="0">
        <v>2</v>
      </c>
      <c r="BG690" s="0" t="s">
        <v>5356</v>
      </c>
      <c r="BI690" s="0">
        <v>1115</v>
      </c>
      <c r="BK690" s="0" t="s">
        <v>5357</v>
      </c>
    </row>
    <row r="691">
      <c r="A691" s="0">
        <v>5353</v>
      </c>
      <c r="B691" s="0" t="s">
        <v>5358</v>
      </c>
      <c r="C691" s="0" t="s">
        <v>339</v>
      </c>
      <c r="D691" s="0" t="s">
        <v>5343</v>
      </c>
      <c r="E691" s="0" t="s">
        <v>5359</v>
      </c>
      <c r="F691" s="0">
        <v>1</v>
      </c>
      <c r="G691" s="0" t="s">
        <v>318</v>
      </c>
      <c r="J691" s="0" t="s">
        <v>5360</v>
      </c>
      <c r="M691" s="0" t="s">
        <v>293</v>
      </c>
      <c r="N691" s="0" t="s">
        <v>294</v>
      </c>
      <c r="O691" s="0" t="s">
        <v>295</v>
      </c>
      <c r="P691" s="0" t="s">
        <v>323</v>
      </c>
      <c r="Q691" s="0" t="s">
        <v>5361</v>
      </c>
      <c r="R691" s="0" t="s">
        <v>971</v>
      </c>
      <c r="T691" s="0" t="s">
        <v>5362</v>
      </c>
      <c r="U691" s="0" t="s">
        <v>5363</v>
      </c>
      <c r="W691" s="0" t="s">
        <v>5348</v>
      </c>
      <c r="X691" s="0" t="s">
        <v>347</v>
      </c>
      <c r="Y691" s="0" t="s">
        <v>126</v>
      </c>
      <c r="Z691" s="0" t="s">
        <v>5349</v>
      </c>
      <c r="AA691" s="0" t="s">
        <v>163</v>
      </c>
      <c r="AB691" s="0" t="s">
        <v>300</v>
      </c>
      <c r="AF691" s="0" t="s">
        <v>301</v>
      </c>
      <c r="AM691" s="0" t="s">
        <v>5364</v>
      </c>
      <c r="AN691" s="0" t="s">
        <v>5365</v>
      </c>
      <c r="AO691" s="0" t="s">
        <v>5366</v>
      </c>
      <c r="AP691" s="0" t="s">
        <v>305</v>
      </c>
      <c r="AQ691" s="0" t="s">
        <v>5367</v>
      </c>
      <c r="AR691" s="0" t="s">
        <v>5368</v>
      </c>
      <c r="AU691" s="0">
        <v>55</v>
      </c>
      <c r="AV691" s="0" t="s">
        <v>1840</v>
      </c>
      <c r="AW691" s="0" t="s">
        <v>308</v>
      </c>
      <c r="AX691" s="0" t="s">
        <v>5369</v>
      </c>
      <c r="AY691" s="0" t="s">
        <v>5370</v>
      </c>
      <c r="AZ691" s="0" t="s">
        <v>5371</v>
      </c>
      <c r="BA691" s="0">
        <v>504</v>
      </c>
      <c r="BB691" s="0" t="s">
        <v>232</v>
      </c>
      <c r="BC691" s="0">
        <v>2</v>
      </c>
      <c r="BD691" s="0">
        <v>8</v>
      </c>
      <c r="BE691" s="0">
        <v>519644</v>
      </c>
      <c r="BF691" s="0">
        <v>4</v>
      </c>
      <c r="BG691" s="0" t="s">
        <v>5372</v>
      </c>
      <c r="BI691" s="0">
        <v>1423</v>
      </c>
      <c r="BK691" s="0" t="s">
        <v>5373</v>
      </c>
    </row>
    <row r="692">
      <c r="A692" s="0">
        <v>5347</v>
      </c>
      <c r="B692" s="0" t="s">
        <v>5374</v>
      </c>
      <c r="C692" s="0" t="s">
        <v>945</v>
      </c>
      <c r="D692" s="0" t="s">
        <v>5375</v>
      </c>
      <c r="E692" s="0" t="s">
        <v>5376</v>
      </c>
      <c r="F692" s="0">
        <v>1</v>
      </c>
      <c r="G692" s="0" t="s">
        <v>2715</v>
      </c>
      <c r="H692" s="0" t="s">
        <v>5377</v>
      </c>
      <c r="I692" s="0" t="s">
        <v>5378</v>
      </c>
      <c r="J692" s="0" t="s">
        <v>358</v>
      </c>
      <c r="K692" s="0" t="s">
        <v>379</v>
      </c>
      <c r="L692" s="0" t="s">
        <v>418</v>
      </c>
      <c r="M692" s="0" t="s">
        <v>508</v>
      </c>
      <c r="N692" s="0" t="s">
        <v>5379</v>
      </c>
      <c r="T692" s="0" t="s">
        <v>5380</v>
      </c>
      <c r="U692" s="0" t="s">
        <v>5381</v>
      </c>
      <c r="W692" s="0" t="s">
        <v>5348</v>
      </c>
      <c r="X692" s="0" t="s">
        <v>529</v>
      </c>
      <c r="Y692" s="0" t="s">
        <v>126</v>
      </c>
      <c r="Z692" s="0" t="s">
        <v>5349</v>
      </c>
      <c r="AA692" s="0" t="s">
        <v>163</v>
      </c>
      <c r="AB692" s="0" t="s">
        <v>300</v>
      </c>
      <c r="AF692" s="0" t="s">
        <v>301</v>
      </c>
      <c r="AP692" s="0" t="s">
        <v>305</v>
      </c>
      <c r="BA692" s="0">
        <v>504</v>
      </c>
      <c r="BB692" s="0" t="s">
        <v>232</v>
      </c>
      <c r="BC692" s="0">
        <v>2</v>
      </c>
      <c r="BD692" s="0">
        <v>14</v>
      </c>
      <c r="BE692" s="0">
        <v>519644</v>
      </c>
      <c r="BF692" s="0">
        <v>2</v>
      </c>
      <c r="BG692" s="0" t="s">
        <v>5382</v>
      </c>
      <c r="BI692" s="0">
        <v>783</v>
      </c>
      <c r="BK692" s="0" t="s">
        <v>5383</v>
      </c>
    </row>
    <row r="693">
      <c r="A693" s="0">
        <v>5351</v>
      </c>
      <c r="B693" s="0" t="s">
        <v>5384</v>
      </c>
      <c r="C693" s="0" t="s">
        <v>315</v>
      </c>
      <c r="D693" s="0" t="s">
        <v>5277</v>
      </c>
      <c r="E693" s="0" t="s">
        <v>5385</v>
      </c>
      <c r="F693" s="0">
        <v>1</v>
      </c>
      <c r="G693" s="0" t="s">
        <v>319</v>
      </c>
      <c r="H693" s="0" t="s">
        <v>483</v>
      </c>
      <c r="I693" s="0" t="s">
        <v>524</v>
      </c>
      <c r="J693" s="0" t="s">
        <v>293</v>
      </c>
      <c r="L693" s="0" t="s">
        <v>295</v>
      </c>
      <c r="P693" s="0" t="s">
        <v>343</v>
      </c>
      <c r="Q693" s="0" t="s">
        <v>343</v>
      </c>
      <c r="U693" s="0" t="s">
        <v>5386</v>
      </c>
      <c r="W693" s="0" t="s">
        <v>1411</v>
      </c>
      <c r="X693" s="0" t="s">
        <v>529</v>
      </c>
      <c r="Y693" s="0" t="s">
        <v>63</v>
      </c>
      <c r="Z693" s="0" t="s">
        <v>5387</v>
      </c>
      <c r="AA693" s="0" t="s">
        <v>166</v>
      </c>
      <c r="AB693" s="0" t="s">
        <v>531</v>
      </c>
      <c r="AC693" s="0" t="s">
        <v>532</v>
      </c>
      <c r="AE693" s="0" t="s">
        <v>5388</v>
      </c>
      <c r="AF693" s="0" t="s">
        <v>301</v>
      </c>
      <c r="AP693" s="0" t="s">
        <v>305</v>
      </c>
      <c r="BA693" s="0">
        <v>505</v>
      </c>
      <c r="BB693" s="0" t="s">
        <v>232</v>
      </c>
      <c r="BC693" s="0">
        <v>2</v>
      </c>
      <c r="BD693" s="0">
        <v>374043</v>
      </c>
      <c r="BE693" s="0">
        <v>2566</v>
      </c>
      <c r="BF693" s="0">
        <v>2</v>
      </c>
      <c r="BG693" s="0" t="s">
        <v>5389</v>
      </c>
      <c r="BI693" s="0">
        <v>1118</v>
      </c>
      <c r="BK693" s="0" t="s">
        <v>5390</v>
      </c>
    </row>
    <row r="694">
      <c r="A694" s="0">
        <v>5349</v>
      </c>
      <c r="B694" s="0" t="s">
        <v>5391</v>
      </c>
      <c r="C694" s="0" t="s">
        <v>315</v>
      </c>
      <c r="D694" s="0" t="s">
        <v>5277</v>
      </c>
      <c r="E694" s="0" t="s">
        <v>5392</v>
      </c>
      <c r="F694" s="0">
        <v>1</v>
      </c>
      <c r="G694" s="0" t="s">
        <v>319</v>
      </c>
      <c r="H694" s="0" t="s">
        <v>398</v>
      </c>
      <c r="I694" s="0" t="s">
        <v>471</v>
      </c>
      <c r="J694" s="0" t="s">
        <v>594</v>
      </c>
      <c r="P694" s="0" t="s">
        <v>323</v>
      </c>
      <c r="Q694" s="0" t="s">
        <v>323</v>
      </c>
      <c r="R694" s="0" t="s">
        <v>2393</v>
      </c>
      <c r="U694" s="0" t="s">
        <v>5393</v>
      </c>
      <c r="W694" s="0" t="s">
        <v>1411</v>
      </c>
      <c r="X694" s="0" t="s">
        <v>529</v>
      </c>
      <c r="Y694" s="0" t="s">
        <v>63</v>
      </c>
      <c r="Z694" s="0" t="s">
        <v>5387</v>
      </c>
      <c r="AA694" s="0" t="s">
        <v>166</v>
      </c>
      <c r="AB694" s="0" t="s">
        <v>531</v>
      </c>
      <c r="AC694" s="0" t="s">
        <v>532</v>
      </c>
      <c r="AE694" s="0" t="s">
        <v>5388</v>
      </c>
      <c r="AF694" s="0" t="s">
        <v>301</v>
      </c>
      <c r="AP694" s="0" t="s">
        <v>305</v>
      </c>
      <c r="BA694" s="0">
        <v>505</v>
      </c>
      <c r="BB694" s="0" t="s">
        <v>232</v>
      </c>
      <c r="BC694" s="0">
        <v>2</v>
      </c>
      <c r="BD694" s="0">
        <v>374043</v>
      </c>
      <c r="BE694" s="0">
        <v>2566</v>
      </c>
      <c r="BF694" s="0">
        <v>2</v>
      </c>
      <c r="BG694" s="0" t="s">
        <v>5394</v>
      </c>
      <c r="BI694" s="0">
        <v>787</v>
      </c>
      <c r="BK694" s="0" t="s">
        <v>5395</v>
      </c>
    </row>
    <row r="695">
      <c r="A695" s="0">
        <v>5350</v>
      </c>
      <c r="B695" s="0" t="s">
        <v>5396</v>
      </c>
      <c r="C695" s="0" t="s">
        <v>315</v>
      </c>
      <c r="D695" s="0" t="s">
        <v>5277</v>
      </c>
      <c r="E695" s="0" t="s">
        <v>5397</v>
      </c>
      <c r="F695" s="0">
        <v>2</v>
      </c>
      <c r="G695" s="0" t="s">
        <v>319</v>
      </c>
      <c r="H695" s="0" t="s">
        <v>398</v>
      </c>
      <c r="I695" s="0" t="s">
        <v>471</v>
      </c>
      <c r="J695" s="0" t="s">
        <v>594</v>
      </c>
      <c r="P695" s="0" t="s">
        <v>323</v>
      </c>
      <c r="Q695" s="0" t="s">
        <v>323</v>
      </c>
      <c r="R695" s="0" t="s">
        <v>2393</v>
      </c>
      <c r="U695" s="0" t="s">
        <v>5398</v>
      </c>
      <c r="W695" s="0" t="s">
        <v>1411</v>
      </c>
      <c r="X695" s="0" t="s">
        <v>529</v>
      </c>
      <c r="Y695" s="0" t="s">
        <v>63</v>
      </c>
      <c r="Z695" s="0" t="s">
        <v>5387</v>
      </c>
      <c r="AA695" s="0" t="s">
        <v>166</v>
      </c>
      <c r="AB695" s="0" t="s">
        <v>531</v>
      </c>
      <c r="AC695" s="0" t="s">
        <v>532</v>
      </c>
      <c r="AE695" s="0" t="s">
        <v>5388</v>
      </c>
      <c r="AF695" s="0" t="s">
        <v>301</v>
      </c>
      <c r="AP695" s="0" t="s">
        <v>305</v>
      </c>
      <c r="BA695" s="0">
        <v>505</v>
      </c>
      <c r="BB695" s="0" t="s">
        <v>232</v>
      </c>
      <c r="BC695" s="0">
        <v>2</v>
      </c>
      <c r="BD695" s="0">
        <v>374043</v>
      </c>
      <c r="BE695" s="0">
        <v>2566</v>
      </c>
      <c r="BF695" s="0">
        <v>2</v>
      </c>
      <c r="BG695" s="0" t="s">
        <v>5399</v>
      </c>
      <c r="BI695" s="0">
        <v>386</v>
      </c>
      <c r="BK695" s="0" t="s">
        <v>5400</v>
      </c>
    </row>
    <row r="696">
      <c r="A696" s="0">
        <v>5352</v>
      </c>
      <c r="B696" s="0" t="s">
        <v>5401</v>
      </c>
      <c r="C696" s="0" t="s">
        <v>315</v>
      </c>
      <c r="E696" s="0" t="s">
        <v>3182</v>
      </c>
      <c r="F696" s="0">
        <v>1</v>
      </c>
      <c r="G696" s="0" t="s">
        <v>319</v>
      </c>
      <c r="H696" s="0" t="s">
        <v>483</v>
      </c>
      <c r="I696" s="0" t="s">
        <v>5402</v>
      </c>
      <c r="J696" s="0" t="s">
        <v>293</v>
      </c>
      <c r="K696" s="0" t="s">
        <v>3113</v>
      </c>
      <c r="L696" s="0" t="s">
        <v>1284</v>
      </c>
      <c r="M696" s="0" t="s">
        <v>525</v>
      </c>
      <c r="N696" s="0" t="s">
        <v>508</v>
      </c>
      <c r="P696" s="0" t="s">
        <v>323</v>
      </c>
      <c r="Q696" s="0" t="s">
        <v>343</v>
      </c>
      <c r="R696" s="0" t="s">
        <v>324</v>
      </c>
      <c r="T696" s="0" t="s">
        <v>5403</v>
      </c>
      <c r="X696" s="0" t="s">
        <v>1116</v>
      </c>
      <c r="Y696" s="0" t="s">
        <v>42</v>
      </c>
      <c r="Z696" s="0" t="s">
        <v>2384</v>
      </c>
      <c r="AA696" s="0" t="s">
        <v>216</v>
      </c>
      <c r="AF696" s="0" t="s">
        <v>1688</v>
      </c>
      <c r="AP696" s="0" t="s">
        <v>305</v>
      </c>
      <c r="BA696" s="0">
        <v>506</v>
      </c>
      <c r="BB696" s="0" t="s">
        <v>232</v>
      </c>
      <c r="BC696" s="0">
        <v>3</v>
      </c>
      <c r="BD696" s="0">
        <v>374043</v>
      </c>
      <c r="BE696" s="0">
        <v>70560</v>
      </c>
      <c r="BF696" s="0">
        <v>1</v>
      </c>
      <c r="BG696" s="0" t="s">
        <v>5404</v>
      </c>
      <c r="BI696" s="0">
        <v>28</v>
      </c>
      <c r="BK696" s="0" t="s">
        <v>5405</v>
      </c>
    </row>
    <row r="697">
      <c r="A697" s="0">
        <v>5463</v>
      </c>
      <c r="B697" s="0" t="s">
        <v>5406</v>
      </c>
      <c r="C697" s="0" t="s">
        <v>315</v>
      </c>
      <c r="D697" s="0" t="s">
        <v>4455</v>
      </c>
      <c r="E697" s="0" t="s">
        <v>5407</v>
      </c>
      <c r="F697" s="0">
        <v>1</v>
      </c>
      <c r="G697" s="0" t="s">
        <v>555</v>
      </c>
      <c r="H697" s="0" t="s">
        <v>1020</v>
      </c>
      <c r="I697" s="0" t="s">
        <v>417</v>
      </c>
      <c r="J697" s="0" t="s">
        <v>594</v>
      </c>
      <c r="K697" s="0" t="s">
        <v>1190</v>
      </c>
      <c r="L697" s="0" t="s">
        <v>5408</v>
      </c>
      <c r="P697" s="0" t="s">
        <v>323</v>
      </c>
      <c r="Q697" s="0" t="s">
        <v>323</v>
      </c>
      <c r="R697" s="0" t="s">
        <v>556</v>
      </c>
      <c r="T697" s="0" t="s">
        <v>5409</v>
      </c>
      <c r="U697" s="0" t="s">
        <v>5410</v>
      </c>
      <c r="W697" s="0" t="s">
        <v>4640</v>
      </c>
      <c r="X697" s="0" t="s">
        <v>1688</v>
      </c>
      <c r="Y697" s="0" t="s">
        <v>36</v>
      </c>
      <c r="Z697" s="0" t="s">
        <v>4002</v>
      </c>
      <c r="AA697" s="0" t="s">
        <v>157</v>
      </c>
      <c r="AB697" s="0" t="s">
        <v>300</v>
      </c>
      <c r="AD697" s="0" t="s">
        <v>4641</v>
      </c>
      <c r="AF697" s="0" t="s">
        <v>301</v>
      </c>
      <c r="AP697" s="0" t="s">
        <v>305</v>
      </c>
      <c r="BA697" s="0">
        <v>507</v>
      </c>
      <c r="BB697" s="0" t="s">
        <v>232</v>
      </c>
      <c r="BC697" s="0">
        <v>2</v>
      </c>
      <c r="BD697" s="0">
        <v>374043</v>
      </c>
      <c r="BE697" s="0">
        <v>134783</v>
      </c>
      <c r="BF697" s="0">
        <v>6</v>
      </c>
      <c r="BG697" s="0" t="s">
        <v>5411</v>
      </c>
      <c r="BI697" s="0">
        <v>2928</v>
      </c>
      <c r="BK697" s="0" t="s">
        <v>5412</v>
      </c>
    </row>
    <row r="698">
      <c r="A698" s="0">
        <v>5362</v>
      </c>
      <c r="B698" s="0" t="s">
        <v>5413</v>
      </c>
      <c r="C698" s="0" t="s">
        <v>945</v>
      </c>
      <c r="D698" s="0" t="s">
        <v>4455</v>
      </c>
      <c r="E698" s="0" t="s">
        <v>5414</v>
      </c>
      <c r="F698" s="0">
        <v>1</v>
      </c>
      <c r="G698" s="0" t="s">
        <v>555</v>
      </c>
      <c r="H698" s="0" t="s">
        <v>1112</v>
      </c>
      <c r="I698" s="0" t="s">
        <v>469</v>
      </c>
      <c r="J698" s="0" t="s">
        <v>525</v>
      </c>
      <c r="K698" s="0" t="s">
        <v>400</v>
      </c>
      <c r="L698" s="0" t="s">
        <v>469</v>
      </c>
      <c r="P698" s="0" t="s">
        <v>343</v>
      </c>
      <c r="Q698" s="0" t="s">
        <v>343</v>
      </c>
      <c r="T698" s="0" t="s">
        <v>5415</v>
      </c>
      <c r="U698" s="0" t="s">
        <v>5416</v>
      </c>
      <c r="W698" s="0" t="s">
        <v>4640</v>
      </c>
      <c r="X698" s="0" t="s">
        <v>1688</v>
      </c>
      <c r="Y698" s="0" t="s">
        <v>36</v>
      </c>
      <c r="Z698" s="0" t="s">
        <v>4002</v>
      </c>
      <c r="AA698" s="0" t="s">
        <v>157</v>
      </c>
      <c r="AB698" s="0" t="s">
        <v>300</v>
      </c>
      <c r="AD698" s="0" t="s">
        <v>4641</v>
      </c>
      <c r="AF698" s="0" t="s">
        <v>301</v>
      </c>
      <c r="AP698" s="0" t="s">
        <v>305</v>
      </c>
      <c r="BA698" s="0">
        <v>507</v>
      </c>
      <c r="BB698" s="0" t="s">
        <v>232</v>
      </c>
      <c r="BC698" s="0">
        <v>2</v>
      </c>
      <c r="BD698" s="0">
        <v>14</v>
      </c>
      <c r="BE698" s="0">
        <v>134783</v>
      </c>
      <c r="BF698" s="0">
        <v>6</v>
      </c>
      <c r="BG698" s="0" t="s">
        <v>5417</v>
      </c>
      <c r="BI698" s="0">
        <v>1938</v>
      </c>
      <c r="BK698" s="0" t="s">
        <v>5418</v>
      </c>
    </row>
    <row r="699">
      <c r="A699" s="0">
        <v>5361</v>
      </c>
      <c r="B699" s="0" t="s">
        <v>5419</v>
      </c>
      <c r="C699" s="0" t="s">
        <v>945</v>
      </c>
      <c r="D699" s="0" t="s">
        <v>4455</v>
      </c>
      <c r="E699" s="0" t="s">
        <v>5420</v>
      </c>
      <c r="F699" s="0">
        <v>1</v>
      </c>
      <c r="G699" s="0" t="s">
        <v>555</v>
      </c>
      <c r="H699" s="0" t="s">
        <v>1112</v>
      </c>
      <c r="I699" s="0" t="s">
        <v>469</v>
      </c>
      <c r="J699" s="0" t="s">
        <v>525</v>
      </c>
      <c r="K699" s="0" t="s">
        <v>400</v>
      </c>
      <c r="L699" s="0" t="s">
        <v>469</v>
      </c>
      <c r="P699" s="0" t="s">
        <v>343</v>
      </c>
      <c r="Q699" s="0" t="s">
        <v>343</v>
      </c>
      <c r="T699" s="0" t="s">
        <v>5421</v>
      </c>
      <c r="U699" s="0" t="s">
        <v>5422</v>
      </c>
      <c r="W699" s="0" t="s">
        <v>4640</v>
      </c>
      <c r="X699" s="0" t="s">
        <v>1688</v>
      </c>
      <c r="Y699" s="0" t="s">
        <v>36</v>
      </c>
      <c r="Z699" s="0" t="s">
        <v>4002</v>
      </c>
      <c r="AA699" s="0" t="s">
        <v>157</v>
      </c>
      <c r="AB699" s="0" t="s">
        <v>300</v>
      </c>
      <c r="AD699" s="0" t="s">
        <v>4641</v>
      </c>
      <c r="AF699" s="0" t="s">
        <v>301</v>
      </c>
      <c r="AP699" s="0" t="s">
        <v>305</v>
      </c>
      <c r="BA699" s="0">
        <v>507</v>
      </c>
      <c r="BB699" s="0" t="s">
        <v>232</v>
      </c>
      <c r="BC699" s="0">
        <v>2</v>
      </c>
      <c r="BD699" s="0">
        <v>14</v>
      </c>
      <c r="BE699" s="0">
        <v>134783</v>
      </c>
      <c r="BF699" s="0">
        <v>6</v>
      </c>
      <c r="BG699" s="0" t="s">
        <v>5423</v>
      </c>
      <c r="BI699" s="0">
        <v>1694</v>
      </c>
      <c r="BK699" s="0" t="s">
        <v>5424</v>
      </c>
    </row>
    <row r="700">
      <c r="A700" s="0">
        <v>5357</v>
      </c>
      <c r="B700" s="0" t="s">
        <v>5425</v>
      </c>
      <c r="C700" s="0" t="s">
        <v>315</v>
      </c>
      <c r="D700" s="0" t="s">
        <v>4455</v>
      </c>
      <c r="E700" s="0" t="s">
        <v>5426</v>
      </c>
      <c r="F700" s="0">
        <v>1</v>
      </c>
      <c r="G700" s="0" t="s">
        <v>319</v>
      </c>
      <c r="H700" s="0" t="s">
        <v>398</v>
      </c>
      <c r="I700" s="0" t="s">
        <v>471</v>
      </c>
      <c r="J700" s="0" t="s">
        <v>293</v>
      </c>
      <c r="K700" s="0" t="s">
        <v>294</v>
      </c>
      <c r="L700" s="0" t="s">
        <v>918</v>
      </c>
      <c r="P700" s="0" t="s">
        <v>323</v>
      </c>
      <c r="Q700" s="0" t="s">
        <v>323</v>
      </c>
      <c r="R700" s="0" t="s">
        <v>2393</v>
      </c>
      <c r="T700" s="0" t="s">
        <v>5427</v>
      </c>
      <c r="U700" s="0" t="s">
        <v>5428</v>
      </c>
      <c r="W700" s="0" t="s">
        <v>4640</v>
      </c>
      <c r="X700" s="0" t="s">
        <v>1688</v>
      </c>
      <c r="Y700" s="0" t="s">
        <v>36</v>
      </c>
      <c r="Z700" s="0" t="s">
        <v>4002</v>
      </c>
      <c r="AA700" s="0" t="s">
        <v>157</v>
      </c>
      <c r="AB700" s="0" t="s">
        <v>300</v>
      </c>
      <c r="AD700" s="0" t="s">
        <v>4641</v>
      </c>
      <c r="AF700" s="0" t="s">
        <v>301</v>
      </c>
      <c r="AP700" s="0" t="s">
        <v>305</v>
      </c>
      <c r="BA700" s="0">
        <v>507</v>
      </c>
      <c r="BB700" s="0" t="s">
        <v>232</v>
      </c>
      <c r="BC700" s="0">
        <v>2</v>
      </c>
      <c r="BD700" s="0">
        <v>374043</v>
      </c>
      <c r="BE700" s="0">
        <v>134783</v>
      </c>
      <c r="BF700" s="0">
        <v>6</v>
      </c>
      <c r="BG700" s="0" t="s">
        <v>5429</v>
      </c>
      <c r="BI700" s="0">
        <v>389</v>
      </c>
      <c r="BK700" s="0" t="s">
        <v>5430</v>
      </c>
    </row>
    <row r="701">
      <c r="A701" s="0">
        <v>5363</v>
      </c>
      <c r="B701" s="0" t="s">
        <v>5431</v>
      </c>
      <c r="C701" s="0" t="s">
        <v>945</v>
      </c>
      <c r="D701" s="0" t="s">
        <v>4455</v>
      </c>
      <c r="E701" s="0" t="s">
        <v>5432</v>
      </c>
      <c r="F701" s="0">
        <v>1</v>
      </c>
      <c r="G701" s="0" t="s">
        <v>555</v>
      </c>
      <c r="H701" s="0" t="s">
        <v>1112</v>
      </c>
      <c r="I701" s="0" t="s">
        <v>469</v>
      </c>
      <c r="J701" s="0" t="s">
        <v>594</v>
      </c>
      <c r="K701" s="0" t="s">
        <v>1190</v>
      </c>
      <c r="L701" s="0" t="s">
        <v>469</v>
      </c>
      <c r="P701" s="0" t="s">
        <v>323</v>
      </c>
      <c r="Q701" s="0" t="s">
        <v>343</v>
      </c>
      <c r="R701" s="0" t="s">
        <v>556</v>
      </c>
      <c r="T701" s="0" t="s">
        <v>5433</v>
      </c>
      <c r="U701" s="0" t="s">
        <v>5434</v>
      </c>
      <c r="W701" s="0" t="s">
        <v>4640</v>
      </c>
      <c r="X701" s="0" t="s">
        <v>1688</v>
      </c>
      <c r="Y701" s="0" t="s">
        <v>36</v>
      </c>
      <c r="Z701" s="0" t="s">
        <v>4002</v>
      </c>
      <c r="AA701" s="0" t="s">
        <v>157</v>
      </c>
      <c r="AB701" s="0" t="s">
        <v>300</v>
      </c>
      <c r="AD701" s="0" t="s">
        <v>4641</v>
      </c>
      <c r="AF701" s="0" t="s">
        <v>301</v>
      </c>
      <c r="AM701" s="0" t="s">
        <v>504</v>
      </c>
      <c r="AN701" s="0" t="s">
        <v>352</v>
      </c>
      <c r="AO701" s="0" t="s">
        <v>816</v>
      </c>
      <c r="AP701" s="0" t="s">
        <v>305</v>
      </c>
      <c r="AQ701" s="0" t="s">
        <v>1850</v>
      </c>
      <c r="AR701" s="0" t="s">
        <v>883</v>
      </c>
      <c r="AS701" s="0">
        <v>128</v>
      </c>
      <c r="AT701" s="0">
        <v>268</v>
      </c>
      <c r="AU701" s="0">
        <v>284</v>
      </c>
      <c r="AV701" s="0" t="s">
        <v>308</v>
      </c>
      <c r="AX701" s="0" t="s">
        <v>352</v>
      </c>
      <c r="AY701" s="0" t="s">
        <v>2900</v>
      </c>
      <c r="AZ701" s="0" t="s">
        <v>2791</v>
      </c>
      <c r="BA701" s="0">
        <v>507</v>
      </c>
      <c r="BB701" s="0" t="s">
        <v>232</v>
      </c>
      <c r="BC701" s="0">
        <v>2</v>
      </c>
      <c r="BD701" s="0">
        <v>14</v>
      </c>
      <c r="BE701" s="0">
        <v>134783</v>
      </c>
      <c r="BF701" s="0">
        <v>6</v>
      </c>
      <c r="BG701" s="0" t="s">
        <v>5435</v>
      </c>
      <c r="BI701" s="0">
        <v>2167</v>
      </c>
      <c r="BK701" s="0" t="s">
        <v>5436</v>
      </c>
    </row>
    <row r="702">
      <c r="A702" s="0">
        <v>5424</v>
      </c>
      <c r="B702" s="0" t="s">
        <v>5437</v>
      </c>
      <c r="C702" s="0" t="s">
        <v>315</v>
      </c>
      <c r="D702" s="0" t="s">
        <v>4455</v>
      </c>
      <c r="E702" s="0" t="s">
        <v>5438</v>
      </c>
      <c r="F702" s="0">
        <v>1</v>
      </c>
      <c r="G702" s="0" t="s">
        <v>555</v>
      </c>
      <c r="H702" s="0" t="s">
        <v>1112</v>
      </c>
      <c r="I702" s="0" t="s">
        <v>5439</v>
      </c>
      <c r="J702" s="0" t="s">
        <v>594</v>
      </c>
      <c r="K702" s="0" t="s">
        <v>1190</v>
      </c>
      <c r="L702" s="0" t="s">
        <v>4749</v>
      </c>
      <c r="P702" s="0" t="s">
        <v>323</v>
      </c>
      <c r="Q702" s="0" t="s">
        <v>323</v>
      </c>
      <c r="R702" s="0" t="s">
        <v>3998</v>
      </c>
      <c r="T702" s="0" t="s">
        <v>5440</v>
      </c>
      <c r="U702" s="0" t="s">
        <v>5441</v>
      </c>
      <c r="W702" s="0" t="s">
        <v>4640</v>
      </c>
      <c r="X702" s="0" t="s">
        <v>1688</v>
      </c>
      <c r="Y702" s="0" t="s">
        <v>36</v>
      </c>
      <c r="Z702" s="0" t="s">
        <v>4002</v>
      </c>
      <c r="AA702" s="0" t="s">
        <v>157</v>
      </c>
      <c r="AB702" s="0" t="s">
        <v>300</v>
      </c>
      <c r="AD702" s="0" t="s">
        <v>4641</v>
      </c>
      <c r="AF702" s="0" t="s">
        <v>301</v>
      </c>
      <c r="AP702" s="0" t="s">
        <v>305</v>
      </c>
      <c r="BA702" s="0">
        <v>507</v>
      </c>
      <c r="BB702" s="0" t="s">
        <v>232</v>
      </c>
      <c r="BC702" s="0">
        <v>2</v>
      </c>
      <c r="BD702" s="0">
        <v>374043</v>
      </c>
      <c r="BE702" s="0">
        <v>134783</v>
      </c>
      <c r="BF702" s="0">
        <v>6</v>
      </c>
      <c r="BG702" s="0" t="s">
        <v>5442</v>
      </c>
      <c r="BI702" s="0">
        <v>2384</v>
      </c>
      <c r="BK702" s="0" t="s">
        <v>5443</v>
      </c>
    </row>
    <row r="703">
      <c r="A703" s="0">
        <v>5425</v>
      </c>
      <c r="B703" s="0" t="s">
        <v>5444</v>
      </c>
      <c r="C703" s="0" t="s">
        <v>315</v>
      </c>
      <c r="D703" s="0" t="s">
        <v>4455</v>
      </c>
      <c r="E703" s="0" t="s">
        <v>969</v>
      </c>
      <c r="F703" s="0">
        <v>1</v>
      </c>
      <c r="G703" s="0" t="s">
        <v>319</v>
      </c>
      <c r="H703" s="0" t="s">
        <v>658</v>
      </c>
      <c r="I703" s="0" t="s">
        <v>5445</v>
      </c>
      <c r="J703" s="0" t="s">
        <v>594</v>
      </c>
      <c r="K703" s="0" t="s">
        <v>1190</v>
      </c>
      <c r="L703" s="0" t="s">
        <v>497</v>
      </c>
      <c r="M703" s="0" t="s">
        <v>293</v>
      </c>
      <c r="N703" s="0" t="s">
        <v>294</v>
      </c>
      <c r="O703" s="0" t="s">
        <v>5446</v>
      </c>
      <c r="P703" s="0" t="s">
        <v>323</v>
      </c>
      <c r="Q703" s="0" t="s">
        <v>323</v>
      </c>
      <c r="R703" s="0" t="s">
        <v>5447</v>
      </c>
      <c r="T703" s="0" t="s">
        <v>5448</v>
      </c>
      <c r="U703" s="0" t="s">
        <v>5449</v>
      </c>
      <c r="W703" s="0" t="s">
        <v>4640</v>
      </c>
      <c r="X703" s="0" t="s">
        <v>1688</v>
      </c>
      <c r="Y703" s="0" t="s">
        <v>36</v>
      </c>
      <c r="Z703" s="0" t="s">
        <v>4002</v>
      </c>
      <c r="AA703" s="0" t="s">
        <v>157</v>
      </c>
      <c r="AB703" s="0" t="s">
        <v>300</v>
      </c>
      <c r="AD703" s="0" t="s">
        <v>4641</v>
      </c>
      <c r="AF703" s="0" t="s">
        <v>301</v>
      </c>
      <c r="AP703" s="0" t="s">
        <v>305</v>
      </c>
      <c r="BA703" s="0">
        <v>507</v>
      </c>
      <c r="BB703" s="0" t="s">
        <v>232</v>
      </c>
      <c r="BC703" s="0">
        <v>2</v>
      </c>
      <c r="BD703" s="0">
        <v>374043</v>
      </c>
      <c r="BE703" s="0">
        <v>134783</v>
      </c>
      <c r="BF703" s="0">
        <v>6</v>
      </c>
      <c r="BG703" s="0" t="s">
        <v>5450</v>
      </c>
      <c r="BI703" s="0">
        <v>2581</v>
      </c>
      <c r="BK703" s="0" t="s">
        <v>5451</v>
      </c>
    </row>
    <row r="704">
      <c r="A704" s="0">
        <v>5437</v>
      </c>
      <c r="B704" s="0" t="s">
        <v>5452</v>
      </c>
      <c r="C704" s="0" t="s">
        <v>339</v>
      </c>
      <c r="D704" s="0" t="s">
        <v>4455</v>
      </c>
      <c r="E704" s="0" t="s">
        <v>5453</v>
      </c>
      <c r="F704" s="0">
        <v>1</v>
      </c>
      <c r="G704" s="0" t="s">
        <v>319</v>
      </c>
      <c r="H704" s="0" t="s">
        <v>4013</v>
      </c>
      <c r="I704" s="0" t="s">
        <v>5454</v>
      </c>
      <c r="P704" s="0" t="s">
        <v>323</v>
      </c>
      <c r="Q704" s="0" t="s">
        <v>4015</v>
      </c>
      <c r="R704" s="0" t="s">
        <v>3998</v>
      </c>
      <c r="U704" s="0" t="s">
        <v>5455</v>
      </c>
      <c r="W704" s="0" t="s">
        <v>4640</v>
      </c>
      <c r="X704" s="0" t="s">
        <v>347</v>
      </c>
      <c r="Y704" s="0" t="s">
        <v>36</v>
      </c>
      <c r="Z704" s="0" t="s">
        <v>4002</v>
      </c>
      <c r="AA704" s="0" t="s">
        <v>157</v>
      </c>
      <c r="AB704" s="0" t="s">
        <v>300</v>
      </c>
      <c r="AD704" s="0" t="s">
        <v>4641</v>
      </c>
      <c r="AF704" s="0" t="s">
        <v>301</v>
      </c>
      <c r="AP704" s="0" t="s">
        <v>305</v>
      </c>
      <c r="BA704" s="0">
        <v>507</v>
      </c>
      <c r="BB704" s="0" t="s">
        <v>232</v>
      </c>
      <c r="BC704" s="0">
        <v>2</v>
      </c>
      <c r="BD704" s="0">
        <v>8</v>
      </c>
      <c r="BE704" s="0">
        <v>134783</v>
      </c>
      <c r="BF704" s="0">
        <v>4</v>
      </c>
      <c r="BG704" s="0" t="s">
        <v>5456</v>
      </c>
      <c r="BI704" s="0">
        <v>2755</v>
      </c>
      <c r="BK704" s="0" t="s">
        <v>5457</v>
      </c>
    </row>
    <row r="705">
      <c r="A705" s="0">
        <v>5359</v>
      </c>
      <c r="B705" s="0" t="s">
        <v>5458</v>
      </c>
      <c r="C705" s="0" t="s">
        <v>315</v>
      </c>
      <c r="D705" s="0" t="s">
        <v>4455</v>
      </c>
      <c r="E705" s="0" t="s">
        <v>5459</v>
      </c>
      <c r="F705" s="0">
        <v>1</v>
      </c>
      <c r="G705" s="0" t="s">
        <v>319</v>
      </c>
      <c r="H705" s="0" t="s">
        <v>398</v>
      </c>
      <c r="I705" s="0" t="s">
        <v>471</v>
      </c>
      <c r="J705" s="0" t="s">
        <v>594</v>
      </c>
      <c r="K705" s="0" t="s">
        <v>1190</v>
      </c>
      <c r="L705" s="0" t="s">
        <v>469</v>
      </c>
      <c r="M705" s="0" t="s">
        <v>293</v>
      </c>
      <c r="N705" s="0" t="s">
        <v>294</v>
      </c>
      <c r="O705" s="0" t="s">
        <v>5460</v>
      </c>
      <c r="P705" s="0" t="s">
        <v>323</v>
      </c>
      <c r="Q705" s="0" t="s">
        <v>323</v>
      </c>
      <c r="R705" s="0" t="s">
        <v>2103</v>
      </c>
      <c r="T705" s="0" t="s">
        <v>5461</v>
      </c>
      <c r="U705" s="0" t="s">
        <v>5462</v>
      </c>
      <c r="W705" s="0" t="s">
        <v>4640</v>
      </c>
      <c r="X705" s="0" t="s">
        <v>1688</v>
      </c>
      <c r="Y705" s="0" t="s">
        <v>36</v>
      </c>
      <c r="Z705" s="0" t="s">
        <v>4002</v>
      </c>
      <c r="AA705" s="0" t="s">
        <v>157</v>
      </c>
      <c r="AB705" s="0" t="s">
        <v>300</v>
      </c>
      <c r="AD705" s="0" t="s">
        <v>4641</v>
      </c>
      <c r="AF705" s="0" t="s">
        <v>301</v>
      </c>
      <c r="AP705" s="0" t="s">
        <v>305</v>
      </c>
      <c r="BA705" s="0">
        <v>507</v>
      </c>
      <c r="BB705" s="0" t="s">
        <v>232</v>
      </c>
      <c r="BC705" s="0">
        <v>2</v>
      </c>
      <c r="BD705" s="0">
        <v>374043</v>
      </c>
      <c r="BE705" s="0">
        <v>134783</v>
      </c>
      <c r="BF705" s="0">
        <v>6</v>
      </c>
      <c r="BG705" s="0" t="s">
        <v>5463</v>
      </c>
      <c r="BI705" s="0">
        <v>1121</v>
      </c>
      <c r="BK705" s="0" t="s">
        <v>5464</v>
      </c>
    </row>
    <row r="706">
      <c r="A706" s="0">
        <v>5358</v>
      </c>
      <c r="B706" s="0" t="s">
        <v>5465</v>
      </c>
      <c r="C706" s="0" t="s">
        <v>315</v>
      </c>
      <c r="D706" s="0" t="s">
        <v>4455</v>
      </c>
      <c r="E706" s="0" t="s">
        <v>5466</v>
      </c>
      <c r="F706" s="0">
        <v>1</v>
      </c>
      <c r="G706" s="0" t="s">
        <v>319</v>
      </c>
      <c r="H706" s="0" t="s">
        <v>398</v>
      </c>
      <c r="I706" s="0" t="s">
        <v>471</v>
      </c>
      <c r="J706" s="0" t="s">
        <v>594</v>
      </c>
      <c r="K706" s="0" t="s">
        <v>1190</v>
      </c>
      <c r="L706" s="0" t="s">
        <v>469</v>
      </c>
      <c r="M706" s="0" t="s">
        <v>293</v>
      </c>
      <c r="N706" s="0" t="s">
        <v>294</v>
      </c>
      <c r="O706" s="0" t="s">
        <v>295</v>
      </c>
      <c r="P706" s="0" t="s">
        <v>323</v>
      </c>
      <c r="Q706" s="0" t="s">
        <v>323</v>
      </c>
      <c r="R706" s="0" t="s">
        <v>526</v>
      </c>
      <c r="T706" s="0" t="s">
        <v>5467</v>
      </c>
      <c r="U706" s="0" t="s">
        <v>5468</v>
      </c>
      <c r="W706" s="0" t="s">
        <v>4640</v>
      </c>
      <c r="X706" s="0" t="s">
        <v>1688</v>
      </c>
      <c r="Y706" s="0" t="s">
        <v>36</v>
      </c>
      <c r="Z706" s="0" t="s">
        <v>4002</v>
      </c>
      <c r="AA706" s="0" t="s">
        <v>157</v>
      </c>
      <c r="AB706" s="0" t="s">
        <v>300</v>
      </c>
      <c r="AD706" s="0" t="s">
        <v>4641</v>
      </c>
      <c r="AF706" s="0" t="s">
        <v>301</v>
      </c>
      <c r="AP706" s="0" t="s">
        <v>305</v>
      </c>
      <c r="BA706" s="0">
        <v>507</v>
      </c>
      <c r="BB706" s="0" t="s">
        <v>232</v>
      </c>
      <c r="BC706" s="0">
        <v>2</v>
      </c>
      <c r="BD706" s="0">
        <v>374043</v>
      </c>
      <c r="BE706" s="0">
        <v>134783</v>
      </c>
      <c r="BF706" s="0">
        <v>6</v>
      </c>
      <c r="BG706" s="0" t="s">
        <v>5469</v>
      </c>
      <c r="BI706" s="0">
        <v>790</v>
      </c>
      <c r="BK706" s="0" t="s">
        <v>5470</v>
      </c>
    </row>
    <row r="707">
      <c r="A707" s="0">
        <v>5360</v>
      </c>
      <c r="B707" s="0" t="s">
        <v>5471</v>
      </c>
      <c r="C707" s="0" t="s">
        <v>315</v>
      </c>
      <c r="D707" s="0" t="s">
        <v>4455</v>
      </c>
      <c r="E707" s="0" t="s">
        <v>5472</v>
      </c>
      <c r="F707" s="0">
        <v>1</v>
      </c>
      <c r="G707" s="0" t="s">
        <v>319</v>
      </c>
      <c r="H707" s="0" t="s">
        <v>523</v>
      </c>
      <c r="I707" s="0" t="s">
        <v>1268</v>
      </c>
      <c r="J707" s="0" t="s">
        <v>594</v>
      </c>
      <c r="K707" s="0" t="s">
        <v>594</v>
      </c>
      <c r="L707" s="0" t="s">
        <v>5473</v>
      </c>
      <c r="M707" s="0" t="s">
        <v>525</v>
      </c>
      <c r="N707" s="0" t="s">
        <v>594</v>
      </c>
      <c r="O707" s="0" t="s">
        <v>469</v>
      </c>
      <c r="P707" s="0" t="s">
        <v>323</v>
      </c>
      <c r="Q707" s="0" t="s">
        <v>343</v>
      </c>
      <c r="R707" s="0" t="s">
        <v>1021</v>
      </c>
      <c r="T707" s="0" t="s">
        <v>5474</v>
      </c>
      <c r="U707" s="0" t="s">
        <v>5475</v>
      </c>
      <c r="W707" s="0" t="s">
        <v>4640</v>
      </c>
      <c r="X707" s="0" t="s">
        <v>1688</v>
      </c>
      <c r="Y707" s="0" t="s">
        <v>36</v>
      </c>
      <c r="Z707" s="0" t="s">
        <v>4002</v>
      </c>
      <c r="AA707" s="0" t="s">
        <v>157</v>
      </c>
      <c r="AB707" s="0" t="s">
        <v>300</v>
      </c>
      <c r="AD707" s="0" t="s">
        <v>4641</v>
      </c>
      <c r="AF707" s="0" t="s">
        <v>301</v>
      </c>
      <c r="AP707" s="0" t="s">
        <v>305</v>
      </c>
      <c r="BA707" s="0">
        <v>507</v>
      </c>
      <c r="BB707" s="0" t="s">
        <v>232</v>
      </c>
      <c r="BC707" s="0">
        <v>2</v>
      </c>
      <c r="BD707" s="0">
        <v>374043</v>
      </c>
      <c r="BE707" s="0">
        <v>134783</v>
      </c>
      <c r="BF707" s="0">
        <v>6</v>
      </c>
      <c r="BG707" s="0" t="s">
        <v>5476</v>
      </c>
      <c r="BI707" s="0">
        <v>1427</v>
      </c>
      <c r="BK707" s="0" t="s">
        <v>5477</v>
      </c>
    </row>
    <row r="708">
      <c r="A708" s="0">
        <v>5381</v>
      </c>
      <c r="B708" s="0" t="s">
        <v>5478</v>
      </c>
      <c r="C708" s="0" t="s">
        <v>656</v>
      </c>
      <c r="D708" s="0" t="s">
        <v>4024</v>
      </c>
      <c r="E708" s="0" t="s">
        <v>5479</v>
      </c>
      <c r="F708" s="0">
        <v>1</v>
      </c>
      <c r="G708" s="0" t="s">
        <v>358</v>
      </c>
      <c r="H708" s="0" t="s">
        <v>2723</v>
      </c>
      <c r="I708" s="0" t="s">
        <v>5480</v>
      </c>
      <c r="T708" s="0" t="s">
        <v>5481</v>
      </c>
      <c r="U708" s="0" t="s">
        <v>5482</v>
      </c>
      <c r="X708" s="0" t="s">
        <v>347</v>
      </c>
      <c r="Y708" s="0" t="s">
        <v>85</v>
      </c>
      <c r="Z708" s="0" t="s">
        <v>5483</v>
      </c>
      <c r="AA708" s="0" t="s">
        <v>152</v>
      </c>
      <c r="AB708" s="0" t="s">
        <v>300</v>
      </c>
      <c r="AC708" s="0" t="s">
        <v>571</v>
      </c>
      <c r="AF708" s="0" t="s">
        <v>301</v>
      </c>
      <c r="AM708" s="0" t="s">
        <v>626</v>
      </c>
      <c r="AN708" s="0" t="s">
        <v>599</v>
      </c>
      <c r="AO708" s="0" t="s">
        <v>304</v>
      </c>
      <c r="AP708" s="0" t="s">
        <v>305</v>
      </c>
      <c r="AQ708" s="0" t="s">
        <v>310</v>
      </c>
      <c r="AR708" s="0" t="s">
        <v>349</v>
      </c>
      <c r="AS708" s="0">
        <v>60</v>
      </c>
      <c r="AT708" s="0">
        <v>120</v>
      </c>
      <c r="AU708" s="0">
        <v>160</v>
      </c>
      <c r="AV708" s="0" t="s">
        <v>332</v>
      </c>
      <c r="AX708" s="0" t="s">
        <v>3813</v>
      </c>
      <c r="AY708" s="0" t="s">
        <v>5484</v>
      </c>
      <c r="AZ708" s="0" t="s">
        <v>2742</v>
      </c>
      <c r="BA708" s="0">
        <v>508</v>
      </c>
      <c r="BB708" s="0" t="s">
        <v>232</v>
      </c>
      <c r="BC708" s="0">
        <v>2</v>
      </c>
      <c r="BD708" s="0">
        <v>10</v>
      </c>
      <c r="BE708" s="0">
        <v>416794</v>
      </c>
      <c r="BF708" s="0">
        <v>4</v>
      </c>
      <c r="BG708" s="0" t="s">
        <v>5485</v>
      </c>
      <c r="BI708" s="0">
        <v>3247</v>
      </c>
      <c r="BK708" s="0" t="s">
        <v>5486</v>
      </c>
    </row>
    <row r="709">
      <c r="A709" s="0">
        <v>5526</v>
      </c>
      <c r="B709" s="0" t="s">
        <v>5487</v>
      </c>
      <c r="C709" s="0" t="s">
        <v>339</v>
      </c>
      <c r="D709" s="0" t="s">
        <v>5488</v>
      </c>
      <c r="E709" s="0" t="s">
        <v>5489</v>
      </c>
      <c r="F709" s="0">
        <v>1</v>
      </c>
      <c r="G709" s="0" t="s">
        <v>319</v>
      </c>
      <c r="H709" s="0" t="s">
        <v>483</v>
      </c>
      <c r="I709" s="0" t="s">
        <v>524</v>
      </c>
      <c r="J709" s="0" t="s">
        <v>2110</v>
      </c>
      <c r="K709" s="0" t="s">
        <v>400</v>
      </c>
      <c r="P709" s="0" t="s">
        <v>5490</v>
      </c>
      <c r="T709" s="0" t="s">
        <v>5491</v>
      </c>
      <c r="U709" s="0" t="s">
        <v>5492</v>
      </c>
      <c r="X709" s="0" t="s">
        <v>347</v>
      </c>
      <c r="Y709" s="0" t="s">
        <v>85</v>
      </c>
      <c r="Z709" s="0" t="s">
        <v>5483</v>
      </c>
      <c r="AA709" s="0" t="s">
        <v>152</v>
      </c>
      <c r="AB709" s="0" t="s">
        <v>300</v>
      </c>
      <c r="AC709" s="0" t="s">
        <v>571</v>
      </c>
      <c r="AF709" s="0" t="s">
        <v>301</v>
      </c>
      <c r="AP709" s="0" t="s">
        <v>305</v>
      </c>
      <c r="BA709" s="0">
        <v>508</v>
      </c>
      <c r="BB709" s="0" t="s">
        <v>232</v>
      </c>
      <c r="BC709" s="0">
        <v>2</v>
      </c>
      <c r="BD709" s="0">
        <v>8</v>
      </c>
      <c r="BE709" s="0">
        <v>416794</v>
      </c>
      <c r="BF709" s="0">
        <v>4</v>
      </c>
      <c r="BG709" s="0" t="s">
        <v>5493</v>
      </c>
      <c r="BI709" s="0">
        <v>4707</v>
      </c>
      <c r="BK709" s="0" t="s">
        <v>5494</v>
      </c>
    </row>
    <row r="710">
      <c r="A710" s="0">
        <v>5368</v>
      </c>
      <c r="B710" s="0" t="s">
        <v>5495</v>
      </c>
      <c r="C710" s="0" t="s">
        <v>945</v>
      </c>
      <c r="D710" s="0" t="s">
        <v>4024</v>
      </c>
      <c r="E710" s="0" t="s">
        <v>5496</v>
      </c>
      <c r="F710" s="0">
        <v>1</v>
      </c>
      <c r="G710" s="0" t="s">
        <v>2715</v>
      </c>
      <c r="H710" s="0" t="s">
        <v>5497</v>
      </c>
      <c r="I710" s="0" t="s">
        <v>5498</v>
      </c>
      <c r="J710" s="0" t="s">
        <v>5499</v>
      </c>
      <c r="K710" s="0" t="s">
        <v>2714</v>
      </c>
      <c r="L710" s="0" t="s">
        <v>5500</v>
      </c>
      <c r="P710" s="0" t="s">
        <v>5501</v>
      </c>
      <c r="Q710" s="0" t="s">
        <v>5502</v>
      </c>
      <c r="R710" s="0" t="s">
        <v>403</v>
      </c>
      <c r="T710" s="0" t="s">
        <v>5503</v>
      </c>
      <c r="U710" s="0" t="s">
        <v>5504</v>
      </c>
      <c r="X710" s="0" t="s">
        <v>347</v>
      </c>
      <c r="Y710" s="0" t="s">
        <v>85</v>
      </c>
      <c r="Z710" s="0" t="s">
        <v>5483</v>
      </c>
      <c r="AA710" s="0" t="s">
        <v>152</v>
      </c>
      <c r="AB710" s="0" t="s">
        <v>300</v>
      </c>
      <c r="AC710" s="0" t="s">
        <v>571</v>
      </c>
      <c r="AF710" s="0" t="s">
        <v>301</v>
      </c>
      <c r="AP710" s="0" t="s">
        <v>305</v>
      </c>
      <c r="BA710" s="0">
        <v>508</v>
      </c>
      <c r="BB710" s="0" t="s">
        <v>232</v>
      </c>
      <c r="BC710" s="0">
        <v>2</v>
      </c>
      <c r="BD710" s="0">
        <v>14</v>
      </c>
      <c r="BE710" s="0">
        <v>416794</v>
      </c>
      <c r="BF710" s="0">
        <v>4</v>
      </c>
      <c r="BG710" s="0" t="s">
        <v>5505</v>
      </c>
      <c r="BI710" s="0">
        <v>1696</v>
      </c>
      <c r="BK710" s="0" t="s">
        <v>5506</v>
      </c>
    </row>
    <row r="711">
      <c r="A711" s="0">
        <v>5380</v>
      </c>
      <c r="B711" s="0" t="s">
        <v>5507</v>
      </c>
      <c r="C711" s="0" t="s">
        <v>656</v>
      </c>
      <c r="D711" s="0" t="s">
        <v>4024</v>
      </c>
      <c r="E711" s="0" t="s">
        <v>5508</v>
      </c>
      <c r="F711" s="0">
        <v>1</v>
      </c>
      <c r="G711" s="0" t="s">
        <v>358</v>
      </c>
      <c r="H711" s="0" t="s">
        <v>2723</v>
      </c>
      <c r="I711" s="0" t="s">
        <v>5480</v>
      </c>
      <c r="T711" s="0" t="s">
        <v>5509</v>
      </c>
      <c r="U711" s="0" t="s">
        <v>5510</v>
      </c>
      <c r="X711" s="0" t="s">
        <v>347</v>
      </c>
      <c r="Y711" s="0" t="s">
        <v>85</v>
      </c>
      <c r="Z711" s="0" t="s">
        <v>5483</v>
      </c>
      <c r="AA711" s="0" t="s">
        <v>152</v>
      </c>
      <c r="AB711" s="0" t="s">
        <v>300</v>
      </c>
      <c r="AC711" s="0" t="s">
        <v>571</v>
      </c>
      <c r="AF711" s="0" t="s">
        <v>301</v>
      </c>
      <c r="AM711" s="0" t="s">
        <v>626</v>
      </c>
      <c r="AN711" s="0" t="s">
        <v>599</v>
      </c>
      <c r="AO711" s="0" t="s">
        <v>391</v>
      </c>
      <c r="AP711" s="0" t="s">
        <v>305</v>
      </c>
      <c r="AQ711" s="0" t="s">
        <v>1483</v>
      </c>
      <c r="AR711" s="0" t="s">
        <v>2982</v>
      </c>
      <c r="AS711" s="0">
        <v>68</v>
      </c>
      <c r="AT711" s="0">
        <v>136</v>
      </c>
      <c r="AU711" s="0">
        <v>148</v>
      </c>
      <c r="AV711" s="0" t="s">
        <v>332</v>
      </c>
      <c r="AX711" s="0" t="s">
        <v>3813</v>
      </c>
      <c r="AY711" s="0" t="s">
        <v>5484</v>
      </c>
      <c r="AZ711" s="0" t="s">
        <v>1287</v>
      </c>
      <c r="BA711" s="0">
        <v>508</v>
      </c>
      <c r="BB711" s="0" t="s">
        <v>232</v>
      </c>
      <c r="BC711" s="0">
        <v>2</v>
      </c>
      <c r="BD711" s="0">
        <v>10</v>
      </c>
      <c r="BE711" s="0">
        <v>416794</v>
      </c>
      <c r="BF711" s="0">
        <v>4</v>
      </c>
      <c r="BG711" s="0" t="s">
        <v>5511</v>
      </c>
      <c r="BI711" s="0">
        <v>3096</v>
      </c>
      <c r="BK711" s="0" t="s">
        <v>5512</v>
      </c>
    </row>
    <row r="712">
      <c r="A712" s="0">
        <v>5392</v>
      </c>
      <c r="B712" s="0" t="s">
        <v>5513</v>
      </c>
      <c r="C712" s="0" t="s">
        <v>315</v>
      </c>
      <c r="D712" s="0" t="s">
        <v>4024</v>
      </c>
      <c r="E712" s="0" t="s">
        <v>5514</v>
      </c>
      <c r="F712" s="0">
        <v>1</v>
      </c>
      <c r="G712" s="0" t="s">
        <v>5499</v>
      </c>
      <c r="H712" s="0" t="s">
        <v>5515</v>
      </c>
      <c r="I712" s="0" t="s">
        <v>5500</v>
      </c>
      <c r="J712" s="0" t="s">
        <v>358</v>
      </c>
      <c r="K712" s="0" t="s">
        <v>2723</v>
      </c>
      <c r="L712" s="0" t="s">
        <v>5480</v>
      </c>
      <c r="T712" s="0" t="s">
        <v>5516</v>
      </c>
      <c r="U712" s="0" t="s">
        <v>5517</v>
      </c>
      <c r="X712" s="0" t="s">
        <v>529</v>
      </c>
      <c r="Y712" s="0" t="s">
        <v>85</v>
      </c>
      <c r="Z712" s="0" t="s">
        <v>5483</v>
      </c>
      <c r="AA712" s="0" t="s">
        <v>152</v>
      </c>
      <c r="AB712" s="0" t="s">
        <v>300</v>
      </c>
      <c r="AC712" s="0" t="s">
        <v>571</v>
      </c>
      <c r="AF712" s="0" t="s">
        <v>301</v>
      </c>
      <c r="AP712" s="0" t="s">
        <v>305</v>
      </c>
      <c r="BA712" s="0">
        <v>508</v>
      </c>
      <c r="BB712" s="0" t="s">
        <v>232</v>
      </c>
      <c r="BC712" s="0">
        <v>2</v>
      </c>
      <c r="BD712" s="0">
        <v>374043</v>
      </c>
      <c r="BE712" s="0">
        <v>416794</v>
      </c>
      <c r="BF712" s="0">
        <v>2</v>
      </c>
      <c r="BG712" s="0" t="s">
        <v>5518</v>
      </c>
      <c r="BI712" s="0">
        <v>4158</v>
      </c>
      <c r="BK712" s="0" t="s">
        <v>5519</v>
      </c>
    </row>
    <row r="713">
      <c r="A713" s="0">
        <v>5385</v>
      </c>
      <c r="B713" s="0" t="s">
        <v>5520</v>
      </c>
      <c r="C713" s="0" t="s">
        <v>339</v>
      </c>
      <c r="D713" s="0" t="s">
        <v>4024</v>
      </c>
      <c r="E713" s="0" t="s">
        <v>5521</v>
      </c>
      <c r="F713" s="0">
        <v>1</v>
      </c>
      <c r="G713" s="0" t="s">
        <v>2715</v>
      </c>
      <c r="H713" s="0" t="s">
        <v>5522</v>
      </c>
      <c r="I713" s="0" t="s">
        <v>5523</v>
      </c>
      <c r="J713" s="0" t="s">
        <v>5499</v>
      </c>
      <c r="K713" s="0" t="s">
        <v>2714</v>
      </c>
      <c r="P713" s="0" t="s">
        <v>5501</v>
      </c>
      <c r="Q713" s="0" t="s">
        <v>5524</v>
      </c>
      <c r="R713" s="0" t="s">
        <v>5525</v>
      </c>
      <c r="T713" s="0" t="s">
        <v>5526</v>
      </c>
      <c r="U713" s="0" t="s">
        <v>5527</v>
      </c>
      <c r="X713" s="0" t="s">
        <v>347</v>
      </c>
      <c r="Y713" s="0" t="s">
        <v>85</v>
      </c>
      <c r="Z713" s="0" t="s">
        <v>5483</v>
      </c>
      <c r="AA713" s="0" t="s">
        <v>152</v>
      </c>
      <c r="AB713" s="0" t="s">
        <v>300</v>
      </c>
      <c r="AC713" s="0" t="s">
        <v>571</v>
      </c>
      <c r="AF713" s="0" t="s">
        <v>301</v>
      </c>
      <c r="AP713" s="0" t="s">
        <v>305</v>
      </c>
      <c r="BA713" s="0">
        <v>508</v>
      </c>
      <c r="BB713" s="0" t="s">
        <v>232</v>
      </c>
      <c r="BC713" s="0">
        <v>2</v>
      </c>
      <c r="BD713" s="0">
        <v>8</v>
      </c>
      <c r="BE713" s="0">
        <v>416794</v>
      </c>
      <c r="BF713" s="0">
        <v>4</v>
      </c>
      <c r="BG713" s="0" t="s">
        <v>5528</v>
      </c>
      <c r="BI713" s="0">
        <v>3728</v>
      </c>
      <c r="BK713" s="0" t="s">
        <v>5529</v>
      </c>
    </row>
    <row r="714">
      <c r="A714" s="0">
        <v>5386</v>
      </c>
      <c r="B714" s="0" t="s">
        <v>5530</v>
      </c>
      <c r="C714" s="0" t="s">
        <v>339</v>
      </c>
      <c r="D714" s="0" t="s">
        <v>4024</v>
      </c>
      <c r="E714" s="0" t="s">
        <v>5531</v>
      </c>
      <c r="F714" s="0">
        <v>1</v>
      </c>
      <c r="G714" s="0" t="s">
        <v>2715</v>
      </c>
      <c r="H714" s="0" t="s">
        <v>5532</v>
      </c>
      <c r="I714" s="0" t="s">
        <v>5523</v>
      </c>
      <c r="J714" s="0" t="s">
        <v>5499</v>
      </c>
      <c r="K714" s="0" t="s">
        <v>2714</v>
      </c>
      <c r="M714" s="0" t="s">
        <v>358</v>
      </c>
      <c r="N714" s="0" t="s">
        <v>2723</v>
      </c>
      <c r="O714" s="0" t="s">
        <v>5480</v>
      </c>
      <c r="T714" s="0" t="s">
        <v>5533</v>
      </c>
      <c r="U714" s="0" t="s">
        <v>5534</v>
      </c>
      <c r="X714" s="0" t="s">
        <v>347</v>
      </c>
      <c r="Y714" s="0" t="s">
        <v>85</v>
      </c>
      <c r="Z714" s="0" t="s">
        <v>5483</v>
      </c>
      <c r="AA714" s="0" t="s">
        <v>152</v>
      </c>
      <c r="AB714" s="0" t="s">
        <v>300</v>
      </c>
      <c r="AC714" s="0" t="s">
        <v>571</v>
      </c>
      <c r="AF714" s="0" t="s">
        <v>301</v>
      </c>
      <c r="AP714" s="0" t="s">
        <v>305</v>
      </c>
      <c r="BA714" s="0">
        <v>508</v>
      </c>
      <c r="BB714" s="0" t="s">
        <v>232</v>
      </c>
      <c r="BC714" s="0">
        <v>2</v>
      </c>
      <c r="BD714" s="0">
        <v>8</v>
      </c>
      <c r="BE714" s="0">
        <v>416794</v>
      </c>
      <c r="BF714" s="0">
        <v>4</v>
      </c>
      <c r="BG714" s="0" t="s">
        <v>5535</v>
      </c>
      <c r="BI714" s="0">
        <v>3827</v>
      </c>
      <c r="BK714" s="0" t="s">
        <v>5536</v>
      </c>
    </row>
    <row r="715">
      <c r="A715" s="0">
        <v>5378</v>
      </c>
      <c r="B715" s="0" t="s">
        <v>5537</v>
      </c>
      <c r="C715" s="0" t="s">
        <v>1139</v>
      </c>
      <c r="D715" s="0" t="s">
        <v>4024</v>
      </c>
      <c r="E715" s="0" t="s">
        <v>5538</v>
      </c>
      <c r="F715" s="0">
        <v>1</v>
      </c>
      <c r="G715" s="0" t="s">
        <v>358</v>
      </c>
      <c r="H715" s="0" t="s">
        <v>2723</v>
      </c>
      <c r="I715" s="0" t="s">
        <v>5480</v>
      </c>
      <c r="T715" s="0" t="s">
        <v>5539</v>
      </c>
      <c r="U715" s="0" t="s">
        <v>5540</v>
      </c>
      <c r="X715" s="0" t="s">
        <v>347</v>
      </c>
      <c r="Y715" s="0" t="s">
        <v>85</v>
      </c>
      <c r="Z715" s="0" t="s">
        <v>5483</v>
      </c>
      <c r="AA715" s="0" t="s">
        <v>152</v>
      </c>
      <c r="AB715" s="0" t="s">
        <v>300</v>
      </c>
      <c r="AC715" s="0" t="s">
        <v>571</v>
      </c>
      <c r="AF715" s="0" t="s">
        <v>301</v>
      </c>
      <c r="AM715" s="0" t="s">
        <v>2741</v>
      </c>
      <c r="AN715" s="0" t="s">
        <v>350</v>
      </c>
      <c r="AO715" s="0" t="s">
        <v>627</v>
      </c>
      <c r="AP715" s="0" t="s">
        <v>305</v>
      </c>
      <c r="AQ715" s="0" t="s">
        <v>1105</v>
      </c>
      <c r="AR715" s="0" t="s">
        <v>2228</v>
      </c>
      <c r="AS715" s="0">
        <v>62</v>
      </c>
      <c r="AT715" s="0">
        <v>131</v>
      </c>
      <c r="AU715" s="0">
        <v>144</v>
      </c>
      <c r="AV715" s="0" t="s">
        <v>332</v>
      </c>
      <c r="AX715" s="0" t="s">
        <v>1301</v>
      </c>
      <c r="AY715" s="0" t="s">
        <v>978</v>
      </c>
      <c r="AZ715" s="0" t="s">
        <v>5148</v>
      </c>
      <c r="BA715" s="0">
        <v>508</v>
      </c>
      <c r="BB715" s="0" t="s">
        <v>232</v>
      </c>
      <c r="BC715" s="0">
        <v>2</v>
      </c>
      <c r="BD715" s="0">
        <v>38030</v>
      </c>
      <c r="BE715" s="0">
        <v>416794</v>
      </c>
      <c r="BF715" s="0">
        <v>4</v>
      </c>
      <c r="BG715" s="0" t="s">
        <v>5541</v>
      </c>
      <c r="BH715" s="0">
        <v>166.87</v>
      </c>
      <c r="BI715" s="0">
        <v>2758</v>
      </c>
      <c r="BK715" s="0" t="s">
        <v>5542</v>
      </c>
    </row>
    <row r="716">
      <c r="A716" s="0">
        <v>5395</v>
      </c>
      <c r="B716" s="0" t="s">
        <v>5543</v>
      </c>
      <c r="C716" s="0" t="s">
        <v>2620</v>
      </c>
      <c r="D716" s="0" t="s">
        <v>5544</v>
      </c>
      <c r="E716" s="0" t="s">
        <v>5545</v>
      </c>
      <c r="F716" s="0">
        <v>1</v>
      </c>
      <c r="T716" s="0" t="s">
        <v>5546</v>
      </c>
      <c r="X716" s="0" t="s">
        <v>1116</v>
      </c>
      <c r="Y716" s="0" t="s">
        <v>85</v>
      </c>
      <c r="Z716" s="0" t="s">
        <v>5483</v>
      </c>
      <c r="AA716" s="0" t="s">
        <v>152</v>
      </c>
      <c r="AB716" s="0" t="s">
        <v>300</v>
      </c>
      <c r="AC716" s="0" t="s">
        <v>571</v>
      </c>
      <c r="AF716" s="0" t="s">
        <v>301</v>
      </c>
      <c r="AP716" s="0" t="s">
        <v>305</v>
      </c>
      <c r="BA716" s="0">
        <v>508</v>
      </c>
      <c r="BB716" s="0" t="s">
        <v>232</v>
      </c>
      <c r="BC716" s="0">
        <v>2</v>
      </c>
      <c r="BD716" s="0">
        <v>34</v>
      </c>
      <c r="BE716" s="0">
        <v>416794</v>
      </c>
      <c r="BF716" s="0">
        <v>1</v>
      </c>
      <c r="BG716" s="0" t="s">
        <v>5547</v>
      </c>
      <c r="BI716" s="0">
        <v>4294</v>
      </c>
      <c r="BK716" s="0" t="s">
        <v>5548</v>
      </c>
    </row>
    <row r="717">
      <c r="A717" s="0">
        <v>5369</v>
      </c>
      <c r="B717" s="0" t="s">
        <v>5549</v>
      </c>
      <c r="C717" s="0" t="s">
        <v>2620</v>
      </c>
      <c r="E717" s="0" t="s">
        <v>5550</v>
      </c>
      <c r="F717" s="0">
        <v>1</v>
      </c>
      <c r="G717" s="0" t="s">
        <v>5551</v>
      </c>
      <c r="I717" s="0" t="s">
        <v>5500</v>
      </c>
      <c r="J717" s="0" t="s">
        <v>358</v>
      </c>
      <c r="K717" s="0" t="s">
        <v>2723</v>
      </c>
      <c r="L717" s="0" t="s">
        <v>5480</v>
      </c>
      <c r="T717" s="0" t="s">
        <v>5552</v>
      </c>
      <c r="X717" s="0" t="s">
        <v>1116</v>
      </c>
      <c r="Y717" s="0" t="s">
        <v>85</v>
      </c>
      <c r="Z717" s="0" t="s">
        <v>5483</v>
      </c>
      <c r="AA717" s="0" t="s">
        <v>152</v>
      </c>
      <c r="AB717" s="0" t="s">
        <v>300</v>
      </c>
      <c r="AC717" s="0" t="s">
        <v>571</v>
      </c>
      <c r="AF717" s="0" t="s">
        <v>301</v>
      </c>
      <c r="AP717" s="0" t="s">
        <v>305</v>
      </c>
      <c r="BA717" s="0">
        <v>508</v>
      </c>
      <c r="BB717" s="0" t="s">
        <v>232</v>
      </c>
      <c r="BC717" s="0">
        <v>2</v>
      </c>
      <c r="BD717" s="0">
        <v>34</v>
      </c>
      <c r="BE717" s="0">
        <v>416794</v>
      </c>
      <c r="BF717" s="0">
        <v>1</v>
      </c>
      <c r="BG717" s="0" t="s">
        <v>5553</v>
      </c>
      <c r="BI717" s="0">
        <v>1755</v>
      </c>
      <c r="BK717" s="0" t="s">
        <v>5554</v>
      </c>
    </row>
    <row r="718">
      <c r="A718" s="0">
        <v>5396</v>
      </c>
      <c r="B718" s="0" t="s">
        <v>5555</v>
      </c>
      <c r="C718" s="0" t="s">
        <v>2620</v>
      </c>
      <c r="D718" s="0" t="s">
        <v>5544</v>
      </c>
      <c r="E718" s="0" t="s">
        <v>5556</v>
      </c>
      <c r="F718" s="0">
        <v>1</v>
      </c>
      <c r="T718" s="0" t="s">
        <v>5557</v>
      </c>
      <c r="X718" s="0" t="s">
        <v>1116</v>
      </c>
      <c r="Y718" s="0" t="s">
        <v>85</v>
      </c>
      <c r="Z718" s="0" t="s">
        <v>5483</v>
      </c>
      <c r="AA718" s="0" t="s">
        <v>152</v>
      </c>
      <c r="AB718" s="0" t="s">
        <v>300</v>
      </c>
      <c r="AC718" s="0" t="s">
        <v>571</v>
      </c>
      <c r="AF718" s="0" t="s">
        <v>301</v>
      </c>
      <c r="AP718" s="0" t="s">
        <v>305</v>
      </c>
      <c r="BA718" s="0">
        <v>508</v>
      </c>
      <c r="BB718" s="0" t="s">
        <v>232</v>
      </c>
      <c r="BC718" s="0">
        <v>2</v>
      </c>
      <c r="BD718" s="0">
        <v>34</v>
      </c>
      <c r="BE718" s="0">
        <v>416794</v>
      </c>
      <c r="BF718" s="0">
        <v>1</v>
      </c>
      <c r="BG718" s="0" t="s">
        <v>5558</v>
      </c>
      <c r="BI718" s="0">
        <v>4357</v>
      </c>
      <c r="BK718" s="0" t="s">
        <v>5559</v>
      </c>
    </row>
    <row r="719">
      <c r="A719" s="0">
        <v>5398</v>
      </c>
      <c r="B719" s="0" t="s">
        <v>5560</v>
      </c>
      <c r="C719" s="0" t="s">
        <v>2620</v>
      </c>
      <c r="D719" s="0" t="s">
        <v>5544</v>
      </c>
      <c r="E719" s="0" t="s">
        <v>5561</v>
      </c>
      <c r="F719" s="0">
        <v>1</v>
      </c>
      <c r="T719" s="0" t="s">
        <v>5562</v>
      </c>
      <c r="X719" s="0" t="s">
        <v>1116</v>
      </c>
      <c r="Y719" s="0" t="s">
        <v>85</v>
      </c>
      <c r="Z719" s="0" t="s">
        <v>5483</v>
      </c>
      <c r="AA719" s="0" t="s">
        <v>152</v>
      </c>
      <c r="AB719" s="0" t="s">
        <v>300</v>
      </c>
      <c r="AC719" s="0" t="s">
        <v>571</v>
      </c>
      <c r="AF719" s="0" t="s">
        <v>301</v>
      </c>
      <c r="AP719" s="0" t="s">
        <v>305</v>
      </c>
      <c r="BA719" s="0">
        <v>508</v>
      </c>
      <c r="BB719" s="0" t="s">
        <v>232</v>
      </c>
      <c r="BC719" s="0">
        <v>2</v>
      </c>
      <c r="BD719" s="0">
        <v>34</v>
      </c>
      <c r="BE719" s="0">
        <v>416794</v>
      </c>
      <c r="BF719" s="0">
        <v>1</v>
      </c>
      <c r="BG719" s="0" t="s">
        <v>5563</v>
      </c>
      <c r="BI719" s="0">
        <v>4414</v>
      </c>
      <c r="BK719" s="0" t="s">
        <v>5564</v>
      </c>
    </row>
    <row r="720">
      <c r="A720" s="0">
        <v>5371</v>
      </c>
      <c r="B720" s="0" t="s">
        <v>5565</v>
      </c>
      <c r="C720" s="0" t="s">
        <v>290</v>
      </c>
      <c r="D720" s="0" t="s">
        <v>4024</v>
      </c>
      <c r="E720" s="0" t="s">
        <v>5566</v>
      </c>
      <c r="F720" s="0">
        <v>1</v>
      </c>
      <c r="G720" s="0" t="s">
        <v>5551</v>
      </c>
      <c r="H720" s="0" t="s">
        <v>5567</v>
      </c>
      <c r="I720" s="0" t="s">
        <v>5500</v>
      </c>
      <c r="J720" s="0" t="s">
        <v>358</v>
      </c>
      <c r="K720" s="0" t="s">
        <v>2723</v>
      </c>
      <c r="L720" s="0" t="s">
        <v>2724</v>
      </c>
      <c r="T720" s="0" t="s">
        <v>5568</v>
      </c>
      <c r="U720" s="0" t="s">
        <v>5569</v>
      </c>
      <c r="X720" s="0" t="s">
        <v>347</v>
      </c>
      <c r="Y720" s="0" t="s">
        <v>85</v>
      </c>
      <c r="Z720" s="0" t="s">
        <v>5483</v>
      </c>
      <c r="AA720" s="0" t="s">
        <v>152</v>
      </c>
      <c r="AB720" s="0" t="s">
        <v>300</v>
      </c>
      <c r="AC720" s="0" t="s">
        <v>571</v>
      </c>
      <c r="AF720" s="0" t="s">
        <v>301</v>
      </c>
      <c r="AP720" s="0" t="s">
        <v>305</v>
      </c>
      <c r="BA720" s="0">
        <v>508</v>
      </c>
      <c r="BB720" s="0" t="s">
        <v>232</v>
      </c>
      <c r="BC720" s="0">
        <v>2</v>
      </c>
      <c r="BD720" s="0">
        <v>374053</v>
      </c>
      <c r="BE720" s="0">
        <v>416794</v>
      </c>
      <c r="BF720" s="0">
        <v>4</v>
      </c>
      <c r="BG720" s="0" t="s">
        <v>5570</v>
      </c>
      <c r="BI720" s="0">
        <v>2385</v>
      </c>
      <c r="BK720" s="0" t="s">
        <v>5571</v>
      </c>
    </row>
    <row r="721">
      <c r="A721" s="0">
        <v>5367</v>
      </c>
      <c r="B721" s="0" t="s">
        <v>5572</v>
      </c>
      <c r="C721" s="0" t="s">
        <v>315</v>
      </c>
      <c r="D721" s="0" t="s">
        <v>5544</v>
      </c>
      <c r="E721" s="0" t="s">
        <v>5573</v>
      </c>
      <c r="F721" s="0">
        <v>1</v>
      </c>
      <c r="G721" s="0" t="s">
        <v>378</v>
      </c>
      <c r="H721" s="0" t="s">
        <v>379</v>
      </c>
      <c r="I721" s="0" t="s">
        <v>418</v>
      </c>
      <c r="J721" s="0" t="s">
        <v>360</v>
      </c>
      <c r="K721" s="0" t="s">
        <v>5574</v>
      </c>
      <c r="L721" s="0" t="s">
        <v>5575</v>
      </c>
      <c r="P721" s="0" t="s">
        <v>451</v>
      </c>
      <c r="R721" s="0" t="s">
        <v>5576</v>
      </c>
      <c r="T721" s="0" t="s">
        <v>5577</v>
      </c>
      <c r="U721" s="0" t="s">
        <v>5578</v>
      </c>
      <c r="X721" s="0" t="s">
        <v>347</v>
      </c>
      <c r="Y721" s="0" t="s">
        <v>85</v>
      </c>
      <c r="Z721" s="0" t="s">
        <v>5483</v>
      </c>
      <c r="AA721" s="0" t="s">
        <v>152</v>
      </c>
      <c r="AB721" s="0" t="s">
        <v>300</v>
      </c>
      <c r="AC721" s="0" t="s">
        <v>571</v>
      </c>
      <c r="AF721" s="0" t="s">
        <v>301</v>
      </c>
      <c r="AP721" s="0" t="s">
        <v>305</v>
      </c>
      <c r="BA721" s="0">
        <v>508</v>
      </c>
      <c r="BB721" s="0" t="s">
        <v>232</v>
      </c>
      <c r="BC721" s="0">
        <v>2</v>
      </c>
      <c r="BD721" s="0">
        <v>374043</v>
      </c>
      <c r="BE721" s="0">
        <v>416794</v>
      </c>
      <c r="BF721" s="0">
        <v>4</v>
      </c>
      <c r="BG721" s="0" t="s">
        <v>5579</v>
      </c>
      <c r="BI721" s="0">
        <v>1430</v>
      </c>
      <c r="BK721" s="0" t="s">
        <v>5580</v>
      </c>
    </row>
    <row r="722">
      <c r="A722" s="0">
        <v>5382</v>
      </c>
      <c r="B722" s="0" t="s">
        <v>5581</v>
      </c>
      <c r="C722" s="0" t="s">
        <v>656</v>
      </c>
      <c r="D722" s="0" t="s">
        <v>4024</v>
      </c>
      <c r="E722" s="0" t="s">
        <v>5582</v>
      </c>
      <c r="F722" s="0">
        <v>1</v>
      </c>
      <c r="G722" s="0" t="s">
        <v>358</v>
      </c>
      <c r="H722" s="0" t="s">
        <v>2723</v>
      </c>
      <c r="I722" s="0" t="s">
        <v>5480</v>
      </c>
      <c r="T722" s="0" t="s">
        <v>5583</v>
      </c>
      <c r="U722" s="0" t="s">
        <v>5584</v>
      </c>
      <c r="X722" s="0" t="s">
        <v>347</v>
      </c>
      <c r="Y722" s="0" t="s">
        <v>85</v>
      </c>
      <c r="Z722" s="0" t="s">
        <v>5483</v>
      </c>
      <c r="AA722" s="0" t="s">
        <v>152</v>
      </c>
      <c r="AB722" s="0" t="s">
        <v>300</v>
      </c>
      <c r="AC722" s="0" t="s">
        <v>571</v>
      </c>
      <c r="AF722" s="0" t="s">
        <v>301</v>
      </c>
      <c r="AM722" s="0" t="s">
        <v>701</v>
      </c>
      <c r="AN722" s="0" t="s">
        <v>1582</v>
      </c>
      <c r="AO722" s="0" t="s">
        <v>627</v>
      </c>
      <c r="AP722" s="0" t="s">
        <v>305</v>
      </c>
      <c r="AQ722" s="0" t="s">
        <v>1779</v>
      </c>
      <c r="AR722" s="0" t="s">
        <v>5037</v>
      </c>
      <c r="AS722" s="0">
        <v>140</v>
      </c>
      <c r="AT722" s="0">
        <v>290</v>
      </c>
      <c r="AU722" s="0">
        <v>324</v>
      </c>
      <c r="AV722" s="0" t="s">
        <v>332</v>
      </c>
      <c r="AX722" s="0" t="s">
        <v>5585</v>
      </c>
      <c r="AY722" s="0" t="s">
        <v>3374</v>
      </c>
      <c r="AZ722" s="0" t="s">
        <v>3402</v>
      </c>
      <c r="BA722" s="0">
        <v>508</v>
      </c>
      <c r="BB722" s="0" t="s">
        <v>232</v>
      </c>
      <c r="BC722" s="0">
        <v>2</v>
      </c>
      <c r="BD722" s="0">
        <v>10</v>
      </c>
      <c r="BE722" s="0">
        <v>416794</v>
      </c>
      <c r="BF722" s="0">
        <v>4</v>
      </c>
      <c r="BG722" s="0" t="s">
        <v>5586</v>
      </c>
      <c r="BI722" s="0">
        <v>3384</v>
      </c>
      <c r="BK722" s="0" t="s">
        <v>5587</v>
      </c>
    </row>
    <row r="723">
      <c r="A723" s="0">
        <v>5366</v>
      </c>
      <c r="B723" s="0" t="s">
        <v>5588</v>
      </c>
      <c r="C723" s="0" t="s">
        <v>339</v>
      </c>
      <c r="D723" s="0" t="s">
        <v>4024</v>
      </c>
      <c r="E723" s="0" t="s">
        <v>5589</v>
      </c>
      <c r="F723" s="0">
        <v>1</v>
      </c>
      <c r="G723" s="0" t="s">
        <v>2715</v>
      </c>
      <c r="H723" s="0" t="s">
        <v>5567</v>
      </c>
      <c r="I723" s="0" t="s">
        <v>5590</v>
      </c>
      <c r="J723" s="0" t="s">
        <v>358</v>
      </c>
      <c r="K723" s="0" t="s">
        <v>2723</v>
      </c>
      <c r="L723" s="0" t="s">
        <v>5480</v>
      </c>
      <c r="M723" s="0" t="s">
        <v>5499</v>
      </c>
      <c r="N723" s="0" t="s">
        <v>2714</v>
      </c>
      <c r="P723" s="0" t="s">
        <v>5591</v>
      </c>
      <c r="Q723" s="0" t="s">
        <v>5502</v>
      </c>
      <c r="R723" s="0" t="s">
        <v>5525</v>
      </c>
      <c r="T723" s="0" t="s">
        <v>5592</v>
      </c>
      <c r="U723" s="0" t="s">
        <v>5593</v>
      </c>
      <c r="X723" s="0" t="s">
        <v>347</v>
      </c>
      <c r="Y723" s="0" t="s">
        <v>85</v>
      </c>
      <c r="Z723" s="0" t="s">
        <v>5483</v>
      </c>
      <c r="AA723" s="0" t="s">
        <v>152</v>
      </c>
      <c r="AB723" s="0" t="s">
        <v>300</v>
      </c>
      <c r="AC723" s="0" t="s">
        <v>571</v>
      </c>
      <c r="AF723" s="0" t="s">
        <v>301</v>
      </c>
      <c r="AP723" s="0" t="s">
        <v>305</v>
      </c>
      <c r="BA723" s="0">
        <v>508</v>
      </c>
      <c r="BB723" s="0" t="s">
        <v>232</v>
      </c>
      <c r="BC723" s="0">
        <v>2</v>
      </c>
      <c r="BD723" s="0">
        <v>8</v>
      </c>
      <c r="BE723" s="0">
        <v>416794</v>
      </c>
      <c r="BF723" s="0">
        <v>4</v>
      </c>
      <c r="BG723" s="0" t="s">
        <v>5594</v>
      </c>
      <c r="BI723" s="0">
        <v>1124</v>
      </c>
      <c r="BK723" s="0" t="s">
        <v>5595</v>
      </c>
    </row>
    <row r="724">
      <c r="A724" s="0">
        <v>5521</v>
      </c>
      <c r="B724" s="0" t="s">
        <v>5596</v>
      </c>
      <c r="C724" s="0" t="s">
        <v>579</v>
      </c>
      <c r="D724" s="0" t="s">
        <v>5597</v>
      </c>
      <c r="E724" s="0" t="s">
        <v>5598</v>
      </c>
      <c r="F724" s="0">
        <v>1</v>
      </c>
      <c r="G724" s="0" t="s">
        <v>5599</v>
      </c>
      <c r="H724" s="0" t="s">
        <v>5600</v>
      </c>
      <c r="I724" s="0" t="s">
        <v>5601</v>
      </c>
      <c r="J724" s="0" t="s">
        <v>293</v>
      </c>
      <c r="K724" s="0" t="s">
        <v>294</v>
      </c>
      <c r="L724" s="0" t="s">
        <v>918</v>
      </c>
      <c r="T724" s="0" t="s">
        <v>5602</v>
      </c>
      <c r="U724" s="0" t="s">
        <v>5603</v>
      </c>
      <c r="X724" s="0" t="s">
        <v>529</v>
      </c>
      <c r="Y724" s="0" t="s">
        <v>85</v>
      </c>
      <c r="Z724" s="0" t="s">
        <v>5483</v>
      </c>
      <c r="AA724" s="0" t="s">
        <v>152</v>
      </c>
      <c r="AB724" s="0" t="s">
        <v>300</v>
      </c>
      <c r="AC724" s="0" t="s">
        <v>571</v>
      </c>
      <c r="AF724" s="0" t="s">
        <v>301</v>
      </c>
      <c r="AM724" s="0" t="s">
        <v>303</v>
      </c>
      <c r="AN724" s="0" t="s">
        <v>763</v>
      </c>
      <c r="AO724" s="0" t="s">
        <v>763</v>
      </c>
      <c r="AP724" s="0" t="s">
        <v>305</v>
      </c>
      <c r="BA724" s="0">
        <v>508</v>
      </c>
      <c r="BB724" s="0" t="s">
        <v>232</v>
      </c>
      <c r="BC724" s="0">
        <v>2</v>
      </c>
      <c r="BD724" s="0">
        <v>374046</v>
      </c>
      <c r="BE724" s="0">
        <v>416794</v>
      </c>
      <c r="BF724" s="0">
        <v>2</v>
      </c>
      <c r="BG724" s="0" t="s">
        <v>5604</v>
      </c>
      <c r="BI724" s="0">
        <v>4514</v>
      </c>
      <c r="BK724" s="0" t="s">
        <v>5605</v>
      </c>
    </row>
    <row r="725">
      <c r="A725" s="0">
        <v>5522</v>
      </c>
      <c r="B725" s="0" t="s">
        <v>5606</v>
      </c>
      <c r="C725" s="0" t="s">
        <v>579</v>
      </c>
      <c r="D725" s="0" t="s">
        <v>5597</v>
      </c>
      <c r="E725" s="0" t="s">
        <v>5607</v>
      </c>
      <c r="F725" s="0">
        <v>1</v>
      </c>
      <c r="G725" s="0" t="s">
        <v>5599</v>
      </c>
      <c r="H725" s="0" t="s">
        <v>5600</v>
      </c>
      <c r="I725" s="0" t="s">
        <v>5601</v>
      </c>
      <c r="J725" s="0" t="s">
        <v>293</v>
      </c>
      <c r="K725" s="0" t="s">
        <v>294</v>
      </c>
      <c r="L725" s="0" t="s">
        <v>918</v>
      </c>
      <c r="T725" s="0" t="s">
        <v>5608</v>
      </c>
      <c r="U725" s="0" t="s">
        <v>5609</v>
      </c>
      <c r="X725" s="0" t="s">
        <v>529</v>
      </c>
      <c r="Y725" s="0" t="s">
        <v>85</v>
      </c>
      <c r="Z725" s="0" t="s">
        <v>5483</v>
      </c>
      <c r="AA725" s="0" t="s">
        <v>152</v>
      </c>
      <c r="AB725" s="0" t="s">
        <v>300</v>
      </c>
      <c r="AC725" s="0" t="s">
        <v>571</v>
      </c>
      <c r="AF725" s="0" t="s">
        <v>301</v>
      </c>
      <c r="AM725" s="0" t="s">
        <v>309</v>
      </c>
      <c r="AN725" s="0" t="s">
        <v>2213</v>
      </c>
      <c r="AO725" s="0" t="s">
        <v>2213</v>
      </c>
      <c r="AP725" s="0" t="s">
        <v>305</v>
      </c>
      <c r="BA725" s="0">
        <v>508</v>
      </c>
      <c r="BB725" s="0" t="s">
        <v>232</v>
      </c>
      <c r="BC725" s="0">
        <v>2</v>
      </c>
      <c r="BD725" s="0">
        <v>374046</v>
      </c>
      <c r="BE725" s="0">
        <v>416794</v>
      </c>
      <c r="BF725" s="0">
        <v>2</v>
      </c>
      <c r="BG725" s="0" t="s">
        <v>5610</v>
      </c>
      <c r="BI725" s="0">
        <v>4562</v>
      </c>
      <c r="BK725" s="0" t="s">
        <v>5611</v>
      </c>
    </row>
    <row r="726">
      <c r="A726" s="0">
        <v>5364</v>
      </c>
      <c r="B726" s="0" t="s">
        <v>5612</v>
      </c>
      <c r="C726" s="0" t="s">
        <v>945</v>
      </c>
      <c r="D726" s="0" t="s">
        <v>4024</v>
      </c>
      <c r="E726" s="0" t="s">
        <v>5613</v>
      </c>
      <c r="F726" s="0">
        <v>1</v>
      </c>
      <c r="G726" s="0" t="s">
        <v>2715</v>
      </c>
      <c r="H726" s="0" t="s">
        <v>5614</v>
      </c>
      <c r="I726" s="0" t="s">
        <v>5615</v>
      </c>
      <c r="J726" s="0" t="s">
        <v>5499</v>
      </c>
      <c r="K726" s="0" t="s">
        <v>2714</v>
      </c>
      <c r="P726" s="0" t="s">
        <v>5591</v>
      </c>
      <c r="Q726" s="0" t="s">
        <v>5502</v>
      </c>
      <c r="R726" s="0" t="s">
        <v>5525</v>
      </c>
      <c r="T726" s="0" t="s">
        <v>5616</v>
      </c>
      <c r="U726" s="0" t="s">
        <v>5617</v>
      </c>
      <c r="X726" s="0" t="s">
        <v>5618</v>
      </c>
      <c r="Y726" s="0" t="s">
        <v>85</v>
      </c>
      <c r="Z726" s="0" t="s">
        <v>5483</v>
      </c>
      <c r="AA726" s="0" t="s">
        <v>152</v>
      </c>
      <c r="AB726" s="0" t="s">
        <v>300</v>
      </c>
      <c r="AC726" s="0" t="s">
        <v>571</v>
      </c>
      <c r="AF726" s="0" t="s">
        <v>301</v>
      </c>
      <c r="AP726" s="0" t="s">
        <v>305</v>
      </c>
      <c r="BA726" s="0">
        <v>508</v>
      </c>
      <c r="BB726" s="0" t="s">
        <v>232</v>
      </c>
      <c r="BC726" s="0">
        <v>2</v>
      </c>
      <c r="BD726" s="0">
        <v>14</v>
      </c>
      <c r="BE726" s="0">
        <v>416794</v>
      </c>
      <c r="BF726" s="0">
        <v>10</v>
      </c>
      <c r="BG726" s="0" t="s">
        <v>5619</v>
      </c>
      <c r="BI726" s="0">
        <v>392</v>
      </c>
      <c r="BK726" s="0" t="s">
        <v>5620</v>
      </c>
    </row>
    <row r="727">
      <c r="A727" s="0">
        <v>5384</v>
      </c>
      <c r="B727" s="0" t="s">
        <v>5621</v>
      </c>
      <c r="C727" s="0" t="s">
        <v>315</v>
      </c>
      <c r="D727" s="0" t="s">
        <v>4024</v>
      </c>
      <c r="E727" s="0" t="s">
        <v>5622</v>
      </c>
      <c r="F727" s="0">
        <v>1</v>
      </c>
      <c r="G727" s="0" t="s">
        <v>5623</v>
      </c>
      <c r="H727" s="0" t="s">
        <v>5624</v>
      </c>
      <c r="I727" s="0" t="s">
        <v>5625</v>
      </c>
      <c r="J727" s="0" t="s">
        <v>2714</v>
      </c>
      <c r="K727" s="0" t="s">
        <v>5626</v>
      </c>
      <c r="L727" s="0" t="s">
        <v>5625</v>
      </c>
      <c r="P727" s="0" t="s">
        <v>5501</v>
      </c>
      <c r="Q727" s="0" t="s">
        <v>5627</v>
      </c>
      <c r="R727" s="0" t="s">
        <v>5628</v>
      </c>
      <c r="T727" s="0" t="s">
        <v>5629</v>
      </c>
      <c r="U727" s="0" t="s">
        <v>5630</v>
      </c>
      <c r="X727" s="0" t="s">
        <v>347</v>
      </c>
      <c r="Y727" s="0" t="s">
        <v>85</v>
      </c>
      <c r="Z727" s="0" t="s">
        <v>5483</v>
      </c>
      <c r="AA727" s="0" t="s">
        <v>152</v>
      </c>
      <c r="AB727" s="0" t="s">
        <v>300</v>
      </c>
      <c r="AC727" s="0" t="s">
        <v>571</v>
      </c>
      <c r="AF727" s="0" t="s">
        <v>301</v>
      </c>
      <c r="AP727" s="0" t="s">
        <v>305</v>
      </c>
      <c r="BA727" s="0">
        <v>508</v>
      </c>
      <c r="BB727" s="0" t="s">
        <v>232</v>
      </c>
      <c r="BC727" s="0">
        <v>2</v>
      </c>
      <c r="BD727" s="0">
        <v>374043</v>
      </c>
      <c r="BE727" s="0">
        <v>416794</v>
      </c>
      <c r="BF727" s="0">
        <v>4</v>
      </c>
      <c r="BG727" s="0" t="s">
        <v>5631</v>
      </c>
      <c r="BI727" s="0">
        <v>3622</v>
      </c>
      <c r="BK727" s="0" t="s">
        <v>5632</v>
      </c>
    </row>
    <row r="728">
      <c r="A728" s="0">
        <v>5388</v>
      </c>
      <c r="B728" s="0" t="s">
        <v>5633</v>
      </c>
      <c r="C728" s="0" t="s">
        <v>339</v>
      </c>
      <c r="D728" s="0" t="s">
        <v>5544</v>
      </c>
      <c r="E728" s="0" t="s">
        <v>5634</v>
      </c>
      <c r="F728" s="0">
        <v>1</v>
      </c>
      <c r="G728" s="0" t="s">
        <v>2715</v>
      </c>
      <c r="H728" s="0" t="s">
        <v>5497</v>
      </c>
      <c r="I728" s="0" t="s">
        <v>5498</v>
      </c>
      <c r="J728" s="0" t="s">
        <v>5499</v>
      </c>
      <c r="K728" s="0" t="s">
        <v>2714</v>
      </c>
      <c r="M728" s="0" t="s">
        <v>358</v>
      </c>
      <c r="N728" s="0" t="s">
        <v>2723</v>
      </c>
      <c r="O728" s="0" t="s">
        <v>5480</v>
      </c>
      <c r="T728" s="0" t="s">
        <v>5635</v>
      </c>
      <c r="U728" s="0" t="s">
        <v>5636</v>
      </c>
      <c r="X728" s="0" t="s">
        <v>347</v>
      </c>
      <c r="Y728" s="0" t="s">
        <v>85</v>
      </c>
      <c r="Z728" s="0" t="s">
        <v>5483</v>
      </c>
      <c r="AA728" s="0" t="s">
        <v>152</v>
      </c>
      <c r="AB728" s="0" t="s">
        <v>300</v>
      </c>
      <c r="AC728" s="0" t="s">
        <v>571</v>
      </c>
      <c r="AF728" s="0" t="s">
        <v>301</v>
      </c>
      <c r="AP728" s="0" t="s">
        <v>305</v>
      </c>
      <c r="BA728" s="0">
        <v>508</v>
      </c>
      <c r="BB728" s="0" t="s">
        <v>232</v>
      </c>
      <c r="BC728" s="0">
        <v>2</v>
      </c>
      <c r="BD728" s="0">
        <v>8</v>
      </c>
      <c r="BE728" s="0">
        <v>416794</v>
      </c>
      <c r="BF728" s="0">
        <v>4</v>
      </c>
      <c r="BG728" s="0" t="s">
        <v>5637</v>
      </c>
      <c r="BI728" s="0">
        <v>4004</v>
      </c>
      <c r="BK728" s="0" t="s">
        <v>5638</v>
      </c>
    </row>
    <row r="729">
      <c r="A729" s="0">
        <v>5387</v>
      </c>
      <c r="B729" s="0" t="s">
        <v>5639</v>
      </c>
      <c r="C729" s="0" t="s">
        <v>339</v>
      </c>
      <c r="D729" s="0" t="s">
        <v>4024</v>
      </c>
      <c r="E729" s="0" t="s">
        <v>5640</v>
      </c>
      <c r="F729" s="0">
        <v>1</v>
      </c>
      <c r="G729" s="0" t="s">
        <v>5499</v>
      </c>
      <c r="H729" s="0" t="s">
        <v>2714</v>
      </c>
      <c r="I729" s="0" t="s">
        <v>5379</v>
      </c>
      <c r="J729" s="0" t="s">
        <v>2715</v>
      </c>
      <c r="K729" s="0" t="s">
        <v>5497</v>
      </c>
      <c r="L729" s="0" t="s">
        <v>5498</v>
      </c>
      <c r="P729" s="0" t="s">
        <v>434</v>
      </c>
      <c r="T729" s="0" t="s">
        <v>5641</v>
      </c>
      <c r="U729" s="0" t="s">
        <v>5642</v>
      </c>
      <c r="X729" s="0" t="s">
        <v>347</v>
      </c>
      <c r="Y729" s="0" t="s">
        <v>85</v>
      </c>
      <c r="Z729" s="0" t="s">
        <v>5483</v>
      </c>
      <c r="AA729" s="0" t="s">
        <v>152</v>
      </c>
      <c r="AB729" s="0" t="s">
        <v>300</v>
      </c>
      <c r="AC729" s="0" t="s">
        <v>571</v>
      </c>
      <c r="AF729" s="0" t="s">
        <v>301</v>
      </c>
      <c r="AP729" s="0" t="s">
        <v>305</v>
      </c>
      <c r="BA729" s="0">
        <v>508</v>
      </c>
      <c r="BB729" s="0" t="s">
        <v>232</v>
      </c>
      <c r="BC729" s="0">
        <v>2</v>
      </c>
      <c r="BD729" s="0">
        <v>8</v>
      </c>
      <c r="BE729" s="0">
        <v>416794</v>
      </c>
      <c r="BF729" s="0">
        <v>4</v>
      </c>
      <c r="BG729" s="0" t="s">
        <v>5643</v>
      </c>
      <c r="BI729" s="0">
        <v>3917</v>
      </c>
      <c r="BK729" s="0" t="s">
        <v>5644</v>
      </c>
    </row>
    <row r="730">
      <c r="A730" s="0">
        <v>5365</v>
      </c>
      <c r="B730" s="0" t="s">
        <v>5645</v>
      </c>
      <c r="C730" s="0" t="s">
        <v>315</v>
      </c>
      <c r="D730" s="0" t="s">
        <v>4024</v>
      </c>
      <c r="E730" s="0" t="s">
        <v>5646</v>
      </c>
      <c r="F730" s="0">
        <v>1</v>
      </c>
      <c r="G730" s="0" t="s">
        <v>5623</v>
      </c>
      <c r="H730" s="0" t="s">
        <v>5624</v>
      </c>
      <c r="I730" s="0" t="s">
        <v>5625</v>
      </c>
      <c r="J730" s="0" t="s">
        <v>5499</v>
      </c>
      <c r="K730" s="0" t="s">
        <v>2714</v>
      </c>
      <c r="L730" s="0" t="s">
        <v>5625</v>
      </c>
      <c r="M730" s="0" t="s">
        <v>358</v>
      </c>
      <c r="N730" s="0" t="s">
        <v>2723</v>
      </c>
      <c r="O730" s="0" t="s">
        <v>2724</v>
      </c>
      <c r="P730" s="0" t="s">
        <v>5501</v>
      </c>
      <c r="Q730" s="0" t="s">
        <v>5502</v>
      </c>
      <c r="R730" s="0" t="s">
        <v>5525</v>
      </c>
      <c r="T730" s="0" t="s">
        <v>5647</v>
      </c>
      <c r="U730" s="0" t="s">
        <v>5648</v>
      </c>
      <c r="X730" s="0" t="s">
        <v>347</v>
      </c>
      <c r="Y730" s="0" t="s">
        <v>85</v>
      </c>
      <c r="Z730" s="0" t="s">
        <v>5483</v>
      </c>
      <c r="AA730" s="0" t="s">
        <v>152</v>
      </c>
      <c r="AB730" s="0" t="s">
        <v>300</v>
      </c>
      <c r="AC730" s="0" t="s">
        <v>571</v>
      </c>
      <c r="AF730" s="0" t="s">
        <v>301</v>
      </c>
      <c r="AP730" s="0" t="s">
        <v>305</v>
      </c>
      <c r="BA730" s="0">
        <v>508</v>
      </c>
      <c r="BB730" s="0" t="s">
        <v>232</v>
      </c>
      <c r="BC730" s="0">
        <v>2</v>
      </c>
      <c r="BD730" s="0">
        <v>374043</v>
      </c>
      <c r="BE730" s="0">
        <v>416794</v>
      </c>
      <c r="BF730" s="0">
        <v>4</v>
      </c>
      <c r="BG730" s="0" t="s">
        <v>5649</v>
      </c>
      <c r="BI730" s="0">
        <v>794</v>
      </c>
      <c r="BK730" s="0" t="s">
        <v>5650</v>
      </c>
    </row>
    <row r="731">
      <c r="A731" s="0">
        <v>5399</v>
      </c>
      <c r="B731" s="0" t="s">
        <v>5651</v>
      </c>
      <c r="C731" s="0" t="s">
        <v>2620</v>
      </c>
      <c r="E731" s="0" t="s">
        <v>5652</v>
      </c>
      <c r="F731" s="0">
        <v>1</v>
      </c>
      <c r="T731" s="0" t="s">
        <v>5653</v>
      </c>
      <c r="X731" s="0" t="s">
        <v>1116</v>
      </c>
      <c r="Y731" s="0" t="s">
        <v>85</v>
      </c>
      <c r="Z731" s="0" t="s">
        <v>5483</v>
      </c>
      <c r="AA731" s="0" t="s">
        <v>152</v>
      </c>
      <c r="AB731" s="0" t="s">
        <v>300</v>
      </c>
      <c r="AC731" s="0" t="s">
        <v>571</v>
      </c>
      <c r="AF731" s="0" t="s">
        <v>301</v>
      </c>
      <c r="AP731" s="0" t="s">
        <v>305</v>
      </c>
      <c r="BA731" s="0">
        <v>508</v>
      </c>
      <c r="BB731" s="0" t="s">
        <v>232</v>
      </c>
      <c r="BC731" s="0">
        <v>2</v>
      </c>
      <c r="BD731" s="0">
        <v>34</v>
      </c>
      <c r="BE731" s="0">
        <v>416794</v>
      </c>
      <c r="BF731" s="0">
        <v>1</v>
      </c>
      <c r="BG731" s="0" t="s">
        <v>5654</v>
      </c>
      <c r="BI731" s="0">
        <v>4423</v>
      </c>
      <c r="BK731" s="0" t="s">
        <v>5655</v>
      </c>
    </row>
    <row r="732">
      <c r="A732" s="0">
        <v>5383</v>
      </c>
      <c r="B732" s="0" t="s">
        <v>5656</v>
      </c>
      <c r="C732" s="0" t="s">
        <v>339</v>
      </c>
      <c r="D732" s="0" t="s">
        <v>4024</v>
      </c>
      <c r="E732" s="0" t="s">
        <v>5657</v>
      </c>
      <c r="F732" s="0">
        <v>1</v>
      </c>
      <c r="G732" s="0" t="s">
        <v>358</v>
      </c>
      <c r="H732" s="0" t="s">
        <v>2723</v>
      </c>
      <c r="I732" s="0" t="s">
        <v>5480</v>
      </c>
      <c r="T732" s="0" t="s">
        <v>5658</v>
      </c>
      <c r="U732" s="0" t="s">
        <v>5659</v>
      </c>
      <c r="X732" s="0" t="s">
        <v>347</v>
      </c>
      <c r="Y732" s="0" t="s">
        <v>85</v>
      </c>
      <c r="Z732" s="0" t="s">
        <v>5483</v>
      </c>
      <c r="AA732" s="0" t="s">
        <v>152</v>
      </c>
      <c r="AB732" s="0" t="s">
        <v>300</v>
      </c>
      <c r="AC732" s="0" t="s">
        <v>571</v>
      </c>
      <c r="AF732" s="0" t="s">
        <v>301</v>
      </c>
      <c r="AP732" s="0" t="s">
        <v>305</v>
      </c>
      <c r="BA732" s="0">
        <v>508</v>
      </c>
      <c r="BB732" s="0" t="s">
        <v>232</v>
      </c>
      <c r="BC732" s="0">
        <v>2</v>
      </c>
      <c r="BD732" s="0">
        <v>8</v>
      </c>
      <c r="BE732" s="0">
        <v>416794</v>
      </c>
      <c r="BF732" s="0">
        <v>4</v>
      </c>
      <c r="BG732" s="0" t="s">
        <v>5660</v>
      </c>
      <c r="BI732" s="0">
        <v>3506</v>
      </c>
      <c r="BK732" s="0" t="s">
        <v>5661</v>
      </c>
    </row>
    <row r="733">
      <c r="A733" s="0">
        <v>5524</v>
      </c>
      <c r="B733" s="0" t="s">
        <v>5662</v>
      </c>
      <c r="C733" s="0" t="s">
        <v>2620</v>
      </c>
      <c r="E733" s="0" t="s">
        <v>5663</v>
      </c>
      <c r="F733" s="0">
        <v>2</v>
      </c>
      <c r="G733" s="0" t="s">
        <v>319</v>
      </c>
      <c r="H733" s="0" t="s">
        <v>483</v>
      </c>
      <c r="I733" s="0" t="s">
        <v>5664</v>
      </c>
      <c r="J733" s="0" t="s">
        <v>400</v>
      </c>
      <c r="K733" s="0" t="s">
        <v>1190</v>
      </c>
      <c r="T733" s="0" t="s">
        <v>5665</v>
      </c>
      <c r="X733" s="0" t="s">
        <v>1116</v>
      </c>
      <c r="Y733" s="0" t="s">
        <v>85</v>
      </c>
      <c r="Z733" s="0" t="s">
        <v>5483</v>
      </c>
      <c r="AA733" s="0" t="s">
        <v>152</v>
      </c>
      <c r="AB733" s="0" t="s">
        <v>300</v>
      </c>
      <c r="AC733" s="0" t="s">
        <v>571</v>
      </c>
      <c r="AF733" s="0" t="s">
        <v>301</v>
      </c>
      <c r="AP733" s="0" t="s">
        <v>305</v>
      </c>
      <c r="BA733" s="0">
        <v>508</v>
      </c>
      <c r="BB733" s="0" t="s">
        <v>232</v>
      </c>
      <c r="BC733" s="0">
        <v>2</v>
      </c>
      <c r="BD733" s="0">
        <v>34</v>
      </c>
      <c r="BE733" s="0">
        <v>416794</v>
      </c>
      <c r="BF733" s="0">
        <v>1</v>
      </c>
      <c r="BG733" s="0" t="s">
        <v>5666</v>
      </c>
      <c r="BI733" s="0">
        <v>4612</v>
      </c>
      <c r="BK733" s="0" t="s">
        <v>5667</v>
      </c>
    </row>
    <row r="734">
      <c r="A734" s="0">
        <v>5372</v>
      </c>
      <c r="B734" s="0" t="s">
        <v>5668</v>
      </c>
      <c r="C734" s="0" t="s">
        <v>1139</v>
      </c>
      <c r="D734" s="0" t="s">
        <v>4024</v>
      </c>
      <c r="E734" s="0" t="s">
        <v>5669</v>
      </c>
      <c r="F734" s="0">
        <v>1</v>
      </c>
      <c r="G734" s="0" t="s">
        <v>358</v>
      </c>
      <c r="H734" s="0" t="s">
        <v>2723</v>
      </c>
      <c r="I734" s="0" t="s">
        <v>295</v>
      </c>
      <c r="T734" s="0" t="s">
        <v>5670</v>
      </c>
      <c r="U734" s="0" t="s">
        <v>5671</v>
      </c>
      <c r="X734" s="0" t="s">
        <v>347</v>
      </c>
      <c r="Y734" s="0" t="s">
        <v>85</v>
      </c>
      <c r="Z734" s="0" t="s">
        <v>5483</v>
      </c>
      <c r="AA734" s="0" t="s">
        <v>152</v>
      </c>
      <c r="AB734" s="0" t="s">
        <v>300</v>
      </c>
      <c r="AC734" s="0" t="s">
        <v>571</v>
      </c>
      <c r="AF734" s="0" t="s">
        <v>301</v>
      </c>
      <c r="AM734" s="0" t="s">
        <v>2733</v>
      </c>
      <c r="AN734" s="0" t="s">
        <v>2733</v>
      </c>
      <c r="AO734" s="0" t="s">
        <v>1503</v>
      </c>
      <c r="AP734" s="0" t="s">
        <v>305</v>
      </c>
      <c r="AQ734" s="0" t="s">
        <v>5672</v>
      </c>
      <c r="AR734" s="0" t="s">
        <v>2740</v>
      </c>
      <c r="AS734" s="0">
        <v>48</v>
      </c>
      <c r="AT734" s="0">
        <v>128</v>
      </c>
      <c r="AU734" s="0">
        <v>144</v>
      </c>
      <c r="AV734" s="0" t="s">
        <v>332</v>
      </c>
      <c r="AW734" s="0" t="s">
        <v>332</v>
      </c>
      <c r="AX734" s="0" t="s">
        <v>2915</v>
      </c>
      <c r="AY734" s="0" t="s">
        <v>2915</v>
      </c>
      <c r="AZ734" s="0" t="s">
        <v>389</v>
      </c>
      <c r="BA734" s="0">
        <v>508</v>
      </c>
      <c r="BB734" s="0" t="s">
        <v>232</v>
      </c>
      <c r="BC734" s="0">
        <v>2</v>
      </c>
      <c r="BD734" s="0">
        <v>38030</v>
      </c>
      <c r="BE734" s="0">
        <v>416794</v>
      </c>
      <c r="BF734" s="0">
        <v>4</v>
      </c>
      <c r="BG734" s="0" t="s">
        <v>5673</v>
      </c>
      <c r="BI734" s="0">
        <v>2582</v>
      </c>
      <c r="BK734" s="0" t="s">
        <v>5674</v>
      </c>
    </row>
    <row r="735">
      <c r="A735" s="0">
        <v>5394</v>
      </c>
      <c r="B735" s="0" t="s">
        <v>5675</v>
      </c>
      <c r="C735" s="0" t="s">
        <v>2620</v>
      </c>
      <c r="D735" s="0" t="s">
        <v>5544</v>
      </c>
      <c r="E735" s="0" t="s">
        <v>5676</v>
      </c>
      <c r="F735" s="0">
        <v>1</v>
      </c>
      <c r="T735" s="0" t="s">
        <v>5677</v>
      </c>
      <c r="X735" s="0" t="s">
        <v>1116</v>
      </c>
      <c r="Y735" s="0" t="s">
        <v>85</v>
      </c>
      <c r="Z735" s="0" t="s">
        <v>5483</v>
      </c>
      <c r="AA735" s="0" t="s">
        <v>152</v>
      </c>
      <c r="AB735" s="0" t="s">
        <v>300</v>
      </c>
      <c r="AC735" s="0" t="s">
        <v>571</v>
      </c>
      <c r="AF735" s="0" t="s">
        <v>301</v>
      </c>
      <c r="AP735" s="0" t="s">
        <v>305</v>
      </c>
      <c r="BA735" s="0">
        <v>508</v>
      </c>
      <c r="BB735" s="0" t="s">
        <v>232</v>
      </c>
      <c r="BC735" s="0">
        <v>2</v>
      </c>
      <c r="BD735" s="0">
        <v>34</v>
      </c>
      <c r="BE735" s="0">
        <v>416794</v>
      </c>
      <c r="BF735" s="0">
        <v>1</v>
      </c>
      <c r="BG735" s="0" t="s">
        <v>5678</v>
      </c>
      <c r="BI735" s="0">
        <v>4227</v>
      </c>
      <c r="BK735" s="0" t="s">
        <v>5679</v>
      </c>
    </row>
    <row r="736">
      <c r="A736" s="0">
        <v>5523</v>
      </c>
      <c r="B736" s="0" t="s">
        <v>5680</v>
      </c>
      <c r="C736" s="0" t="s">
        <v>1139</v>
      </c>
      <c r="D736" s="0" t="s">
        <v>5597</v>
      </c>
      <c r="E736" s="0" t="s">
        <v>5681</v>
      </c>
      <c r="F736" s="0">
        <v>1</v>
      </c>
      <c r="G736" s="0" t="s">
        <v>293</v>
      </c>
      <c r="H736" s="0" t="s">
        <v>294</v>
      </c>
      <c r="I736" s="0" t="s">
        <v>918</v>
      </c>
      <c r="T736" s="0" t="s">
        <v>5682</v>
      </c>
      <c r="U736" s="0" t="s">
        <v>5683</v>
      </c>
      <c r="X736" s="0" t="s">
        <v>347</v>
      </c>
      <c r="Y736" s="0" t="s">
        <v>85</v>
      </c>
      <c r="Z736" s="0" t="s">
        <v>5483</v>
      </c>
      <c r="AA736" s="0" t="s">
        <v>152</v>
      </c>
      <c r="AB736" s="0" t="s">
        <v>300</v>
      </c>
      <c r="AC736" s="0" t="s">
        <v>571</v>
      </c>
      <c r="AF736" s="0" t="s">
        <v>301</v>
      </c>
      <c r="AM736" s="0" t="s">
        <v>2213</v>
      </c>
      <c r="AN736" s="0" t="s">
        <v>2213</v>
      </c>
      <c r="AO736" s="0" t="s">
        <v>2213</v>
      </c>
      <c r="AP736" s="0" t="s">
        <v>305</v>
      </c>
      <c r="AQ736" s="0" t="s">
        <v>2983</v>
      </c>
      <c r="AR736" s="0" t="s">
        <v>5684</v>
      </c>
      <c r="AS736" s="0">
        <v>176</v>
      </c>
      <c r="AT736" s="0">
        <v>352</v>
      </c>
      <c r="AU736" s="0">
        <v>428</v>
      </c>
      <c r="AV736" s="0" t="s">
        <v>332</v>
      </c>
      <c r="AW736" s="0" t="s">
        <v>332</v>
      </c>
      <c r="AX736" s="0" t="s">
        <v>303</v>
      </c>
      <c r="AY736" s="0" t="s">
        <v>303</v>
      </c>
      <c r="AZ736" s="0" t="s">
        <v>302</v>
      </c>
      <c r="BA736" s="0">
        <v>508</v>
      </c>
      <c r="BB736" s="0" t="s">
        <v>232</v>
      </c>
      <c r="BC736" s="0">
        <v>2</v>
      </c>
      <c r="BD736" s="0">
        <v>38030</v>
      </c>
      <c r="BE736" s="0">
        <v>416794</v>
      </c>
      <c r="BF736" s="0">
        <v>4</v>
      </c>
      <c r="BG736" s="0" t="s">
        <v>5685</v>
      </c>
      <c r="BH736" s="0">
        <v>29.9</v>
      </c>
      <c r="BI736" s="0">
        <v>4606</v>
      </c>
      <c r="BK736" s="0" t="s">
        <v>5686</v>
      </c>
    </row>
    <row r="737">
      <c r="A737" s="0">
        <v>5525</v>
      </c>
      <c r="B737" s="0" t="s">
        <v>5687</v>
      </c>
      <c r="C737" s="0" t="s">
        <v>1139</v>
      </c>
      <c r="D737" s="0" t="s">
        <v>5597</v>
      </c>
      <c r="E737" s="0" t="s">
        <v>5688</v>
      </c>
      <c r="F737" s="0">
        <v>1</v>
      </c>
      <c r="G737" s="0" t="s">
        <v>293</v>
      </c>
      <c r="H737" s="0" t="s">
        <v>294</v>
      </c>
      <c r="I737" s="0" t="s">
        <v>918</v>
      </c>
      <c r="T737" s="0" t="s">
        <v>5689</v>
      </c>
      <c r="U737" s="0" t="s">
        <v>5690</v>
      </c>
      <c r="X737" s="0" t="s">
        <v>347</v>
      </c>
      <c r="Y737" s="0" t="s">
        <v>85</v>
      </c>
      <c r="Z737" s="0" t="s">
        <v>5483</v>
      </c>
      <c r="AA737" s="0" t="s">
        <v>152</v>
      </c>
      <c r="AB737" s="0" t="s">
        <v>300</v>
      </c>
      <c r="AC737" s="0" t="s">
        <v>571</v>
      </c>
      <c r="AF737" s="0" t="s">
        <v>301</v>
      </c>
      <c r="AM737" s="0" t="s">
        <v>303</v>
      </c>
      <c r="AN737" s="0" t="s">
        <v>303</v>
      </c>
      <c r="AO737" s="0" t="s">
        <v>2213</v>
      </c>
      <c r="AP737" s="0" t="s">
        <v>305</v>
      </c>
      <c r="AQ737" s="0" t="s">
        <v>2984</v>
      </c>
      <c r="AR737" s="0" t="s">
        <v>1180</v>
      </c>
      <c r="AS737" s="0">
        <v>120</v>
      </c>
      <c r="AT737" s="0">
        <v>241</v>
      </c>
      <c r="AU737" s="0">
        <v>306</v>
      </c>
      <c r="AV737" s="0" t="s">
        <v>332</v>
      </c>
      <c r="AW737" s="0" t="s">
        <v>332</v>
      </c>
      <c r="AX737" s="0" t="s">
        <v>309</v>
      </c>
      <c r="AY737" s="0" t="s">
        <v>309</v>
      </c>
      <c r="AZ737" s="0" t="s">
        <v>302</v>
      </c>
      <c r="BA737" s="0">
        <v>508</v>
      </c>
      <c r="BB737" s="0" t="s">
        <v>232</v>
      </c>
      <c r="BC737" s="0">
        <v>2</v>
      </c>
      <c r="BD737" s="0">
        <v>38030</v>
      </c>
      <c r="BE737" s="0">
        <v>416794</v>
      </c>
      <c r="BF737" s="0">
        <v>4</v>
      </c>
      <c r="BG737" s="0" t="s">
        <v>5691</v>
      </c>
      <c r="BH737" s="0">
        <v>35</v>
      </c>
      <c r="BI737" s="0">
        <v>4675</v>
      </c>
      <c r="BK737" s="0" t="s">
        <v>5692</v>
      </c>
    </row>
    <row r="738">
      <c r="A738" s="0">
        <v>5379</v>
      </c>
      <c r="B738" s="0" t="s">
        <v>5693</v>
      </c>
      <c r="C738" s="0" t="s">
        <v>315</v>
      </c>
      <c r="D738" s="0" t="s">
        <v>4024</v>
      </c>
      <c r="E738" s="0" t="s">
        <v>5694</v>
      </c>
      <c r="F738" s="0">
        <v>1</v>
      </c>
      <c r="G738" s="0" t="s">
        <v>2715</v>
      </c>
      <c r="H738" s="0" t="s">
        <v>5695</v>
      </c>
      <c r="I738" s="0" t="s">
        <v>5696</v>
      </c>
      <c r="J738" s="0" t="s">
        <v>358</v>
      </c>
      <c r="K738" s="0" t="s">
        <v>2723</v>
      </c>
      <c r="L738" s="0" t="s">
        <v>5480</v>
      </c>
      <c r="M738" s="0" t="s">
        <v>5499</v>
      </c>
      <c r="N738" s="0" t="s">
        <v>2714</v>
      </c>
      <c r="P738" s="0" t="s">
        <v>5501</v>
      </c>
      <c r="Q738" s="0" t="s">
        <v>5502</v>
      </c>
      <c r="R738" s="0" t="s">
        <v>5628</v>
      </c>
      <c r="T738" s="0" t="s">
        <v>5697</v>
      </c>
      <c r="U738" s="0" t="s">
        <v>5698</v>
      </c>
      <c r="X738" s="0" t="s">
        <v>347</v>
      </c>
      <c r="Y738" s="0" t="s">
        <v>85</v>
      </c>
      <c r="Z738" s="0" t="s">
        <v>5483</v>
      </c>
      <c r="AA738" s="0" t="s">
        <v>152</v>
      </c>
      <c r="AB738" s="0" t="s">
        <v>300</v>
      </c>
      <c r="AC738" s="0" t="s">
        <v>571</v>
      </c>
      <c r="AF738" s="0" t="s">
        <v>301</v>
      </c>
      <c r="AP738" s="0" t="s">
        <v>305</v>
      </c>
      <c r="BA738" s="0">
        <v>508</v>
      </c>
      <c r="BB738" s="0" t="s">
        <v>232</v>
      </c>
      <c r="BC738" s="0">
        <v>2</v>
      </c>
      <c r="BD738" s="0">
        <v>374043</v>
      </c>
      <c r="BE738" s="0">
        <v>416794</v>
      </c>
      <c r="BF738" s="0">
        <v>4</v>
      </c>
      <c r="BG738" s="0" t="s">
        <v>5699</v>
      </c>
      <c r="BI738" s="0">
        <v>2931</v>
      </c>
      <c r="BK738" s="0" t="s">
        <v>5700</v>
      </c>
    </row>
    <row r="739">
      <c r="A739" s="0">
        <v>5391</v>
      </c>
      <c r="B739" s="0" t="s">
        <v>5701</v>
      </c>
      <c r="C739" s="0" t="s">
        <v>315</v>
      </c>
      <c r="D739" s="0" t="s">
        <v>4024</v>
      </c>
      <c r="E739" s="0" t="s">
        <v>5702</v>
      </c>
      <c r="F739" s="0">
        <v>1</v>
      </c>
      <c r="G739" s="0" t="s">
        <v>2715</v>
      </c>
      <c r="H739" s="0" t="s">
        <v>5703</v>
      </c>
      <c r="I739" s="0" t="s">
        <v>5704</v>
      </c>
      <c r="J739" s="0" t="s">
        <v>5499</v>
      </c>
      <c r="K739" s="0" t="s">
        <v>5705</v>
      </c>
      <c r="L739" s="0" t="s">
        <v>5704</v>
      </c>
      <c r="M739" s="0" t="s">
        <v>5499</v>
      </c>
      <c r="N739" s="0" t="s">
        <v>5706</v>
      </c>
      <c r="O739" s="0" t="s">
        <v>5704</v>
      </c>
      <c r="P739" s="0" t="s">
        <v>5707</v>
      </c>
      <c r="R739" s="0" t="s">
        <v>384</v>
      </c>
      <c r="T739" s="0" t="s">
        <v>5708</v>
      </c>
      <c r="U739" s="0" t="s">
        <v>5709</v>
      </c>
      <c r="X739" s="0" t="s">
        <v>347</v>
      </c>
      <c r="Y739" s="0" t="s">
        <v>85</v>
      </c>
      <c r="Z739" s="0" t="s">
        <v>5483</v>
      </c>
      <c r="AA739" s="0" t="s">
        <v>152</v>
      </c>
      <c r="AB739" s="0" t="s">
        <v>300</v>
      </c>
      <c r="AC739" s="0" t="s">
        <v>571</v>
      </c>
      <c r="AF739" s="0" t="s">
        <v>301</v>
      </c>
      <c r="AP739" s="0" t="s">
        <v>305</v>
      </c>
      <c r="BA739" s="0">
        <v>508</v>
      </c>
      <c r="BB739" s="0" t="s">
        <v>232</v>
      </c>
      <c r="BC739" s="0">
        <v>2</v>
      </c>
      <c r="BD739" s="0">
        <v>374043</v>
      </c>
      <c r="BE739" s="0">
        <v>416794</v>
      </c>
      <c r="BF739" s="0">
        <v>4</v>
      </c>
      <c r="BG739" s="0" t="s">
        <v>5710</v>
      </c>
      <c r="BI739" s="0">
        <v>4087</v>
      </c>
      <c r="BK739" s="0" t="s">
        <v>5711</v>
      </c>
    </row>
    <row r="740">
      <c r="A740" s="0">
        <v>5432</v>
      </c>
      <c r="B740" s="0" t="s">
        <v>5712</v>
      </c>
      <c r="C740" s="0" t="s">
        <v>2620</v>
      </c>
      <c r="D740" s="0" t="s">
        <v>4583</v>
      </c>
      <c r="E740" s="0" t="s">
        <v>5713</v>
      </c>
      <c r="F740" s="0">
        <v>1</v>
      </c>
      <c r="G740" s="0" t="s">
        <v>319</v>
      </c>
      <c r="H740" s="0" t="s">
        <v>1745</v>
      </c>
      <c r="I740" s="0" t="s">
        <v>2166</v>
      </c>
      <c r="J740" s="0" t="s">
        <v>400</v>
      </c>
      <c r="K740" s="0" t="s">
        <v>1190</v>
      </c>
      <c r="P740" s="0" t="s">
        <v>323</v>
      </c>
      <c r="Q740" s="0" t="s">
        <v>343</v>
      </c>
      <c r="R740" s="0" t="s">
        <v>324</v>
      </c>
      <c r="T740" s="0" t="s">
        <v>5714</v>
      </c>
      <c r="X740" s="0" t="s">
        <v>529</v>
      </c>
      <c r="Y740" s="0" t="s">
        <v>165</v>
      </c>
      <c r="Z740" s="0" t="s">
        <v>5715</v>
      </c>
      <c r="AA740" s="0" t="s">
        <v>164</v>
      </c>
      <c r="AB740" s="0" t="s">
        <v>300</v>
      </c>
      <c r="AE740" s="0" t="s">
        <v>5716</v>
      </c>
      <c r="AF740" s="0" t="s">
        <v>301</v>
      </c>
      <c r="AP740" s="0" t="s">
        <v>305</v>
      </c>
      <c r="BA740" s="0">
        <v>510</v>
      </c>
      <c r="BB740" s="0" t="s">
        <v>232</v>
      </c>
      <c r="BC740" s="0">
        <v>2</v>
      </c>
      <c r="BD740" s="0">
        <v>34</v>
      </c>
      <c r="BE740" s="0">
        <v>519970</v>
      </c>
      <c r="BF740" s="0">
        <v>2</v>
      </c>
      <c r="BG740" s="0" t="s">
        <v>5717</v>
      </c>
      <c r="BI740" s="0">
        <v>1689</v>
      </c>
      <c r="BK740" s="0" t="s">
        <v>5718</v>
      </c>
    </row>
    <row r="741">
      <c r="A741" s="0">
        <v>5462</v>
      </c>
      <c r="B741" s="0" t="s">
        <v>5719</v>
      </c>
      <c r="D741" s="0" t="s">
        <v>5343</v>
      </c>
      <c r="E741" s="0" t="s">
        <v>5720</v>
      </c>
      <c r="F741" s="0">
        <v>1</v>
      </c>
      <c r="G741" s="0" t="s">
        <v>293</v>
      </c>
      <c r="H741" s="0" t="s">
        <v>294</v>
      </c>
      <c r="I741" s="0" t="s">
        <v>295</v>
      </c>
      <c r="P741" s="0" t="s">
        <v>323</v>
      </c>
      <c r="Q741" s="0" t="s">
        <v>323</v>
      </c>
      <c r="R741" s="0" t="s">
        <v>344</v>
      </c>
      <c r="X741" s="0" t="s">
        <v>1116</v>
      </c>
      <c r="Y741" s="0" t="s">
        <v>165</v>
      </c>
      <c r="Z741" s="0" t="s">
        <v>5715</v>
      </c>
      <c r="AA741" s="0" t="s">
        <v>164</v>
      </c>
      <c r="AB741" s="0" t="s">
        <v>300</v>
      </c>
      <c r="AE741" s="0" t="s">
        <v>5716</v>
      </c>
      <c r="AF741" s="0" t="s">
        <v>301</v>
      </c>
      <c r="AP741" s="0" t="s">
        <v>305</v>
      </c>
      <c r="BA741" s="0">
        <v>510</v>
      </c>
      <c r="BB741" s="0" t="s">
        <v>232</v>
      </c>
      <c r="BC741" s="0">
        <v>2</v>
      </c>
      <c r="BE741" s="0">
        <v>519970</v>
      </c>
      <c r="BF741" s="0">
        <v>1</v>
      </c>
      <c r="BG741" s="0" t="s">
        <v>5721</v>
      </c>
      <c r="BI741" s="0">
        <v>2752</v>
      </c>
      <c r="BK741" s="0" t="s">
        <v>5722</v>
      </c>
    </row>
    <row r="742">
      <c r="A742" s="0">
        <v>5433</v>
      </c>
      <c r="B742" s="0" t="s">
        <v>5723</v>
      </c>
      <c r="C742" s="0" t="s">
        <v>2620</v>
      </c>
      <c r="D742" s="0" t="s">
        <v>4583</v>
      </c>
      <c r="E742" s="0" t="s">
        <v>5724</v>
      </c>
      <c r="F742" s="0">
        <v>1</v>
      </c>
      <c r="G742" s="0" t="s">
        <v>293</v>
      </c>
      <c r="H742" s="0" t="s">
        <v>294</v>
      </c>
      <c r="I742" s="0" t="s">
        <v>295</v>
      </c>
      <c r="P742" s="0" t="s">
        <v>323</v>
      </c>
      <c r="Q742" s="0" t="s">
        <v>323</v>
      </c>
      <c r="R742" s="0" t="s">
        <v>344</v>
      </c>
      <c r="T742" s="0" t="s">
        <v>5725</v>
      </c>
      <c r="X742" s="0" t="s">
        <v>529</v>
      </c>
      <c r="Y742" s="0" t="s">
        <v>165</v>
      </c>
      <c r="Z742" s="0" t="s">
        <v>5715</v>
      </c>
      <c r="AA742" s="0" t="s">
        <v>164</v>
      </c>
      <c r="AB742" s="0" t="s">
        <v>300</v>
      </c>
      <c r="AE742" s="0" t="s">
        <v>5716</v>
      </c>
      <c r="AF742" s="0" t="s">
        <v>301</v>
      </c>
      <c r="AP742" s="0" t="s">
        <v>305</v>
      </c>
      <c r="BA742" s="0">
        <v>510</v>
      </c>
      <c r="BB742" s="0" t="s">
        <v>232</v>
      </c>
      <c r="BC742" s="0">
        <v>2</v>
      </c>
      <c r="BD742" s="0">
        <v>34</v>
      </c>
      <c r="BE742" s="0">
        <v>519970</v>
      </c>
      <c r="BF742" s="0">
        <v>2</v>
      </c>
      <c r="BG742" s="0" t="s">
        <v>5726</v>
      </c>
      <c r="BI742" s="0">
        <v>1934</v>
      </c>
      <c r="BK742" s="0" t="s">
        <v>5727</v>
      </c>
    </row>
    <row r="743">
      <c r="A743" s="0">
        <v>5431</v>
      </c>
      <c r="B743" s="0" t="s">
        <v>5728</v>
      </c>
      <c r="C743" s="0" t="s">
        <v>2620</v>
      </c>
      <c r="D743" s="0" t="s">
        <v>4583</v>
      </c>
      <c r="E743" s="0" t="s">
        <v>5729</v>
      </c>
      <c r="F743" s="0">
        <v>1</v>
      </c>
      <c r="G743" s="0" t="s">
        <v>319</v>
      </c>
      <c r="H743" s="0" t="s">
        <v>483</v>
      </c>
      <c r="I743" s="0" t="s">
        <v>5730</v>
      </c>
      <c r="J743" s="0" t="s">
        <v>293</v>
      </c>
      <c r="K743" s="0" t="s">
        <v>294</v>
      </c>
      <c r="L743" s="0" t="s">
        <v>295</v>
      </c>
      <c r="P743" s="0" t="s">
        <v>343</v>
      </c>
      <c r="Q743" s="0" t="s">
        <v>343</v>
      </c>
      <c r="R743" s="0" t="s">
        <v>343</v>
      </c>
      <c r="T743" s="0" t="s">
        <v>5731</v>
      </c>
      <c r="X743" s="0" t="s">
        <v>529</v>
      </c>
      <c r="Y743" s="0" t="s">
        <v>165</v>
      </c>
      <c r="Z743" s="0" t="s">
        <v>5715</v>
      </c>
      <c r="AA743" s="0" t="s">
        <v>164</v>
      </c>
      <c r="AB743" s="0" t="s">
        <v>300</v>
      </c>
      <c r="AE743" s="0" t="s">
        <v>5716</v>
      </c>
      <c r="AF743" s="0" t="s">
        <v>301</v>
      </c>
      <c r="AP743" s="0" t="s">
        <v>305</v>
      </c>
      <c r="BA743" s="0">
        <v>510</v>
      </c>
      <c r="BB743" s="0" t="s">
        <v>232</v>
      </c>
      <c r="BC743" s="0">
        <v>2</v>
      </c>
      <c r="BD743" s="0">
        <v>34</v>
      </c>
      <c r="BE743" s="0">
        <v>519970</v>
      </c>
      <c r="BF743" s="0">
        <v>2</v>
      </c>
      <c r="BG743" s="0" t="s">
        <v>5732</v>
      </c>
      <c r="BI743" s="0">
        <v>1421</v>
      </c>
      <c r="BK743" s="0" t="s">
        <v>5733</v>
      </c>
    </row>
    <row r="744">
      <c r="A744" s="0">
        <v>5429</v>
      </c>
      <c r="B744" s="0" t="s">
        <v>5734</v>
      </c>
      <c r="C744" s="0" t="s">
        <v>315</v>
      </c>
      <c r="D744" s="0" t="s">
        <v>4583</v>
      </c>
      <c r="E744" s="0" t="s">
        <v>5735</v>
      </c>
      <c r="F744" s="0">
        <v>1</v>
      </c>
      <c r="G744" s="0" t="s">
        <v>319</v>
      </c>
      <c r="H744" s="0" t="s">
        <v>1745</v>
      </c>
      <c r="I744" s="0" t="s">
        <v>2166</v>
      </c>
      <c r="J744" s="0" t="s">
        <v>400</v>
      </c>
      <c r="K744" s="0" t="s">
        <v>1190</v>
      </c>
      <c r="P744" s="0" t="s">
        <v>323</v>
      </c>
      <c r="Q744" s="0" t="s">
        <v>323</v>
      </c>
      <c r="R744" s="0" t="s">
        <v>324</v>
      </c>
      <c r="U744" s="0" t="s">
        <v>5736</v>
      </c>
      <c r="X744" s="0" t="s">
        <v>347</v>
      </c>
      <c r="Y744" s="0" t="s">
        <v>165</v>
      </c>
      <c r="Z744" s="0" t="s">
        <v>5715</v>
      </c>
      <c r="AA744" s="0" t="s">
        <v>164</v>
      </c>
      <c r="AB744" s="0" t="s">
        <v>300</v>
      </c>
      <c r="AE744" s="0" t="s">
        <v>5716</v>
      </c>
      <c r="AF744" s="0" t="s">
        <v>301</v>
      </c>
      <c r="AM744" s="0" t="s">
        <v>5737</v>
      </c>
      <c r="AN744" s="0" t="s">
        <v>5738</v>
      </c>
      <c r="AO744" s="0" t="s">
        <v>5739</v>
      </c>
      <c r="AP744" s="0" t="s">
        <v>305</v>
      </c>
      <c r="AQ744" s="0" t="s">
        <v>5740</v>
      </c>
      <c r="AR744" s="0" t="s">
        <v>912</v>
      </c>
      <c r="AS744" s="0">
        <v>19</v>
      </c>
      <c r="AT744" s="0">
        <v>39</v>
      </c>
      <c r="AU744" s="0">
        <v>48</v>
      </c>
      <c r="AV744" s="0" t="s">
        <v>331</v>
      </c>
      <c r="AW744" s="0" t="s">
        <v>332</v>
      </c>
      <c r="AX744" s="0" t="s">
        <v>353</v>
      </c>
      <c r="AY744" s="0" t="s">
        <v>5741</v>
      </c>
      <c r="AZ744" s="0" t="s">
        <v>304</v>
      </c>
      <c r="BA744" s="0">
        <v>510</v>
      </c>
      <c r="BB744" s="0" t="s">
        <v>232</v>
      </c>
      <c r="BC744" s="0">
        <v>2</v>
      </c>
      <c r="BD744" s="0">
        <v>374043</v>
      </c>
      <c r="BE744" s="0">
        <v>519970</v>
      </c>
      <c r="BF744" s="0">
        <v>4</v>
      </c>
      <c r="BG744" s="0" t="s">
        <v>5742</v>
      </c>
      <c r="BI744" s="0">
        <v>784</v>
      </c>
      <c r="BK744" s="0" t="s">
        <v>5743</v>
      </c>
    </row>
    <row r="745">
      <c r="A745" s="0">
        <v>5430</v>
      </c>
      <c r="B745" s="0" t="s">
        <v>5744</v>
      </c>
      <c r="C745" s="0" t="s">
        <v>2620</v>
      </c>
      <c r="D745" s="0" t="s">
        <v>4583</v>
      </c>
      <c r="E745" s="0" t="s">
        <v>5745</v>
      </c>
      <c r="F745" s="0">
        <v>1</v>
      </c>
      <c r="G745" s="0" t="s">
        <v>555</v>
      </c>
      <c r="H745" s="0" t="s">
        <v>593</v>
      </c>
      <c r="I745" s="0" t="s">
        <v>1204</v>
      </c>
      <c r="J745" s="0" t="s">
        <v>293</v>
      </c>
      <c r="K745" s="0" t="s">
        <v>294</v>
      </c>
      <c r="L745" s="0" t="s">
        <v>295</v>
      </c>
      <c r="P745" s="0" t="s">
        <v>323</v>
      </c>
      <c r="Q745" s="0" t="s">
        <v>343</v>
      </c>
      <c r="R745" s="0" t="s">
        <v>1021</v>
      </c>
      <c r="T745" s="0" t="s">
        <v>5746</v>
      </c>
      <c r="X745" s="0" t="s">
        <v>529</v>
      </c>
      <c r="Y745" s="0" t="s">
        <v>165</v>
      </c>
      <c r="Z745" s="0" t="s">
        <v>5715</v>
      </c>
      <c r="AA745" s="0" t="s">
        <v>164</v>
      </c>
      <c r="AB745" s="0" t="s">
        <v>300</v>
      </c>
      <c r="AE745" s="0" t="s">
        <v>5716</v>
      </c>
      <c r="AF745" s="0" t="s">
        <v>301</v>
      </c>
      <c r="AP745" s="0" t="s">
        <v>305</v>
      </c>
      <c r="BA745" s="0">
        <v>510</v>
      </c>
      <c r="BB745" s="0" t="s">
        <v>232</v>
      </c>
      <c r="BC745" s="0">
        <v>2</v>
      </c>
      <c r="BD745" s="0">
        <v>34</v>
      </c>
      <c r="BE745" s="0">
        <v>519970</v>
      </c>
      <c r="BF745" s="0">
        <v>2</v>
      </c>
      <c r="BG745" s="0" t="s">
        <v>5747</v>
      </c>
      <c r="BI745" s="0">
        <v>1114</v>
      </c>
      <c r="BK745" s="0" t="s">
        <v>5748</v>
      </c>
    </row>
    <row r="746">
      <c r="A746" s="0">
        <v>5435</v>
      </c>
      <c r="B746" s="0" t="s">
        <v>5749</v>
      </c>
      <c r="C746" s="0" t="s">
        <v>2620</v>
      </c>
      <c r="D746" s="0" t="s">
        <v>4583</v>
      </c>
      <c r="E746" s="0" t="s">
        <v>5750</v>
      </c>
      <c r="F746" s="0">
        <v>1</v>
      </c>
      <c r="G746" s="0" t="s">
        <v>293</v>
      </c>
      <c r="H746" s="0" t="s">
        <v>294</v>
      </c>
      <c r="I746" s="0" t="s">
        <v>295</v>
      </c>
      <c r="P746" s="0" t="s">
        <v>343</v>
      </c>
      <c r="Q746" s="0" t="s">
        <v>343</v>
      </c>
      <c r="R746" s="0" t="s">
        <v>343</v>
      </c>
      <c r="T746" s="0" t="s">
        <v>5725</v>
      </c>
      <c r="X746" s="0" t="s">
        <v>529</v>
      </c>
      <c r="Y746" s="0" t="s">
        <v>165</v>
      </c>
      <c r="Z746" s="0" t="s">
        <v>5715</v>
      </c>
      <c r="AA746" s="0" t="s">
        <v>164</v>
      </c>
      <c r="AB746" s="0" t="s">
        <v>300</v>
      </c>
      <c r="AE746" s="0" t="s">
        <v>5716</v>
      </c>
      <c r="AF746" s="0" t="s">
        <v>301</v>
      </c>
      <c r="AP746" s="0" t="s">
        <v>305</v>
      </c>
      <c r="BA746" s="0">
        <v>510</v>
      </c>
      <c r="BB746" s="0" t="s">
        <v>232</v>
      </c>
      <c r="BC746" s="0">
        <v>2</v>
      </c>
      <c r="BD746" s="0">
        <v>34</v>
      </c>
      <c r="BE746" s="0">
        <v>519970</v>
      </c>
      <c r="BF746" s="0">
        <v>2</v>
      </c>
      <c r="BG746" s="0" t="s">
        <v>5751</v>
      </c>
      <c r="BI746" s="0">
        <v>2380</v>
      </c>
      <c r="BK746" s="0" t="s">
        <v>5752</v>
      </c>
    </row>
    <row r="747">
      <c r="A747" s="0">
        <v>5436</v>
      </c>
      <c r="B747" s="0" t="s">
        <v>5753</v>
      </c>
      <c r="C747" s="0" t="s">
        <v>2620</v>
      </c>
      <c r="D747" s="0" t="s">
        <v>4583</v>
      </c>
      <c r="E747" s="0" t="s">
        <v>5754</v>
      </c>
      <c r="F747" s="0">
        <v>1</v>
      </c>
      <c r="G747" s="0" t="s">
        <v>293</v>
      </c>
      <c r="H747" s="0" t="s">
        <v>294</v>
      </c>
      <c r="I747" s="0" t="s">
        <v>295</v>
      </c>
      <c r="P747" s="0" t="s">
        <v>343</v>
      </c>
      <c r="Q747" s="0" t="s">
        <v>343</v>
      </c>
      <c r="R747" s="0" t="s">
        <v>343</v>
      </c>
      <c r="T747" s="0" t="s">
        <v>5725</v>
      </c>
      <c r="X747" s="0" t="s">
        <v>529</v>
      </c>
      <c r="Y747" s="0" t="s">
        <v>165</v>
      </c>
      <c r="Z747" s="0" t="s">
        <v>5715</v>
      </c>
      <c r="AA747" s="0" t="s">
        <v>164</v>
      </c>
      <c r="AB747" s="0" t="s">
        <v>300</v>
      </c>
      <c r="AE747" s="0" t="s">
        <v>5716</v>
      </c>
      <c r="AF747" s="0" t="s">
        <v>301</v>
      </c>
      <c r="AP747" s="0" t="s">
        <v>305</v>
      </c>
      <c r="BA747" s="0">
        <v>510</v>
      </c>
      <c r="BB747" s="0" t="s">
        <v>232</v>
      </c>
      <c r="BC747" s="0">
        <v>2</v>
      </c>
      <c r="BD747" s="0">
        <v>34</v>
      </c>
      <c r="BE747" s="0">
        <v>519970</v>
      </c>
      <c r="BF747" s="0">
        <v>2</v>
      </c>
      <c r="BG747" s="0" t="s">
        <v>5755</v>
      </c>
      <c r="BI747" s="0">
        <v>2576</v>
      </c>
      <c r="BK747" s="0" t="s">
        <v>5756</v>
      </c>
    </row>
    <row r="748">
      <c r="A748" s="0">
        <v>5428</v>
      </c>
      <c r="B748" s="0" t="s">
        <v>5757</v>
      </c>
      <c r="C748" s="0" t="s">
        <v>315</v>
      </c>
      <c r="D748" s="0" t="s">
        <v>4583</v>
      </c>
      <c r="E748" s="0" t="s">
        <v>5758</v>
      </c>
      <c r="F748" s="0">
        <v>1</v>
      </c>
      <c r="G748" s="0" t="s">
        <v>508</v>
      </c>
      <c r="H748" s="0" t="s">
        <v>1190</v>
      </c>
      <c r="I748" s="0" t="s">
        <v>549</v>
      </c>
      <c r="J748" s="0" t="s">
        <v>293</v>
      </c>
      <c r="K748" s="0" t="s">
        <v>294</v>
      </c>
      <c r="L748" s="0" t="s">
        <v>295</v>
      </c>
      <c r="P748" s="0" t="s">
        <v>323</v>
      </c>
      <c r="Q748" s="0" t="s">
        <v>343</v>
      </c>
      <c r="R748" s="0" t="s">
        <v>1021</v>
      </c>
      <c r="X748" s="0" t="s">
        <v>529</v>
      </c>
      <c r="Y748" s="0" t="s">
        <v>165</v>
      </c>
      <c r="Z748" s="0" t="s">
        <v>5715</v>
      </c>
      <c r="AA748" s="0" t="s">
        <v>164</v>
      </c>
      <c r="AB748" s="0" t="s">
        <v>300</v>
      </c>
      <c r="AE748" s="0" t="s">
        <v>5716</v>
      </c>
      <c r="AF748" s="0" t="s">
        <v>301</v>
      </c>
      <c r="AP748" s="0" t="s">
        <v>305</v>
      </c>
      <c r="BA748" s="0">
        <v>510</v>
      </c>
      <c r="BB748" s="0" t="s">
        <v>232</v>
      </c>
      <c r="BC748" s="0">
        <v>2</v>
      </c>
      <c r="BD748" s="0">
        <v>374043</v>
      </c>
      <c r="BE748" s="0">
        <v>519970</v>
      </c>
      <c r="BF748" s="0">
        <v>2</v>
      </c>
      <c r="BG748" s="0" t="s">
        <v>5759</v>
      </c>
      <c r="BI748" s="0">
        <v>382</v>
      </c>
      <c r="BK748" s="0" t="s">
        <v>5760</v>
      </c>
    </row>
    <row r="749">
      <c r="A749" s="0">
        <v>5434</v>
      </c>
      <c r="B749" s="0" t="s">
        <v>5761</v>
      </c>
      <c r="C749" s="0" t="s">
        <v>2620</v>
      </c>
      <c r="D749" s="0" t="s">
        <v>4583</v>
      </c>
      <c r="E749" s="0" t="s">
        <v>5762</v>
      </c>
      <c r="F749" s="0">
        <v>1</v>
      </c>
      <c r="G749" s="0" t="s">
        <v>293</v>
      </c>
      <c r="H749" s="0" t="s">
        <v>294</v>
      </c>
      <c r="I749" s="0" t="s">
        <v>295</v>
      </c>
      <c r="P749" s="0" t="s">
        <v>343</v>
      </c>
      <c r="Q749" s="0" t="s">
        <v>343</v>
      </c>
      <c r="R749" s="0" t="s">
        <v>343</v>
      </c>
      <c r="T749" s="0" t="s">
        <v>5763</v>
      </c>
      <c r="X749" s="0" t="s">
        <v>529</v>
      </c>
      <c r="Y749" s="0" t="s">
        <v>165</v>
      </c>
      <c r="Z749" s="0" t="s">
        <v>5715</v>
      </c>
      <c r="AA749" s="0" t="s">
        <v>164</v>
      </c>
      <c r="AB749" s="0" t="s">
        <v>300</v>
      </c>
      <c r="AE749" s="0" t="s">
        <v>5716</v>
      </c>
      <c r="AF749" s="0" t="s">
        <v>301</v>
      </c>
      <c r="AP749" s="0" t="s">
        <v>305</v>
      </c>
      <c r="BA749" s="0">
        <v>510</v>
      </c>
      <c r="BB749" s="0" t="s">
        <v>232</v>
      </c>
      <c r="BC749" s="0">
        <v>2</v>
      </c>
      <c r="BD749" s="0">
        <v>34</v>
      </c>
      <c r="BE749" s="0">
        <v>519970</v>
      </c>
      <c r="BF749" s="0">
        <v>2</v>
      </c>
      <c r="BG749" s="0" t="s">
        <v>5764</v>
      </c>
      <c r="BI749" s="0">
        <v>2163</v>
      </c>
      <c r="BK749" s="0" t="s">
        <v>5765</v>
      </c>
    </row>
    <row r="750">
      <c r="A750" s="0">
        <v>5453</v>
      </c>
      <c r="B750" s="0" t="s">
        <v>5766</v>
      </c>
      <c r="C750" s="0" t="s">
        <v>315</v>
      </c>
      <c r="D750" s="0" t="s">
        <v>5767</v>
      </c>
      <c r="E750" s="0" t="s">
        <v>4678</v>
      </c>
      <c r="F750" s="0">
        <v>2</v>
      </c>
      <c r="G750" s="0" t="s">
        <v>293</v>
      </c>
      <c r="H750" s="0" t="s">
        <v>294</v>
      </c>
      <c r="I750" s="0" t="s">
        <v>918</v>
      </c>
      <c r="J750" s="0" t="s">
        <v>319</v>
      </c>
      <c r="K750" s="0" t="s">
        <v>1292</v>
      </c>
      <c r="L750" s="0" t="s">
        <v>497</v>
      </c>
      <c r="T750" s="0" t="s">
        <v>5768</v>
      </c>
      <c r="U750" s="0" t="s">
        <v>5769</v>
      </c>
      <c r="X750" s="0" t="s">
        <v>347</v>
      </c>
      <c r="Y750" s="0" t="s">
        <v>94</v>
      </c>
      <c r="Z750" s="0" t="s">
        <v>1972</v>
      </c>
      <c r="AA750" s="0" t="s">
        <v>160</v>
      </c>
      <c r="AB750" s="0" t="s">
        <v>531</v>
      </c>
      <c r="AC750" s="0" t="s">
        <v>571</v>
      </c>
      <c r="AE750" s="0" t="s">
        <v>5770</v>
      </c>
      <c r="AF750" s="0" t="s">
        <v>301</v>
      </c>
      <c r="AP750" s="0" t="s">
        <v>305</v>
      </c>
      <c r="BA750" s="0">
        <v>511</v>
      </c>
      <c r="BB750" s="0" t="s">
        <v>232</v>
      </c>
      <c r="BC750" s="0">
        <v>2</v>
      </c>
      <c r="BD750" s="0">
        <v>374043</v>
      </c>
      <c r="BE750" s="0">
        <v>112779</v>
      </c>
      <c r="BF750" s="0">
        <v>4</v>
      </c>
      <c r="BG750" s="0" t="s">
        <v>5771</v>
      </c>
      <c r="BI750" s="0">
        <v>2754</v>
      </c>
      <c r="BK750" s="0" t="s">
        <v>5772</v>
      </c>
    </row>
    <row r="751">
      <c r="A751" s="0">
        <v>5454</v>
      </c>
      <c r="B751" s="0" t="s">
        <v>5773</v>
      </c>
      <c r="C751" s="0" t="s">
        <v>339</v>
      </c>
      <c r="D751" s="0" t="s">
        <v>5767</v>
      </c>
      <c r="E751" s="0" t="s">
        <v>3558</v>
      </c>
      <c r="F751" s="0">
        <v>2</v>
      </c>
      <c r="G751" s="0" t="s">
        <v>508</v>
      </c>
      <c r="H751" s="0" t="s">
        <v>1190</v>
      </c>
      <c r="I751" s="0" t="s">
        <v>469</v>
      </c>
      <c r="J751" s="0" t="s">
        <v>4685</v>
      </c>
      <c r="K751" s="0" t="s">
        <v>4686</v>
      </c>
      <c r="L751" s="0" t="s">
        <v>469</v>
      </c>
      <c r="M751" s="0" t="s">
        <v>293</v>
      </c>
      <c r="N751" s="0" t="s">
        <v>294</v>
      </c>
      <c r="O751" s="0" t="s">
        <v>3175</v>
      </c>
      <c r="T751" s="0" t="s">
        <v>5774</v>
      </c>
      <c r="U751" s="0" t="s">
        <v>5775</v>
      </c>
      <c r="X751" s="0" t="s">
        <v>347</v>
      </c>
      <c r="Y751" s="0" t="s">
        <v>94</v>
      </c>
      <c r="Z751" s="0" t="s">
        <v>1972</v>
      </c>
      <c r="AA751" s="0" t="s">
        <v>160</v>
      </c>
      <c r="AB751" s="0" t="s">
        <v>531</v>
      </c>
      <c r="AC751" s="0" t="s">
        <v>571</v>
      </c>
      <c r="AE751" s="0" t="s">
        <v>5770</v>
      </c>
      <c r="AF751" s="0" t="s">
        <v>301</v>
      </c>
      <c r="AP751" s="0" t="s">
        <v>305</v>
      </c>
      <c r="BA751" s="0">
        <v>511</v>
      </c>
      <c r="BB751" s="0" t="s">
        <v>232</v>
      </c>
      <c r="BC751" s="0">
        <v>2</v>
      </c>
      <c r="BD751" s="0">
        <v>8</v>
      </c>
      <c r="BE751" s="0">
        <v>112779</v>
      </c>
      <c r="BF751" s="0">
        <v>4</v>
      </c>
      <c r="BG751" s="0" t="s">
        <v>5776</v>
      </c>
      <c r="BI751" s="0">
        <v>2927</v>
      </c>
      <c r="BK751" s="0" t="s">
        <v>5777</v>
      </c>
    </row>
    <row r="752">
      <c r="A752" s="0">
        <v>5445</v>
      </c>
      <c r="B752" s="0" t="s">
        <v>5778</v>
      </c>
      <c r="C752" s="0" t="s">
        <v>339</v>
      </c>
      <c r="D752" s="0" t="s">
        <v>5767</v>
      </c>
      <c r="E752" s="0" t="s">
        <v>3565</v>
      </c>
      <c r="F752" s="0">
        <v>2</v>
      </c>
      <c r="G752" s="0" t="s">
        <v>319</v>
      </c>
      <c r="H752" s="0" t="s">
        <v>1997</v>
      </c>
      <c r="I752" s="0" t="s">
        <v>1268</v>
      </c>
      <c r="J752" s="0" t="s">
        <v>508</v>
      </c>
      <c r="L752" s="0" t="s">
        <v>1268</v>
      </c>
      <c r="P752" s="0" t="s">
        <v>323</v>
      </c>
      <c r="Q752" s="0" t="s">
        <v>343</v>
      </c>
      <c r="R752" s="0" t="s">
        <v>2685</v>
      </c>
      <c r="T752" s="0" t="s">
        <v>5779</v>
      </c>
      <c r="U752" s="0" t="s">
        <v>5780</v>
      </c>
      <c r="X752" s="0" t="s">
        <v>347</v>
      </c>
      <c r="Y752" s="0" t="s">
        <v>94</v>
      </c>
      <c r="Z752" s="0" t="s">
        <v>1972</v>
      </c>
      <c r="AA752" s="0" t="s">
        <v>160</v>
      </c>
      <c r="AB752" s="0" t="s">
        <v>531</v>
      </c>
      <c r="AC752" s="0" t="s">
        <v>571</v>
      </c>
      <c r="AE752" s="0" t="s">
        <v>5770</v>
      </c>
      <c r="AF752" s="0" t="s">
        <v>301</v>
      </c>
      <c r="AM752" s="0" t="s">
        <v>391</v>
      </c>
      <c r="AN752" s="0" t="s">
        <v>5781</v>
      </c>
      <c r="AO752" s="0" t="s">
        <v>598</v>
      </c>
      <c r="AP752" s="0" t="s">
        <v>305</v>
      </c>
      <c r="AQ752" s="0" t="s">
        <v>489</v>
      </c>
      <c r="BA752" s="0">
        <v>511</v>
      </c>
      <c r="BB752" s="0" t="s">
        <v>232</v>
      </c>
      <c r="BC752" s="0">
        <v>2</v>
      </c>
      <c r="BD752" s="0">
        <v>8</v>
      </c>
      <c r="BE752" s="0">
        <v>112779</v>
      </c>
      <c r="BF752" s="0">
        <v>4</v>
      </c>
      <c r="BG752" s="0" t="s">
        <v>5782</v>
      </c>
      <c r="BI752" s="0">
        <v>1937</v>
      </c>
      <c r="BK752" s="0" t="s">
        <v>5783</v>
      </c>
    </row>
    <row r="753">
      <c r="A753" s="0">
        <v>5443</v>
      </c>
      <c r="B753" s="0" t="s">
        <v>5784</v>
      </c>
      <c r="C753" s="0" t="s">
        <v>339</v>
      </c>
      <c r="D753" s="0" t="s">
        <v>5767</v>
      </c>
      <c r="E753" s="0" t="s">
        <v>3573</v>
      </c>
      <c r="F753" s="0">
        <v>2</v>
      </c>
      <c r="G753" s="0" t="s">
        <v>319</v>
      </c>
      <c r="H753" s="0" t="s">
        <v>1997</v>
      </c>
      <c r="I753" s="0" t="s">
        <v>1268</v>
      </c>
      <c r="J753" s="0" t="s">
        <v>525</v>
      </c>
      <c r="K753" s="0" t="s">
        <v>508</v>
      </c>
      <c r="L753" s="0" t="s">
        <v>1268</v>
      </c>
      <c r="P753" s="0" t="s">
        <v>323</v>
      </c>
      <c r="Q753" s="0" t="s">
        <v>343</v>
      </c>
      <c r="R753" s="0" t="s">
        <v>2685</v>
      </c>
      <c r="T753" s="0" t="s">
        <v>5785</v>
      </c>
      <c r="U753" s="0" t="s">
        <v>5786</v>
      </c>
      <c r="X753" s="0" t="s">
        <v>347</v>
      </c>
      <c r="Y753" s="0" t="s">
        <v>94</v>
      </c>
      <c r="Z753" s="0" t="s">
        <v>1972</v>
      </c>
      <c r="AA753" s="0" t="s">
        <v>160</v>
      </c>
      <c r="AB753" s="0" t="s">
        <v>531</v>
      </c>
      <c r="AC753" s="0" t="s">
        <v>571</v>
      </c>
      <c r="AE753" s="0" t="s">
        <v>5770</v>
      </c>
      <c r="AF753" s="0" t="s">
        <v>301</v>
      </c>
      <c r="AP753" s="0" t="s">
        <v>305</v>
      </c>
      <c r="BA753" s="0">
        <v>511</v>
      </c>
      <c r="BB753" s="0" t="s">
        <v>232</v>
      </c>
      <c r="BC753" s="0">
        <v>2</v>
      </c>
      <c r="BD753" s="0">
        <v>8</v>
      </c>
      <c r="BE753" s="0">
        <v>112779</v>
      </c>
      <c r="BF753" s="0">
        <v>4</v>
      </c>
      <c r="BG753" s="0" t="s">
        <v>5787</v>
      </c>
      <c r="BI753" s="0">
        <v>1692</v>
      </c>
      <c r="BK753" s="0" t="s">
        <v>5788</v>
      </c>
    </row>
    <row r="754">
      <c r="A754" s="0">
        <v>5439</v>
      </c>
      <c r="B754" s="0" t="s">
        <v>5789</v>
      </c>
      <c r="C754" s="0" t="s">
        <v>315</v>
      </c>
      <c r="D754" s="0" t="s">
        <v>5767</v>
      </c>
      <c r="E754" s="0" t="s">
        <v>5790</v>
      </c>
      <c r="F754" s="0">
        <v>2</v>
      </c>
      <c r="G754" s="0" t="s">
        <v>525</v>
      </c>
      <c r="H754" s="0" t="s">
        <v>400</v>
      </c>
      <c r="I754" s="0" t="s">
        <v>3594</v>
      </c>
      <c r="J754" s="0" t="s">
        <v>293</v>
      </c>
      <c r="K754" s="0" t="s">
        <v>294</v>
      </c>
      <c r="L754" s="0" t="s">
        <v>295</v>
      </c>
      <c r="P754" s="0" t="s">
        <v>5791</v>
      </c>
      <c r="Q754" s="0" t="s">
        <v>5791</v>
      </c>
      <c r="R754" s="0" t="s">
        <v>5792</v>
      </c>
      <c r="T754" s="0" t="s">
        <v>5793</v>
      </c>
      <c r="X754" s="0" t="s">
        <v>529</v>
      </c>
      <c r="Y754" s="0" t="s">
        <v>94</v>
      </c>
      <c r="Z754" s="0" t="s">
        <v>1972</v>
      </c>
      <c r="AA754" s="0" t="s">
        <v>160</v>
      </c>
      <c r="AB754" s="0" t="s">
        <v>531</v>
      </c>
      <c r="AC754" s="0" t="s">
        <v>571</v>
      </c>
      <c r="AE754" s="0" t="s">
        <v>5770</v>
      </c>
      <c r="AF754" s="0" t="s">
        <v>301</v>
      </c>
      <c r="AP754" s="0" t="s">
        <v>305</v>
      </c>
      <c r="BA754" s="0">
        <v>511</v>
      </c>
      <c r="BB754" s="0" t="s">
        <v>232</v>
      </c>
      <c r="BC754" s="0">
        <v>2</v>
      </c>
      <c r="BD754" s="0">
        <v>374043</v>
      </c>
      <c r="BE754" s="0">
        <v>112779</v>
      </c>
      <c r="BF754" s="0">
        <v>2</v>
      </c>
      <c r="BG754" s="0" t="s">
        <v>5794</v>
      </c>
      <c r="BI754" s="0">
        <v>788</v>
      </c>
      <c r="BK754" s="0" t="s">
        <v>5795</v>
      </c>
    </row>
    <row r="755">
      <c r="A755" s="0">
        <v>5438</v>
      </c>
      <c r="B755" s="0" t="s">
        <v>5796</v>
      </c>
      <c r="C755" s="0" t="s">
        <v>315</v>
      </c>
      <c r="D755" s="0" t="s">
        <v>5767</v>
      </c>
      <c r="E755" s="0" t="s">
        <v>5797</v>
      </c>
      <c r="F755" s="0">
        <v>2</v>
      </c>
      <c r="G755" s="0" t="s">
        <v>525</v>
      </c>
      <c r="H755" s="0" t="s">
        <v>400</v>
      </c>
      <c r="I755" s="0" t="s">
        <v>3594</v>
      </c>
      <c r="J755" s="0" t="s">
        <v>293</v>
      </c>
      <c r="K755" s="0" t="s">
        <v>294</v>
      </c>
      <c r="L755" s="0" t="s">
        <v>295</v>
      </c>
      <c r="P755" s="0" t="s">
        <v>5791</v>
      </c>
      <c r="Q755" s="0" t="s">
        <v>5791</v>
      </c>
      <c r="R755" s="0" t="s">
        <v>5792</v>
      </c>
      <c r="T755" s="0" t="s">
        <v>5798</v>
      </c>
      <c r="X755" s="0" t="s">
        <v>529</v>
      </c>
      <c r="Y755" s="0" t="s">
        <v>94</v>
      </c>
      <c r="Z755" s="0" t="s">
        <v>1972</v>
      </c>
      <c r="AA755" s="0" t="s">
        <v>160</v>
      </c>
      <c r="AB755" s="0" t="s">
        <v>531</v>
      </c>
      <c r="AC755" s="0" t="s">
        <v>571</v>
      </c>
      <c r="AE755" s="0" t="s">
        <v>5770</v>
      </c>
      <c r="AF755" s="0" t="s">
        <v>301</v>
      </c>
      <c r="AP755" s="0" t="s">
        <v>305</v>
      </c>
      <c r="BA755" s="0">
        <v>511</v>
      </c>
      <c r="BB755" s="0" t="s">
        <v>232</v>
      </c>
      <c r="BC755" s="0">
        <v>2</v>
      </c>
      <c r="BD755" s="0">
        <v>374043</v>
      </c>
      <c r="BE755" s="0">
        <v>112779</v>
      </c>
      <c r="BF755" s="0">
        <v>2</v>
      </c>
      <c r="BG755" s="0" t="s">
        <v>5799</v>
      </c>
      <c r="BI755" s="0">
        <v>387</v>
      </c>
      <c r="BK755" s="0" t="s">
        <v>5800</v>
      </c>
    </row>
    <row r="756">
      <c r="A756" s="0">
        <v>5440</v>
      </c>
      <c r="B756" s="0" t="s">
        <v>5801</v>
      </c>
      <c r="C756" s="0" t="s">
        <v>315</v>
      </c>
      <c r="D756" s="0" t="s">
        <v>5767</v>
      </c>
      <c r="E756" s="0" t="s">
        <v>5802</v>
      </c>
      <c r="F756" s="0">
        <v>2</v>
      </c>
      <c r="G756" s="0" t="s">
        <v>525</v>
      </c>
      <c r="H756" s="0" t="s">
        <v>400</v>
      </c>
      <c r="I756" s="0" t="s">
        <v>3594</v>
      </c>
      <c r="J756" s="0" t="s">
        <v>293</v>
      </c>
      <c r="K756" s="0" t="s">
        <v>294</v>
      </c>
      <c r="L756" s="0" t="s">
        <v>295</v>
      </c>
      <c r="T756" s="0" t="s">
        <v>5803</v>
      </c>
      <c r="X756" s="0" t="s">
        <v>529</v>
      </c>
      <c r="Y756" s="0" t="s">
        <v>94</v>
      </c>
      <c r="Z756" s="0" t="s">
        <v>1972</v>
      </c>
      <c r="AA756" s="0" t="s">
        <v>160</v>
      </c>
      <c r="AB756" s="0" t="s">
        <v>531</v>
      </c>
      <c r="AC756" s="0" t="s">
        <v>571</v>
      </c>
      <c r="AE756" s="0" t="s">
        <v>5770</v>
      </c>
      <c r="AF756" s="0" t="s">
        <v>301</v>
      </c>
      <c r="AP756" s="0" t="s">
        <v>305</v>
      </c>
      <c r="BA756" s="0">
        <v>511</v>
      </c>
      <c r="BB756" s="0" t="s">
        <v>232</v>
      </c>
      <c r="BC756" s="0">
        <v>2</v>
      </c>
      <c r="BD756" s="0">
        <v>374043</v>
      </c>
      <c r="BE756" s="0">
        <v>112779</v>
      </c>
      <c r="BF756" s="0">
        <v>2</v>
      </c>
      <c r="BG756" s="0" t="s">
        <v>5804</v>
      </c>
      <c r="BI756" s="0">
        <v>1119</v>
      </c>
      <c r="BK756" s="0" t="s">
        <v>5805</v>
      </c>
    </row>
    <row r="757">
      <c r="A757" s="0">
        <v>5441</v>
      </c>
      <c r="B757" s="0" t="s">
        <v>5806</v>
      </c>
      <c r="C757" s="0" t="s">
        <v>315</v>
      </c>
      <c r="D757" s="0" t="s">
        <v>5767</v>
      </c>
      <c r="E757" s="0" t="s">
        <v>5807</v>
      </c>
      <c r="F757" s="0">
        <v>2</v>
      </c>
      <c r="G757" s="0" t="s">
        <v>293</v>
      </c>
      <c r="H757" s="0" t="s">
        <v>294</v>
      </c>
      <c r="I757" s="0" t="s">
        <v>295</v>
      </c>
      <c r="J757" s="0" t="s">
        <v>525</v>
      </c>
      <c r="K757" s="0" t="s">
        <v>400</v>
      </c>
      <c r="L757" s="0" t="s">
        <v>705</v>
      </c>
      <c r="T757" s="0" t="s">
        <v>5808</v>
      </c>
      <c r="U757" s="0" t="s">
        <v>5809</v>
      </c>
      <c r="X757" s="0" t="s">
        <v>347</v>
      </c>
      <c r="Y757" s="0" t="s">
        <v>94</v>
      </c>
      <c r="Z757" s="0" t="s">
        <v>1972</v>
      </c>
      <c r="AA757" s="0" t="s">
        <v>160</v>
      </c>
      <c r="AB757" s="0" t="s">
        <v>531</v>
      </c>
      <c r="AC757" s="0" t="s">
        <v>571</v>
      </c>
      <c r="AE757" s="0" t="s">
        <v>5770</v>
      </c>
      <c r="AF757" s="0" t="s">
        <v>301</v>
      </c>
      <c r="AP757" s="0" t="s">
        <v>305</v>
      </c>
      <c r="BA757" s="0">
        <v>511</v>
      </c>
      <c r="BB757" s="0" t="s">
        <v>232</v>
      </c>
      <c r="BC757" s="0">
        <v>2</v>
      </c>
      <c r="BD757" s="0">
        <v>374043</v>
      </c>
      <c r="BE757" s="0">
        <v>112779</v>
      </c>
      <c r="BF757" s="0">
        <v>4</v>
      </c>
      <c r="BG757" s="0" t="s">
        <v>5810</v>
      </c>
      <c r="BI757" s="0">
        <v>1425</v>
      </c>
      <c r="BK757" s="0" t="s">
        <v>5811</v>
      </c>
    </row>
    <row r="758">
      <c r="A758" s="0">
        <v>5448</v>
      </c>
      <c r="B758" s="0" t="s">
        <v>5812</v>
      </c>
      <c r="C758" s="0" t="s">
        <v>315</v>
      </c>
      <c r="D758" s="0" t="s">
        <v>5767</v>
      </c>
      <c r="E758" s="0" t="s">
        <v>5813</v>
      </c>
      <c r="F758" s="0">
        <v>2</v>
      </c>
      <c r="G758" s="0" t="s">
        <v>555</v>
      </c>
      <c r="H758" s="0" t="s">
        <v>593</v>
      </c>
      <c r="I758" s="0" t="s">
        <v>417</v>
      </c>
      <c r="J758" s="0" t="s">
        <v>594</v>
      </c>
      <c r="K758" s="0" t="s">
        <v>1190</v>
      </c>
      <c r="L758" s="0" t="s">
        <v>549</v>
      </c>
      <c r="M758" s="0" t="s">
        <v>293</v>
      </c>
      <c r="N758" s="0" t="s">
        <v>294</v>
      </c>
      <c r="O758" s="0" t="s">
        <v>295</v>
      </c>
      <c r="P758" s="0" t="s">
        <v>323</v>
      </c>
      <c r="Q758" s="0" t="s">
        <v>323</v>
      </c>
      <c r="R758" s="0" t="s">
        <v>2007</v>
      </c>
      <c r="T758" s="0" t="s">
        <v>5814</v>
      </c>
      <c r="X758" s="0" t="s">
        <v>529</v>
      </c>
      <c r="Y758" s="0" t="s">
        <v>94</v>
      </c>
      <c r="Z758" s="0" t="s">
        <v>1972</v>
      </c>
      <c r="AA758" s="0" t="s">
        <v>160</v>
      </c>
      <c r="AB758" s="0" t="s">
        <v>531</v>
      </c>
      <c r="AC758" s="0" t="s">
        <v>571</v>
      </c>
      <c r="AE758" s="0" t="s">
        <v>5770</v>
      </c>
      <c r="AF758" s="0" t="s">
        <v>301</v>
      </c>
      <c r="AP758" s="0" t="s">
        <v>305</v>
      </c>
      <c r="BA758" s="0">
        <v>511</v>
      </c>
      <c r="BB758" s="0" t="s">
        <v>232</v>
      </c>
      <c r="BC758" s="0">
        <v>2</v>
      </c>
      <c r="BD758" s="0">
        <v>374043</v>
      </c>
      <c r="BE758" s="0">
        <v>112779</v>
      </c>
      <c r="BF758" s="0">
        <v>2</v>
      </c>
      <c r="BG758" s="0" t="s">
        <v>5815</v>
      </c>
      <c r="BI758" s="0">
        <v>2166</v>
      </c>
      <c r="BK758" s="0" t="s">
        <v>5816</v>
      </c>
    </row>
    <row r="759">
      <c r="A759" s="0">
        <v>5455</v>
      </c>
      <c r="B759" s="0" t="s">
        <v>5817</v>
      </c>
      <c r="C759" s="0" t="s">
        <v>315</v>
      </c>
      <c r="D759" s="0" t="s">
        <v>5767</v>
      </c>
      <c r="E759" s="0" t="s">
        <v>5818</v>
      </c>
      <c r="F759" s="0">
        <v>2</v>
      </c>
      <c r="G759" s="0" t="s">
        <v>319</v>
      </c>
      <c r="I759" s="0" t="s">
        <v>5819</v>
      </c>
      <c r="J759" s="0" t="s">
        <v>293</v>
      </c>
      <c r="K759" s="0" t="s">
        <v>294</v>
      </c>
      <c r="L759" s="0" t="s">
        <v>5820</v>
      </c>
      <c r="P759" s="0" t="s">
        <v>5821</v>
      </c>
      <c r="T759" s="0" t="s">
        <v>5822</v>
      </c>
      <c r="U759" s="0" t="s">
        <v>5823</v>
      </c>
      <c r="X759" s="0" t="s">
        <v>529</v>
      </c>
      <c r="Y759" s="0" t="s">
        <v>94</v>
      </c>
      <c r="Z759" s="0" t="s">
        <v>1972</v>
      </c>
      <c r="AA759" s="0" t="s">
        <v>160</v>
      </c>
      <c r="AB759" s="0" t="s">
        <v>531</v>
      </c>
      <c r="AC759" s="0" t="s">
        <v>571</v>
      </c>
      <c r="AE759" s="0" t="s">
        <v>5770</v>
      </c>
      <c r="AF759" s="0" t="s">
        <v>301</v>
      </c>
      <c r="AP759" s="0" t="s">
        <v>305</v>
      </c>
      <c r="BA759" s="0">
        <v>511</v>
      </c>
      <c r="BB759" s="0" t="s">
        <v>232</v>
      </c>
      <c r="BC759" s="0">
        <v>2</v>
      </c>
      <c r="BD759" s="0">
        <v>374043</v>
      </c>
      <c r="BE759" s="0">
        <v>112779</v>
      </c>
      <c r="BF759" s="0">
        <v>2</v>
      </c>
      <c r="BG759" s="0" t="s">
        <v>5824</v>
      </c>
      <c r="BI759" s="0">
        <v>3093</v>
      </c>
      <c r="BK759" s="0" t="s">
        <v>5825</v>
      </c>
    </row>
    <row r="760">
      <c r="A760" s="0">
        <v>5449</v>
      </c>
      <c r="B760" s="0" t="s">
        <v>5826</v>
      </c>
      <c r="C760" s="0" t="s">
        <v>339</v>
      </c>
      <c r="D760" s="0" t="s">
        <v>5343</v>
      </c>
      <c r="E760" s="0" t="s">
        <v>5827</v>
      </c>
      <c r="F760" s="0">
        <v>1</v>
      </c>
      <c r="G760" s="0" t="s">
        <v>319</v>
      </c>
      <c r="H760" s="0" t="s">
        <v>658</v>
      </c>
      <c r="I760" s="0" t="s">
        <v>948</v>
      </c>
      <c r="J760" s="0" t="s">
        <v>594</v>
      </c>
      <c r="K760" s="0" t="s">
        <v>1190</v>
      </c>
      <c r="L760" s="0" t="s">
        <v>3204</v>
      </c>
      <c r="M760" s="0" t="s">
        <v>293</v>
      </c>
      <c r="N760" s="0" t="s">
        <v>294</v>
      </c>
      <c r="O760" s="0" t="s">
        <v>295</v>
      </c>
      <c r="P760" s="0" t="s">
        <v>323</v>
      </c>
      <c r="Q760" s="0" t="s">
        <v>323</v>
      </c>
      <c r="R760" s="0" t="s">
        <v>673</v>
      </c>
      <c r="T760" s="0" t="s">
        <v>5828</v>
      </c>
      <c r="U760" s="0" t="s">
        <v>5829</v>
      </c>
      <c r="W760" s="0" t="s">
        <v>4021</v>
      </c>
      <c r="X760" s="0" t="s">
        <v>529</v>
      </c>
      <c r="Y760" s="0" t="s">
        <v>162</v>
      </c>
      <c r="Z760" s="0" t="s">
        <v>5830</v>
      </c>
      <c r="AA760" s="0" t="s">
        <v>161</v>
      </c>
      <c r="AD760" s="0" t="s">
        <v>5831</v>
      </c>
      <c r="AE760" s="0" t="s">
        <v>5832</v>
      </c>
      <c r="AF760" s="0" t="s">
        <v>301</v>
      </c>
      <c r="AM760" s="0" t="s">
        <v>585</v>
      </c>
      <c r="AN760" s="0" t="s">
        <v>747</v>
      </c>
      <c r="AO760" s="0" t="s">
        <v>309</v>
      </c>
      <c r="AP760" s="0" t="s">
        <v>305</v>
      </c>
      <c r="AQ760" s="0" t="s">
        <v>515</v>
      </c>
      <c r="AR760" s="0" t="s">
        <v>965</v>
      </c>
      <c r="AS760" s="0">
        <v>74</v>
      </c>
      <c r="AT760" s="0">
        <v>152</v>
      </c>
      <c r="AU760" s="0">
        <v>178</v>
      </c>
      <c r="AV760" s="0" t="s">
        <v>332</v>
      </c>
      <c r="AX760" s="0" t="s">
        <v>443</v>
      </c>
      <c r="AY760" s="0" t="s">
        <v>392</v>
      </c>
      <c r="AZ760" s="0" t="s">
        <v>1990</v>
      </c>
      <c r="BA760" s="0">
        <v>512</v>
      </c>
      <c r="BB760" s="0" t="s">
        <v>232</v>
      </c>
      <c r="BC760" s="0">
        <v>2</v>
      </c>
      <c r="BD760" s="0">
        <v>8</v>
      </c>
      <c r="BE760" s="0">
        <v>58624</v>
      </c>
      <c r="BF760" s="0">
        <v>2</v>
      </c>
      <c r="BG760" s="0" t="s">
        <v>5833</v>
      </c>
      <c r="BI760" s="0">
        <v>1690</v>
      </c>
      <c r="BK760" s="0" t="s">
        <v>5834</v>
      </c>
    </row>
    <row r="761">
      <c r="A761" s="0">
        <v>5447</v>
      </c>
      <c r="B761" s="0" t="s">
        <v>5835</v>
      </c>
      <c r="C761" s="0" t="s">
        <v>339</v>
      </c>
      <c r="D761" s="0" t="s">
        <v>5343</v>
      </c>
      <c r="E761" s="0" t="s">
        <v>5836</v>
      </c>
      <c r="F761" s="0">
        <v>1</v>
      </c>
      <c r="G761" s="0" t="s">
        <v>319</v>
      </c>
      <c r="H761" s="0" t="s">
        <v>658</v>
      </c>
      <c r="I761" s="0" t="s">
        <v>948</v>
      </c>
      <c r="J761" s="0" t="s">
        <v>594</v>
      </c>
      <c r="K761" s="0" t="s">
        <v>1190</v>
      </c>
      <c r="L761" s="0" t="s">
        <v>3204</v>
      </c>
      <c r="M761" s="0" t="s">
        <v>293</v>
      </c>
      <c r="N761" s="0" t="s">
        <v>294</v>
      </c>
      <c r="O761" s="0" t="s">
        <v>295</v>
      </c>
      <c r="P761" s="0" t="s">
        <v>323</v>
      </c>
      <c r="Q761" s="0" t="s">
        <v>323</v>
      </c>
      <c r="R761" s="0" t="s">
        <v>673</v>
      </c>
      <c r="T761" s="0" t="s">
        <v>5837</v>
      </c>
      <c r="U761" s="0" t="s">
        <v>5838</v>
      </c>
      <c r="W761" s="0" t="s">
        <v>4021</v>
      </c>
      <c r="X761" s="0" t="s">
        <v>529</v>
      </c>
      <c r="Y761" s="0" t="s">
        <v>162</v>
      </c>
      <c r="Z761" s="0" t="s">
        <v>5830</v>
      </c>
      <c r="AA761" s="0" t="s">
        <v>161</v>
      </c>
      <c r="AD761" s="0" t="s">
        <v>5831</v>
      </c>
      <c r="AE761" s="0" t="s">
        <v>5832</v>
      </c>
      <c r="AF761" s="0" t="s">
        <v>301</v>
      </c>
      <c r="AM761" s="0" t="s">
        <v>5839</v>
      </c>
      <c r="AN761" s="0" t="s">
        <v>5840</v>
      </c>
      <c r="AO761" s="0" t="s">
        <v>5841</v>
      </c>
      <c r="AP761" s="0" t="s">
        <v>305</v>
      </c>
      <c r="AQ761" s="0" t="s">
        <v>5842</v>
      </c>
      <c r="AR761" s="0" t="s">
        <v>5843</v>
      </c>
      <c r="AS761" s="0">
        <v>18</v>
      </c>
      <c r="AT761" s="0">
        <v>38</v>
      </c>
      <c r="AU761" s="0">
        <v>46</v>
      </c>
      <c r="AV761" s="0" t="s">
        <v>1840</v>
      </c>
      <c r="AW761" s="0" t="s">
        <v>308</v>
      </c>
      <c r="AX761" s="0" t="s">
        <v>5844</v>
      </c>
      <c r="AY761" s="0" t="s">
        <v>5845</v>
      </c>
      <c r="AZ761" s="0" t="s">
        <v>5846</v>
      </c>
      <c r="BA761" s="0">
        <v>512</v>
      </c>
      <c r="BB761" s="0" t="s">
        <v>232</v>
      </c>
      <c r="BC761" s="0">
        <v>2</v>
      </c>
      <c r="BD761" s="0">
        <v>8</v>
      </c>
      <c r="BE761" s="0">
        <v>58624</v>
      </c>
      <c r="BF761" s="0">
        <v>2</v>
      </c>
      <c r="BG761" s="0" t="s">
        <v>5847</v>
      </c>
      <c r="BI761" s="0">
        <v>1422</v>
      </c>
      <c r="BK761" s="0" t="s">
        <v>5848</v>
      </c>
    </row>
    <row r="762">
      <c r="A762" s="0">
        <v>5457</v>
      </c>
      <c r="B762" s="0" t="s">
        <v>5849</v>
      </c>
      <c r="C762" s="0" t="s">
        <v>3252</v>
      </c>
      <c r="D762" s="0" t="s">
        <v>5343</v>
      </c>
      <c r="E762" s="0" t="s">
        <v>5850</v>
      </c>
      <c r="F762" s="0">
        <v>1</v>
      </c>
      <c r="G762" s="0" t="s">
        <v>293</v>
      </c>
      <c r="H762" s="0" t="s">
        <v>3113</v>
      </c>
      <c r="I762" s="0" t="s">
        <v>5851</v>
      </c>
      <c r="U762" s="0" t="s">
        <v>5852</v>
      </c>
      <c r="W762" s="0" t="s">
        <v>4021</v>
      </c>
      <c r="X762" s="0" t="s">
        <v>347</v>
      </c>
      <c r="Y762" s="0" t="s">
        <v>162</v>
      </c>
      <c r="Z762" s="0" t="s">
        <v>5830</v>
      </c>
      <c r="AA762" s="0" t="s">
        <v>161</v>
      </c>
      <c r="AD762" s="0" t="s">
        <v>5831</v>
      </c>
      <c r="AE762" s="0" t="s">
        <v>5832</v>
      </c>
      <c r="AF762" s="0" t="s">
        <v>301</v>
      </c>
      <c r="AP762" s="0" t="s">
        <v>305</v>
      </c>
      <c r="BA762" s="0">
        <v>512</v>
      </c>
      <c r="BB762" s="0" t="s">
        <v>232</v>
      </c>
      <c r="BC762" s="0">
        <v>2</v>
      </c>
      <c r="BD762" s="0">
        <v>374080</v>
      </c>
      <c r="BE762" s="0">
        <v>58624</v>
      </c>
      <c r="BF762" s="0">
        <v>4</v>
      </c>
      <c r="BG762" s="0" t="s">
        <v>5853</v>
      </c>
      <c r="BI762" s="0">
        <v>2381</v>
      </c>
      <c r="BK762" s="0" t="s">
        <v>5854</v>
      </c>
    </row>
    <row r="763">
      <c r="A763" s="0">
        <v>5458</v>
      </c>
      <c r="B763" s="0" t="s">
        <v>5855</v>
      </c>
      <c r="C763" s="0" t="s">
        <v>3252</v>
      </c>
      <c r="D763" s="0" t="s">
        <v>5343</v>
      </c>
      <c r="E763" s="0" t="s">
        <v>5856</v>
      </c>
      <c r="F763" s="0">
        <v>1</v>
      </c>
      <c r="G763" s="0" t="s">
        <v>293</v>
      </c>
      <c r="H763" s="0" t="s">
        <v>3113</v>
      </c>
      <c r="I763" s="0" t="s">
        <v>5851</v>
      </c>
      <c r="U763" s="0" t="s">
        <v>5857</v>
      </c>
      <c r="W763" s="0" t="s">
        <v>4021</v>
      </c>
      <c r="X763" s="0" t="s">
        <v>347</v>
      </c>
      <c r="Y763" s="0" t="s">
        <v>162</v>
      </c>
      <c r="Z763" s="0" t="s">
        <v>5830</v>
      </c>
      <c r="AA763" s="0" t="s">
        <v>161</v>
      </c>
      <c r="AD763" s="0" t="s">
        <v>5831</v>
      </c>
      <c r="AE763" s="0" t="s">
        <v>5832</v>
      </c>
      <c r="AF763" s="0" t="s">
        <v>301</v>
      </c>
      <c r="AP763" s="0" t="s">
        <v>305</v>
      </c>
      <c r="BA763" s="0">
        <v>512</v>
      </c>
      <c r="BB763" s="0" t="s">
        <v>232</v>
      </c>
      <c r="BC763" s="0">
        <v>2</v>
      </c>
      <c r="BD763" s="0">
        <v>374080</v>
      </c>
      <c r="BE763" s="0">
        <v>58624</v>
      </c>
      <c r="BF763" s="0">
        <v>4</v>
      </c>
      <c r="BG763" s="0" t="s">
        <v>5858</v>
      </c>
      <c r="BI763" s="0">
        <v>2577</v>
      </c>
      <c r="BK763" s="0" t="s">
        <v>5859</v>
      </c>
    </row>
    <row r="764">
      <c r="A764" s="0">
        <v>5444</v>
      </c>
      <c r="B764" s="0" t="s">
        <v>5860</v>
      </c>
      <c r="C764" s="0" t="s">
        <v>5861</v>
      </c>
      <c r="D764" s="0" t="s">
        <v>5343</v>
      </c>
      <c r="E764" s="0" t="s">
        <v>5862</v>
      </c>
      <c r="F764" s="0">
        <v>2</v>
      </c>
      <c r="G764" s="0" t="s">
        <v>319</v>
      </c>
      <c r="H764" s="0" t="s">
        <v>483</v>
      </c>
      <c r="I764" s="0" t="s">
        <v>5863</v>
      </c>
      <c r="J764" s="0" t="s">
        <v>594</v>
      </c>
      <c r="K764" s="0" t="s">
        <v>1190</v>
      </c>
      <c r="L764" s="0" t="s">
        <v>660</v>
      </c>
      <c r="M764" s="0" t="s">
        <v>293</v>
      </c>
      <c r="N764" s="0" t="s">
        <v>294</v>
      </c>
      <c r="O764" s="0" t="s">
        <v>295</v>
      </c>
      <c r="P764" s="0" t="s">
        <v>323</v>
      </c>
      <c r="Q764" s="0" t="s">
        <v>323</v>
      </c>
      <c r="R764" s="0" t="s">
        <v>526</v>
      </c>
      <c r="U764" s="0" t="s">
        <v>5864</v>
      </c>
      <c r="W764" s="0" t="s">
        <v>4021</v>
      </c>
      <c r="X764" s="0" t="s">
        <v>347</v>
      </c>
      <c r="Y764" s="0" t="s">
        <v>162</v>
      </c>
      <c r="Z764" s="0" t="s">
        <v>5830</v>
      </c>
      <c r="AA764" s="0" t="s">
        <v>161</v>
      </c>
      <c r="AD764" s="0" t="s">
        <v>5831</v>
      </c>
      <c r="AE764" s="0" t="s">
        <v>5832</v>
      </c>
      <c r="AF764" s="0" t="s">
        <v>301</v>
      </c>
      <c r="AM764" s="0" t="s">
        <v>739</v>
      </c>
      <c r="AN764" s="0" t="s">
        <v>1946</v>
      </c>
      <c r="AO764" s="0" t="s">
        <v>426</v>
      </c>
      <c r="AP764" s="0" t="s">
        <v>305</v>
      </c>
      <c r="AQ764" s="0" t="s">
        <v>1070</v>
      </c>
      <c r="AR764" s="0" t="s">
        <v>2879</v>
      </c>
      <c r="AS764" s="0">
        <v>60</v>
      </c>
      <c r="AT764" s="0">
        <v>132</v>
      </c>
      <c r="AU764" s="0">
        <v>165</v>
      </c>
      <c r="AV764" s="0" t="s">
        <v>332</v>
      </c>
      <c r="AX764" s="0" t="s">
        <v>707</v>
      </c>
      <c r="AY764" s="0" t="s">
        <v>445</v>
      </c>
      <c r="AZ764" s="0" t="s">
        <v>1483</v>
      </c>
      <c r="BA764" s="0">
        <v>512</v>
      </c>
      <c r="BB764" s="0" t="s">
        <v>232</v>
      </c>
      <c r="BC764" s="0">
        <v>2</v>
      </c>
      <c r="BD764" s="0">
        <v>21</v>
      </c>
      <c r="BE764" s="0">
        <v>58624</v>
      </c>
      <c r="BF764" s="0">
        <v>4</v>
      </c>
      <c r="BG764" s="0" t="s">
        <v>5865</v>
      </c>
      <c r="BI764" s="0">
        <v>785</v>
      </c>
      <c r="BK764" s="0" t="s">
        <v>5866</v>
      </c>
    </row>
    <row r="765">
      <c r="A765" s="0">
        <v>5446</v>
      </c>
      <c r="B765" s="0" t="s">
        <v>5867</v>
      </c>
      <c r="C765" s="0" t="s">
        <v>5861</v>
      </c>
      <c r="D765" s="0" t="s">
        <v>5343</v>
      </c>
      <c r="E765" s="0" t="s">
        <v>5868</v>
      </c>
      <c r="F765" s="0">
        <v>1</v>
      </c>
      <c r="G765" s="0" t="s">
        <v>319</v>
      </c>
      <c r="H765" s="0" t="s">
        <v>483</v>
      </c>
      <c r="I765" s="0" t="s">
        <v>5863</v>
      </c>
      <c r="J765" s="0" t="s">
        <v>594</v>
      </c>
      <c r="K765" s="0" t="s">
        <v>1190</v>
      </c>
      <c r="L765" s="0" t="s">
        <v>660</v>
      </c>
      <c r="M765" s="0" t="s">
        <v>293</v>
      </c>
      <c r="N765" s="0" t="s">
        <v>294</v>
      </c>
      <c r="O765" s="0" t="s">
        <v>295</v>
      </c>
      <c r="P765" s="0" t="s">
        <v>323</v>
      </c>
      <c r="Q765" s="0" t="s">
        <v>323</v>
      </c>
      <c r="R765" s="0" t="s">
        <v>526</v>
      </c>
      <c r="U765" s="0" t="s">
        <v>5869</v>
      </c>
      <c r="W765" s="0" t="s">
        <v>4021</v>
      </c>
      <c r="X765" s="0" t="s">
        <v>347</v>
      </c>
      <c r="Y765" s="0" t="s">
        <v>162</v>
      </c>
      <c r="Z765" s="0" t="s">
        <v>5830</v>
      </c>
      <c r="AA765" s="0" t="s">
        <v>161</v>
      </c>
      <c r="AD765" s="0" t="s">
        <v>5831</v>
      </c>
      <c r="AE765" s="0" t="s">
        <v>5832</v>
      </c>
      <c r="AF765" s="0" t="s">
        <v>301</v>
      </c>
      <c r="AM765" s="0" t="s">
        <v>739</v>
      </c>
      <c r="AN765" s="0" t="s">
        <v>5870</v>
      </c>
      <c r="AO765" s="0" t="s">
        <v>426</v>
      </c>
      <c r="AP765" s="0" t="s">
        <v>305</v>
      </c>
      <c r="AQ765" s="0" t="s">
        <v>1482</v>
      </c>
      <c r="AR765" s="0" t="s">
        <v>763</v>
      </c>
      <c r="AS765" s="0">
        <v>33</v>
      </c>
      <c r="AT765" s="0">
        <v>70</v>
      </c>
      <c r="AU765" s="0">
        <v>87</v>
      </c>
      <c r="AV765" s="0" t="s">
        <v>332</v>
      </c>
      <c r="AX765" s="0" t="s">
        <v>5585</v>
      </c>
      <c r="AY765" s="0" t="s">
        <v>445</v>
      </c>
      <c r="AZ765" s="0" t="s">
        <v>1483</v>
      </c>
      <c r="BA765" s="0">
        <v>512</v>
      </c>
      <c r="BB765" s="0" t="s">
        <v>232</v>
      </c>
      <c r="BC765" s="0">
        <v>2</v>
      </c>
      <c r="BD765" s="0">
        <v>21</v>
      </c>
      <c r="BE765" s="0">
        <v>58624</v>
      </c>
      <c r="BF765" s="0">
        <v>4</v>
      </c>
      <c r="BG765" s="0" t="s">
        <v>5871</v>
      </c>
      <c r="BI765" s="0">
        <v>1116</v>
      </c>
      <c r="BK765" s="0" t="s">
        <v>5872</v>
      </c>
    </row>
    <row r="766">
      <c r="A766" s="0">
        <v>5456</v>
      </c>
      <c r="B766" s="0" t="s">
        <v>5873</v>
      </c>
      <c r="C766" s="0" t="s">
        <v>315</v>
      </c>
      <c r="D766" s="0" t="s">
        <v>5343</v>
      </c>
      <c r="E766" s="0" t="s">
        <v>5874</v>
      </c>
      <c r="F766" s="0">
        <v>2</v>
      </c>
      <c r="G766" s="0" t="s">
        <v>555</v>
      </c>
      <c r="H766" s="0" t="s">
        <v>1020</v>
      </c>
      <c r="I766" s="0" t="s">
        <v>549</v>
      </c>
      <c r="J766" s="0" t="s">
        <v>594</v>
      </c>
      <c r="K766" s="0" t="s">
        <v>1190</v>
      </c>
      <c r="L766" s="0" t="s">
        <v>549</v>
      </c>
      <c r="M766" s="0" t="s">
        <v>293</v>
      </c>
      <c r="N766" s="0" t="s">
        <v>294</v>
      </c>
      <c r="O766" s="0" t="s">
        <v>295</v>
      </c>
      <c r="P766" s="0" t="s">
        <v>323</v>
      </c>
      <c r="Q766" s="0" t="s">
        <v>323</v>
      </c>
      <c r="R766" s="0" t="s">
        <v>1791</v>
      </c>
      <c r="U766" s="0" t="s">
        <v>5875</v>
      </c>
      <c r="W766" s="0" t="s">
        <v>4021</v>
      </c>
      <c r="X766" s="0" t="s">
        <v>529</v>
      </c>
      <c r="Y766" s="0" t="s">
        <v>162</v>
      </c>
      <c r="Z766" s="0" t="s">
        <v>5830</v>
      </c>
      <c r="AA766" s="0" t="s">
        <v>161</v>
      </c>
      <c r="AD766" s="0" t="s">
        <v>5831</v>
      </c>
      <c r="AE766" s="0" t="s">
        <v>5832</v>
      </c>
      <c r="AF766" s="0" t="s">
        <v>301</v>
      </c>
      <c r="AP766" s="0" t="s">
        <v>305</v>
      </c>
      <c r="BA766" s="0">
        <v>512</v>
      </c>
      <c r="BB766" s="0" t="s">
        <v>232</v>
      </c>
      <c r="BC766" s="0">
        <v>2</v>
      </c>
      <c r="BD766" s="0">
        <v>374043</v>
      </c>
      <c r="BE766" s="0">
        <v>58624</v>
      </c>
      <c r="BF766" s="0">
        <v>2</v>
      </c>
      <c r="BG766" s="0" t="s">
        <v>5876</v>
      </c>
      <c r="BI766" s="0">
        <v>2164</v>
      </c>
      <c r="BK766" s="0" t="s">
        <v>5877</v>
      </c>
    </row>
    <row r="767">
      <c r="A767" s="0">
        <v>5451</v>
      </c>
      <c r="B767" s="0" t="s">
        <v>5878</v>
      </c>
      <c r="C767" s="0" t="s">
        <v>315</v>
      </c>
      <c r="D767" s="0" t="s">
        <v>5343</v>
      </c>
      <c r="E767" s="0" t="s">
        <v>5879</v>
      </c>
      <c r="F767" s="0">
        <v>1</v>
      </c>
      <c r="G767" s="0" t="s">
        <v>555</v>
      </c>
      <c r="H767" s="0" t="s">
        <v>1112</v>
      </c>
      <c r="I767" s="0" t="s">
        <v>2947</v>
      </c>
      <c r="J767" s="0" t="s">
        <v>594</v>
      </c>
      <c r="K767" s="0" t="s">
        <v>1190</v>
      </c>
      <c r="L767" s="0" t="s">
        <v>2947</v>
      </c>
      <c r="M767" s="0" t="s">
        <v>293</v>
      </c>
      <c r="N767" s="0" t="s">
        <v>294</v>
      </c>
      <c r="O767" s="0" t="s">
        <v>295</v>
      </c>
      <c r="P767" s="0" t="s">
        <v>323</v>
      </c>
      <c r="Q767" s="0" t="s">
        <v>4192</v>
      </c>
      <c r="R767" s="0" t="s">
        <v>5880</v>
      </c>
      <c r="U767" s="0" t="s">
        <v>5881</v>
      </c>
      <c r="W767" s="0" t="s">
        <v>4021</v>
      </c>
      <c r="X767" s="0" t="s">
        <v>529</v>
      </c>
      <c r="Y767" s="0" t="s">
        <v>162</v>
      </c>
      <c r="Z767" s="0" t="s">
        <v>5830</v>
      </c>
      <c r="AA767" s="0" t="s">
        <v>161</v>
      </c>
      <c r="AD767" s="0" t="s">
        <v>5831</v>
      </c>
      <c r="AE767" s="0" t="s">
        <v>5832</v>
      </c>
      <c r="AF767" s="0" t="s">
        <v>301</v>
      </c>
      <c r="AP767" s="0" t="s">
        <v>305</v>
      </c>
      <c r="BA767" s="0">
        <v>512</v>
      </c>
      <c r="BB767" s="0" t="s">
        <v>232</v>
      </c>
      <c r="BC767" s="0">
        <v>2</v>
      </c>
      <c r="BD767" s="0">
        <v>374043</v>
      </c>
      <c r="BE767" s="0">
        <v>58624</v>
      </c>
      <c r="BF767" s="0">
        <v>2</v>
      </c>
      <c r="BG767" s="0" t="s">
        <v>5882</v>
      </c>
      <c r="BI767" s="0">
        <v>1935</v>
      </c>
      <c r="BK767" s="0" t="s">
        <v>5883</v>
      </c>
    </row>
    <row r="768">
      <c r="A768" s="0">
        <v>5442</v>
      </c>
      <c r="B768" s="0" t="s">
        <v>2593</v>
      </c>
      <c r="C768" s="0" t="s">
        <v>945</v>
      </c>
      <c r="D768" s="0" t="s">
        <v>5343</v>
      </c>
      <c r="E768" s="0" t="s">
        <v>2594</v>
      </c>
      <c r="F768" s="0">
        <v>1</v>
      </c>
      <c r="G768" s="0" t="s">
        <v>319</v>
      </c>
      <c r="H768" s="0" t="s">
        <v>398</v>
      </c>
      <c r="I768" s="0" t="s">
        <v>471</v>
      </c>
      <c r="J768" s="0" t="s">
        <v>594</v>
      </c>
      <c r="K768" s="0" t="s">
        <v>1190</v>
      </c>
      <c r="L768" s="0" t="s">
        <v>3204</v>
      </c>
      <c r="P768" s="0" t="s">
        <v>323</v>
      </c>
      <c r="Q768" s="0" t="s">
        <v>323</v>
      </c>
      <c r="R768" s="0" t="s">
        <v>2488</v>
      </c>
      <c r="W768" s="0" t="s">
        <v>4021</v>
      </c>
      <c r="X768" s="0" t="s">
        <v>529</v>
      </c>
      <c r="Y768" s="0" t="s">
        <v>162</v>
      </c>
      <c r="Z768" s="0" t="s">
        <v>5830</v>
      </c>
      <c r="AA768" s="0" t="s">
        <v>161</v>
      </c>
      <c r="AD768" s="0" t="s">
        <v>5831</v>
      </c>
      <c r="AE768" s="0" t="s">
        <v>5832</v>
      </c>
      <c r="AF768" s="0" t="s">
        <v>301</v>
      </c>
      <c r="AM768" s="0" t="s">
        <v>5884</v>
      </c>
      <c r="AN768" s="0" t="s">
        <v>5885</v>
      </c>
      <c r="AO768" s="0" t="s">
        <v>5886</v>
      </c>
      <c r="AP768" s="0" t="s">
        <v>305</v>
      </c>
      <c r="AQ768" s="0" t="s">
        <v>5887</v>
      </c>
      <c r="AR768" s="0" t="s">
        <v>5888</v>
      </c>
      <c r="AS768" s="0">
        <v>6</v>
      </c>
      <c r="AT768" s="0">
        <v>13</v>
      </c>
      <c r="AU768" s="0">
        <v>14</v>
      </c>
      <c r="AV768" s="0" t="s">
        <v>3800</v>
      </c>
      <c r="AW768" s="0" t="s">
        <v>331</v>
      </c>
      <c r="AX768" s="0" t="s">
        <v>5889</v>
      </c>
      <c r="AY768" s="0" t="s">
        <v>5890</v>
      </c>
      <c r="AZ768" s="0" t="s">
        <v>5891</v>
      </c>
      <c r="BA768" s="0">
        <v>512</v>
      </c>
      <c r="BB768" s="0" t="s">
        <v>232</v>
      </c>
      <c r="BC768" s="0">
        <v>2</v>
      </c>
      <c r="BD768" s="0">
        <v>14</v>
      </c>
      <c r="BE768" s="0">
        <v>58624</v>
      </c>
      <c r="BF768" s="0">
        <v>2</v>
      </c>
      <c r="BG768" s="0" t="s">
        <v>5892</v>
      </c>
      <c r="BI768" s="0">
        <v>384</v>
      </c>
      <c r="BK768" s="0" t="s">
        <v>5893</v>
      </c>
    </row>
    <row r="769">
      <c r="A769" s="0">
        <v>5466</v>
      </c>
      <c r="B769" s="0" t="s">
        <v>5894</v>
      </c>
      <c r="C769" s="0" t="s">
        <v>315</v>
      </c>
      <c r="D769" s="0" t="s">
        <v>5895</v>
      </c>
      <c r="E769" s="0" t="s">
        <v>3182</v>
      </c>
      <c r="F769" s="0">
        <v>1</v>
      </c>
      <c r="G769" s="0" t="s">
        <v>319</v>
      </c>
      <c r="H769" s="0" t="s">
        <v>483</v>
      </c>
      <c r="I769" s="0" t="s">
        <v>5896</v>
      </c>
      <c r="J769" s="0" t="s">
        <v>293</v>
      </c>
      <c r="K769" s="0" t="s">
        <v>294</v>
      </c>
      <c r="L769" s="0" t="s">
        <v>918</v>
      </c>
      <c r="P769" s="0" t="s">
        <v>323</v>
      </c>
      <c r="Q769" s="0" t="s">
        <v>343</v>
      </c>
      <c r="R769" s="0" t="s">
        <v>661</v>
      </c>
      <c r="U769" s="0" t="s">
        <v>5897</v>
      </c>
      <c r="X769" s="0" t="s">
        <v>347</v>
      </c>
      <c r="Y769" s="0" t="s">
        <v>80</v>
      </c>
      <c r="Z769" s="0" t="s">
        <v>3178</v>
      </c>
      <c r="AA769" s="0" t="s">
        <v>217</v>
      </c>
      <c r="AB769" s="0" t="s">
        <v>531</v>
      </c>
      <c r="AE769" s="0" t="s">
        <v>5898</v>
      </c>
      <c r="AF769" s="0" t="s">
        <v>301</v>
      </c>
      <c r="AP769" s="0" t="s">
        <v>305</v>
      </c>
      <c r="BA769" s="0">
        <v>513</v>
      </c>
      <c r="BB769" s="0" t="s">
        <v>232</v>
      </c>
      <c r="BC769" s="0">
        <v>2</v>
      </c>
      <c r="BD769" s="0">
        <v>374043</v>
      </c>
      <c r="BE769" s="0">
        <v>364</v>
      </c>
      <c r="BF769" s="0">
        <v>4</v>
      </c>
      <c r="BG769" s="0" t="s">
        <v>5899</v>
      </c>
      <c r="BI769" s="0">
        <v>1120</v>
      </c>
      <c r="BK769" s="0" t="s">
        <v>5900</v>
      </c>
    </row>
    <row r="770">
      <c r="A770" s="0">
        <v>5464</v>
      </c>
      <c r="B770" s="0" t="s">
        <v>5901</v>
      </c>
      <c r="C770" s="0" t="s">
        <v>945</v>
      </c>
      <c r="D770" s="0" t="s">
        <v>5895</v>
      </c>
      <c r="E770" s="0" t="s">
        <v>3399</v>
      </c>
      <c r="F770" s="0">
        <v>1</v>
      </c>
      <c r="G770" s="0" t="s">
        <v>555</v>
      </c>
      <c r="H770" s="0" t="s">
        <v>1112</v>
      </c>
      <c r="I770" s="0" t="s">
        <v>1189</v>
      </c>
      <c r="J770" s="0" t="s">
        <v>508</v>
      </c>
      <c r="K770" s="0" t="s">
        <v>1190</v>
      </c>
      <c r="L770" s="0" t="s">
        <v>1189</v>
      </c>
      <c r="M770" s="0" t="s">
        <v>400</v>
      </c>
      <c r="N770" s="0" t="s">
        <v>1190</v>
      </c>
      <c r="O770" s="0" t="s">
        <v>469</v>
      </c>
      <c r="P770" s="0" t="s">
        <v>323</v>
      </c>
      <c r="Q770" s="0" t="s">
        <v>323</v>
      </c>
      <c r="R770" s="0" t="s">
        <v>971</v>
      </c>
      <c r="T770" s="0" t="s">
        <v>5902</v>
      </c>
      <c r="U770" s="0" t="s">
        <v>5903</v>
      </c>
      <c r="X770" s="0" t="s">
        <v>529</v>
      </c>
      <c r="Y770" s="0" t="s">
        <v>80</v>
      </c>
      <c r="Z770" s="0" t="s">
        <v>3178</v>
      </c>
      <c r="AA770" s="0" t="s">
        <v>217</v>
      </c>
      <c r="AB770" s="0" t="s">
        <v>531</v>
      </c>
      <c r="AE770" s="0" t="s">
        <v>5898</v>
      </c>
      <c r="AF770" s="0" t="s">
        <v>301</v>
      </c>
      <c r="AP770" s="0" t="s">
        <v>305</v>
      </c>
      <c r="BA770" s="0">
        <v>513</v>
      </c>
      <c r="BB770" s="0" t="s">
        <v>232</v>
      </c>
      <c r="BC770" s="0">
        <v>2</v>
      </c>
      <c r="BD770" s="0">
        <v>14</v>
      </c>
      <c r="BE770" s="0">
        <v>364</v>
      </c>
      <c r="BF770" s="0">
        <v>2</v>
      </c>
      <c r="BG770" s="0" t="s">
        <v>5904</v>
      </c>
      <c r="BI770" s="0">
        <v>388</v>
      </c>
      <c r="BK770" s="0" t="s">
        <v>5905</v>
      </c>
    </row>
    <row r="771">
      <c r="A771" s="0">
        <v>5465</v>
      </c>
      <c r="B771" s="0" t="s">
        <v>5906</v>
      </c>
      <c r="C771" s="0" t="s">
        <v>945</v>
      </c>
      <c r="D771" s="0" t="s">
        <v>5895</v>
      </c>
      <c r="E771" s="0" t="s">
        <v>5907</v>
      </c>
      <c r="F771" s="0">
        <v>1</v>
      </c>
      <c r="G771" s="0" t="s">
        <v>555</v>
      </c>
      <c r="H771" s="0" t="s">
        <v>1112</v>
      </c>
      <c r="I771" s="0" t="s">
        <v>1189</v>
      </c>
      <c r="J771" s="0" t="s">
        <v>508</v>
      </c>
      <c r="K771" s="0" t="s">
        <v>1190</v>
      </c>
      <c r="L771" s="0" t="s">
        <v>1189</v>
      </c>
      <c r="M771" s="0" t="s">
        <v>400</v>
      </c>
      <c r="N771" s="0" t="s">
        <v>1190</v>
      </c>
      <c r="O771" s="0" t="s">
        <v>469</v>
      </c>
      <c r="P771" s="0" t="s">
        <v>323</v>
      </c>
      <c r="Q771" s="0" t="s">
        <v>343</v>
      </c>
      <c r="R771" s="0" t="s">
        <v>971</v>
      </c>
      <c r="U771" s="0" t="s">
        <v>5908</v>
      </c>
      <c r="X771" s="0" t="s">
        <v>529</v>
      </c>
      <c r="Y771" s="0" t="s">
        <v>80</v>
      </c>
      <c r="Z771" s="0" t="s">
        <v>3178</v>
      </c>
      <c r="AA771" s="0" t="s">
        <v>217</v>
      </c>
      <c r="AB771" s="0" t="s">
        <v>531</v>
      </c>
      <c r="AE771" s="0" t="s">
        <v>5898</v>
      </c>
      <c r="AF771" s="0" t="s">
        <v>301</v>
      </c>
      <c r="AP771" s="0" t="s">
        <v>305</v>
      </c>
      <c r="BA771" s="0">
        <v>513</v>
      </c>
      <c r="BB771" s="0" t="s">
        <v>232</v>
      </c>
      <c r="BC771" s="0">
        <v>2</v>
      </c>
      <c r="BD771" s="0">
        <v>14</v>
      </c>
      <c r="BE771" s="0">
        <v>364</v>
      </c>
      <c r="BF771" s="0">
        <v>2</v>
      </c>
      <c r="BG771" s="0" t="s">
        <v>5909</v>
      </c>
      <c r="BI771" s="0">
        <v>789</v>
      </c>
      <c r="BK771" s="0" t="s">
        <v>5910</v>
      </c>
    </row>
    <row r="772">
      <c r="A772" s="0">
        <v>5467</v>
      </c>
      <c r="B772" s="0" t="s">
        <v>5911</v>
      </c>
      <c r="C772" s="0" t="s">
        <v>315</v>
      </c>
      <c r="D772" s="0" t="s">
        <v>5895</v>
      </c>
      <c r="E772" s="0" t="s">
        <v>5912</v>
      </c>
      <c r="F772" s="0">
        <v>1</v>
      </c>
      <c r="G772" s="0" t="s">
        <v>555</v>
      </c>
      <c r="H772" s="0" t="s">
        <v>1112</v>
      </c>
      <c r="I772" s="0" t="s">
        <v>549</v>
      </c>
      <c r="J772" s="0" t="s">
        <v>508</v>
      </c>
      <c r="K772" s="0" t="s">
        <v>1190</v>
      </c>
      <c r="L772" s="0" t="s">
        <v>549</v>
      </c>
      <c r="P772" s="0" t="s">
        <v>323</v>
      </c>
      <c r="Q772" s="0" t="s">
        <v>343</v>
      </c>
      <c r="R772" s="0" t="s">
        <v>324</v>
      </c>
      <c r="U772" s="0" t="s">
        <v>5913</v>
      </c>
      <c r="X772" s="0" t="s">
        <v>347</v>
      </c>
      <c r="Y772" s="0" t="s">
        <v>80</v>
      </c>
      <c r="Z772" s="0" t="s">
        <v>3178</v>
      </c>
      <c r="AA772" s="0" t="s">
        <v>217</v>
      </c>
      <c r="AB772" s="0" t="s">
        <v>531</v>
      </c>
      <c r="AE772" s="0" t="s">
        <v>5898</v>
      </c>
      <c r="AF772" s="0" t="s">
        <v>301</v>
      </c>
      <c r="AP772" s="0" t="s">
        <v>305</v>
      </c>
      <c r="BA772" s="0">
        <v>513</v>
      </c>
      <c r="BB772" s="0" t="s">
        <v>232</v>
      </c>
      <c r="BC772" s="0">
        <v>2</v>
      </c>
      <c r="BD772" s="0">
        <v>374043</v>
      </c>
      <c r="BE772" s="0">
        <v>364</v>
      </c>
      <c r="BF772" s="0">
        <v>4</v>
      </c>
      <c r="BG772" s="0" t="s">
        <v>5914</v>
      </c>
      <c r="BI772" s="0">
        <v>1426</v>
      </c>
      <c r="BK772" s="0" t="s">
        <v>5915</v>
      </c>
    </row>
    <row r="773">
      <c r="A773" s="0">
        <v>5471</v>
      </c>
      <c r="B773" s="0" t="s">
        <v>5916</v>
      </c>
      <c r="C773" s="0" t="s">
        <v>315</v>
      </c>
      <c r="D773" s="0" t="s">
        <v>5895</v>
      </c>
      <c r="E773" s="0" t="s">
        <v>5917</v>
      </c>
      <c r="F773" s="0">
        <v>1</v>
      </c>
      <c r="G773" s="0" t="s">
        <v>555</v>
      </c>
      <c r="H773" s="0" t="s">
        <v>593</v>
      </c>
      <c r="I773" s="0" t="s">
        <v>549</v>
      </c>
      <c r="J773" s="0" t="s">
        <v>508</v>
      </c>
      <c r="K773" s="0" t="s">
        <v>1190</v>
      </c>
      <c r="L773" s="0" t="s">
        <v>549</v>
      </c>
      <c r="P773" s="0" t="s">
        <v>323</v>
      </c>
      <c r="Q773" s="0" t="s">
        <v>343</v>
      </c>
      <c r="R773" s="0" t="s">
        <v>324</v>
      </c>
      <c r="X773" s="0" t="s">
        <v>1116</v>
      </c>
      <c r="Y773" s="0" t="s">
        <v>80</v>
      </c>
      <c r="Z773" s="0" t="s">
        <v>3178</v>
      </c>
      <c r="AA773" s="0" t="s">
        <v>217</v>
      </c>
      <c r="AB773" s="0" t="s">
        <v>531</v>
      </c>
      <c r="AE773" s="0" t="s">
        <v>5898</v>
      </c>
      <c r="AF773" s="0" t="s">
        <v>301</v>
      </c>
      <c r="AP773" s="0" t="s">
        <v>305</v>
      </c>
      <c r="BA773" s="0">
        <v>513</v>
      </c>
      <c r="BB773" s="0" t="s">
        <v>232</v>
      </c>
      <c r="BC773" s="0">
        <v>2</v>
      </c>
      <c r="BD773" s="0">
        <v>374043</v>
      </c>
      <c r="BE773" s="0">
        <v>364</v>
      </c>
      <c r="BF773" s="0">
        <v>1</v>
      </c>
      <c r="BG773" s="0" t="s">
        <v>5918</v>
      </c>
      <c r="BI773" s="0">
        <v>1693</v>
      </c>
      <c r="BK773" s="0" t="s">
        <v>5919</v>
      </c>
    </row>
    <row r="774">
      <c r="A774" s="0">
        <v>5510</v>
      </c>
      <c r="B774" s="0" t="s">
        <v>5920</v>
      </c>
      <c r="C774" s="0" t="s">
        <v>290</v>
      </c>
      <c r="D774" s="0" t="s">
        <v>5921</v>
      </c>
      <c r="E774" s="0" t="s">
        <v>5922</v>
      </c>
      <c r="F774" s="0">
        <v>1</v>
      </c>
      <c r="G774" s="0" t="s">
        <v>319</v>
      </c>
      <c r="H774" s="0" t="s">
        <v>483</v>
      </c>
      <c r="I774" s="0" t="s">
        <v>5923</v>
      </c>
      <c r="J774" s="0" t="s">
        <v>594</v>
      </c>
      <c r="M774" s="0" t="s">
        <v>293</v>
      </c>
      <c r="N774" s="0" t="s">
        <v>294</v>
      </c>
      <c r="O774" s="0" t="s">
        <v>295</v>
      </c>
      <c r="P774" s="0" t="s">
        <v>323</v>
      </c>
      <c r="Q774" s="0" t="s">
        <v>343</v>
      </c>
      <c r="R774" s="0" t="s">
        <v>1021</v>
      </c>
      <c r="T774" s="0" t="s">
        <v>5924</v>
      </c>
      <c r="U774" s="0" t="s">
        <v>5925</v>
      </c>
      <c r="X774" s="0" t="s">
        <v>298</v>
      </c>
      <c r="Y774" s="0" t="s">
        <v>60</v>
      </c>
      <c r="Z774" s="0" t="s">
        <v>5926</v>
      </c>
      <c r="AA774" s="0" t="s">
        <v>140</v>
      </c>
      <c r="AB774" s="0" t="s">
        <v>531</v>
      </c>
      <c r="AC774" s="0" t="s">
        <v>571</v>
      </c>
      <c r="AD774" s="0" t="s">
        <v>5927</v>
      </c>
      <c r="AE774" s="0" t="s">
        <v>5928</v>
      </c>
      <c r="AF774" s="0" t="s">
        <v>301</v>
      </c>
      <c r="AM774" s="0" t="s">
        <v>1574</v>
      </c>
      <c r="AN774" s="0" t="s">
        <v>310</v>
      </c>
      <c r="AO774" s="0" t="s">
        <v>3038</v>
      </c>
      <c r="AP774" s="0" t="s">
        <v>305</v>
      </c>
      <c r="AQ774" s="0" t="s">
        <v>1077</v>
      </c>
      <c r="AR774" s="0" t="s">
        <v>369</v>
      </c>
      <c r="AS774" s="0">
        <v>108</v>
      </c>
      <c r="AT774" s="0">
        <v>228</v>
      </c>
      <c r="AU774" s="0">
        <v>240</v>
      </c>
      <c r="AV774" s="0" t="s">
        <v>332</v>
      </c>
      <c r="AX774" s="0" t="s">
        <v>2900</v>
      </c>
      <c r="AY774" s="0" t="s">
        <v>1472</v>
      </c>
      <c r="AZ774" s="0" t="s">
        <v>422</v>
      </c>
      <c r="BA774" s="0">
        <v>515</v>
      </c>
      <c r="BB774" s="0" t="s">
        <v>232</v>
      </c>
      <c r="BC774" s="0">
        <v>2</v>
      </c>
      <c r="BD774" s="0">
        <v>374053</v>
      </c>
      <c r="BE774" s="0">
        <v>305</v>
      </c>
      <c r="BF774" s="0">
        <v>5</v>
      </c>
      <c r="BG774" s="0" t="s">
        <v>5929</v>
      </c>
      <c r="BI774" s="0">
        <v>4006</v>
      </c>
      <c r="BK774" s="0" t="s">
        <v>5930</v>
      </c>
    </row>
    <row r="775">
      <c r="A775" s="0">
        <v>5505</v>
      </c>
      <c r="B775" s="0" t="s">
        <v>5931</v>
      </c>
      <c r="C775" s="0" t="s">
        <v>1139</v>
      </c>
      <c r="D775" s="0" t="s">
        <v>5921</v>
      </c>
      <c r="E775" s="0" t="s">
        <v>5932</v>
      </c>
      <c r="F775" s="0">
        <v>1</v>
      </c>
      <c r="G775" s="0" t="s">
        <v>293</v>
      </c>
      <c r="H775" s="0" t="s">
        <v>294</v>
      </c>
      <c r="I775" s="0" t="s">
        <v>295</v>
      </c>
      <c r="P775" s="0" t="s">
        <v>323</v>
      </c>
      <c r="Q775" s="0" t="s">
        <v>343</v>
      </c>
      <c r="R775" s="0" t="s">
        <v>1021</v>
      </c>
      <c r="U775" s="0" t="s">
        <v>5933</v>
      </c>
      <c r="X775" s="0" t="s">
        <v>298</v>
      </c>
      <c r="Y775" s="0" t="s">
        <v>60</v>
      </c>
      <c r="Z775" s="0" t="s">
        <v>5926</v>
      </c>
      <c r="AA775" s="0" t="s">
        <v>140</v>
      </c>
      <c r="AB775" s="0" t="s">
        <v>531</v>
      </c>
      <c r="AC775" s="0" t="s">
        <v>571</v>
      </c>
      <c r="AD775" s="0" t="s">
        <v>5927</v>
      </c>
      <c r="AE775" s="0" t="s">
        <v>5928</v>
      </c>
      <c r="AF775" s="0" t="s">
        <v>301</v>
      </c>
      <c r="AM775" s="0" t="s">
        <v>762</v>
      </c>
      <c r="AN775" s="0" t="s">
        <v>2740</v>
      </c>
      <c r="AO775" s="0" t="s">
        <v>5934</v>
      </c>
      <c r="AP775" s="0" t="s">
        <v>305</v>
      </c>
      <c r="AQ775" s="0" t="s">
        <v>1415</v>
      </c>
      <c r="AR775" s="0" t="s">
        <v>1807</v>
      </c>
      <c r="AS775" s="0">
        <v>385</v>
      </c>
      <c r="AT775" s="0">
        <v>808</v>
      </c>
      <c r="AU775" s="0">
        <v>936</v>
      </c>
      <c r="AV775" s="0" t="s">
        <v>332</v>
      </c>
      <c r="AW775" s="0" t="s">
        <v>332</v>
      </c>
      <c r="AX775" s="0" t="s">
        <v>5935</v>
      </c>
      <c r="AY775" s="0" t="s">
        <v>1482</v>
      </c>
      <c r="AZ775" s="0" t="s">
        <v>476</v>
      </c>
      <c r="BA775" s="0">
        <v>515</v>
      </c>
      <c r="BB775" s="0" t="s">
        <v>232</v>
      </c>
      <c r="BC775" s="0">
        <v>2</v>
      </c>
      <c r="BD775" s="0">
        <v>38030</v>
      </c>
      <c r="BE775" s="0">
        <v>305</v>
      </c>
      <c r="BF775" s="0">
        <v>5</v>
      </c>
      <c r="BG775" s="0" t="s">
        <v>5936</v>
      </c>
      <c r="BI775" s="0">
        <v>3510</v>
      </c>
      <c r="BK775" s="0" t="s">
        <v>5937</v>
      </c>
    </row>
    <row r="776">
      <c r="A776" s="0">
        <v>5506</v>
      </c>
      <c r="B776" s="0" t="s">
        <v>5938</v>
      </c>
      <c r="C776" s="0" t="s">
        <v>1139</v>
      </c>
      <c r="D776" s="0" t="s">
        <v>5921</v>
      </c>
      <c r="E776" s="0" t="s">
        <v>5939</v>
      </c>
      <c r="F776" s="0">
        <v>1</v>
      </c>
      <c r="G776" s="0" t="s">
        <v>293</v>
      </c>
      <c r="H776" s="0" t="s">
        <v>294</v>
      </c>
      <c r="I776" s="0" t="s">
        <v>295</v>
      </c>
      <c r="P776" s="0" t="s">
        <v>323</v>
      </c>
      <c r="Q776" s="0" t="s">
        <v>343</v>
      </c>
      <c r="R776" s="0" t="s">
        <v>1021</v>
      </c>
      <c r="U776" s="0" t="s">
        <v>5940</v>
      </c>
      <c r="X776" s="0" t="s">
        <v>298</v>
      </c>
      <c r="Y776" s="0" t="s">
        <v>60</v>
      </c>
      <c r="Z776" s="0" t="s">
        <v>5926</v>
      </c>
      <c r="AA776" s="0" t="s">
        <v>140</v>
      </c>
      <c r="AB776" s="0" t="s">
        <v>531</v>
      </c>
      <c r="AC776" s="0" t="s">
        <v>571</v>
      </c>
      <c r="AD776" s="0" t="s">
        <v>5927</v>
      </c>
      <c r="AE776" s="0" t="s">
        <v>5928</v>
      </c>
      <c r="AF776" s="0" t="s">
        <v>301</v>
      </c>
      <c r="AM776" s="0" t="s">
        <v>310</v>
      </c>
      <c r="AN776" s="0" t="s">
        <v>2740</v>
      </c>
      <c r="AO776" s="0" t="s">
        <v>5934</v>
      </c>
      <c r="AP776" s="0" t="s">
        <v>305</v>
      </c>
      <c r="AQ776" s="0" t="s">
        <v>1077</v>
      </c>
      <c r="AR776" s="0" t="s">
        <v>423</v>
      </c>
      <c r="AS776" s="0">
        <v>629</v>
      </c>
      <c r="AT776" s="0">
        <v>1293</v>
      </c>
      <c r="AU776" s="0">
        <v>1467</v>
      </c>
      <c r="AV776" s="0" t="s">
        <v>332</v>
      </c>
      <c r="AW776" s="0" t="s">
        <v>332</v>
      </c>
      <c r="AX776" s="0" t="s">
        <v>349</v>
      </c>
      <c r="AY776" s="0" t="s">
        <v>2740</v>
      </c>
      <c r="AZ776" s="0" t="s">
        <v>516</v>
      </c>
      <c r="BA776" s="0">
        <v>515</v>
      </c>
      <c r="BB776" s="0" t="s">
        <v>232</v>
      </c>
      <c r="BC776" s="0">
        <v>2</v>
      </c>
      <c r="BD776" s="0">
        <v>38030</v>
      </c>
      <c r="BE776" s="0">
        <v>305</v>
      </c>
      <c r="BF776" s="0">
        <v>5</v>
      </c>
      <c r="BG776" s="0" t="s">
        <v>5941</v>
      </c>
      <c r="BI776" s="0">
        <v>3626</v>
      </c>
      <c r="BK776" s="0" t="s">
        <v>5942</v>
      </c>
    </row>
    <row r="777">
      <c r="A777" s="0">
        <v>5513</v>
      </c>
      <c r="B777" s="0" t="s">
        <v>5943</v>
      </c>
      <c r="C777" s="0" t="s">
        <v>315</v>
      </c>
      <c r="D777" s="0" t="s">
        <v>5921</v>
      </c>
      <c r="E777" s="0" t="s">
        <v>1326</v>
      </c>
      <c r="F777" s="0">
        <v>1</v>
      </c>
      <c r="G777" s="0" t="s">
        <v>555</v>
      </c>
      <c r="H777" s="0" t="s">
        <v>1112</v>
      </c>
      <c r="I777" s="0" t="s">
        <v>5944</v>
      </c>
      <c r="J777" s="0" t="s">
        <v>594</v>
      </c>
      <c r="M777" s="0" t="s">
        <v>293</v>
      </c>
      <c r="N777" s="0" t="s">
        <v>294</v>
      </c>
      <c r="O777" s="0" t="s">
        <v>295</v>
      </c>
      <c r="P777" s="0" t="s">
        <v>323</v>
      </c>
      <c r="Q777" s="0" t="s">
        <v>343</v>
      </c>
      <c r="R777" s="0" t="s">
        <v>5945</v>
      </c>
      <c r="U777" s="0" t="s">
        <v>5946</v>
      </c>
      <c r="X777" s="0" t="s">
        <v>298</v>
      </c>
      <c r="Y777" s="0" t="s">
        <v>60</v>
      </c>
      <c r="Z777" s="0" t="s">
        <v>5926</v>
      </c>
      <c r="AA777" s="0" t="s">
        <v>140</v>
      </c>
      <c r="AB777" s="0" t="s">
        <v>531</v>
      </c>
      <c r="AC777" s="0" t="s">
        <v>571</v>
      </c>
      <c r="AD777" s="0" t="s">
        <v>5927</v>
      </c>
      <c r="AE777" s="0" t="s">
        <v>5928</v>
      </c>
      <c r="AF777" s="0" t="s">
        <v>301</v>
      </c>
      <c r="AM777" s="0" t="s">
        <v>422</v>
      </c>
      <c r="AN777" s="0" t="s">
        <v>517</v>
      </c>
      <c r="AO777" s="0" t="s">
        <v>627</v>
      </c>
      <c r="AP777" s="0" t="s">
        <v>305</v>
      </c>
      <c r="AQ777" s="0" t="s">
        <v>1077</v>
      </c>
      <c r="AR777" s="0" t="s">
        <v>1012</v>
      </c>
      <c r="AS777" s="0">
        <v>208</v>
      </c>
      <c r="AT777" s="0">
        <v>428</v>
      </c>
      <c r="AU777" s="0">
        <v>460</v>
      </c>
      <c r="AV777" s="0" t="s">
        <v>332</v>
      </c>
      <c r="AX777" s="0" t="s">
        <v>422</v>
      </c>
      <c r="AY777" s="0" t="s">
        <v>422</v>
      </c>
      <c r="AZ777" s="0" t="s">
        <v>2372</v>
      </c>
      <c r="BA777" s="0">
        <v>515</v>
      </c>
      <c r="BB777" s="0" t="s">
        <v>232</v>
      </c>
      <c r="BC777" s="0">
        <v>2</v>
      </c>
      <c r="BD777" s="0">
        <v>374043</v>
      </c>
      <c r="BE777" s="0">
        <v>305</v>
      </c>
      <c r="BF777" s="0">
        <v>5</v>
      </c>
      <c r="BG777" s="0" t="s">
        <v>5947</v>
      </c>
      <c r="BI777" s="0">
        <v>4228</v>
      </c>
      <c r="BK777" s="0" t="s">
        <v>5948</v>
      </c>
    </row>
    <row r="778">
      <c r="A778" s="0">
        <v>5511</v>
      </c>
      <c r="B778" s="0" t="s">
        <v>5949</v>
      </c>
      <c r="C778" s="0" t="s">
        <v>315</v>
      </c>
      <c r="D778" s="0" t="s">
        <v>5921</v>
      </c>
      <c r="E778" s="0" t="s">
        <v>5950</v>
      </c>
      <c r="F778" s="0">
        <v>1</v>
      </c>
      <c r="G778" s="0" t="s">
        <v>555</v>
      </c>
      <c r="H778" s="0" t="s">
        <v>1112</v>
      </c>
      <c r="I778" s="0" t="s">
        <v>5944</v>
      </c>
      <c r="J778" s="0" t="s">
        <v>594</v>
      </c>
      <c r="M778" s="0" t="s">
        <v>293</v>
      </c>
      <c r="N778" s="0" t="s">
        <v>294</v>
      </c>
      <c r="O778" s="0" t="s">
        <v>295</v>
      </c>
      <c r="P778" s="0" t="s">
        <v>323</v>
      </c>
      <c r="Q778" s="0" t="s">
        <v>323</v>
      </c>
      <c r="R778" s="0" t="s">
        <v>5945</v>
      </c>
      <c r="T778" s="0" t="s">
        <v>5951</v>
      </c>
      <c r="U778" s="0" t="s">
        <v>5952</v>
      </c>
      <c r="X778" s="0" t="s">
        <v>298</v>
      </c>
      <c r="Y778" s="0" t="s">
        <v>60</v>
      </c>
      <c r="Z778" s="0" t="s">
        <v>5926</v>
      </c>
      <c r="AA778" s="0" t="s">
        <v>140</v>
      </c>
      <c r="AB778" s="0" t="s">
        <v>531</v>
      </c>
      <c r="AC778" s="0" t="s">
        <v>571</v>
      </c>
      <c r="AD778" s="0" t="s">
        <v>5927</v>
      </c>
      <c r="AE778" s="0" t="s">
        <v>5928</v>
      </c>
      <c r="AF778" s="0" t="s">
        <v>301</v>
      </c>
      <c r="AM778" s="0" t="s">
        <v>651</v>
      </c>
      <c r="AN778" s="0" t="s">
        <v>3568</v>
      </c>
      <c r="AO778" s="0" t="s">
        <v>513</v>
      </c>
      <c r="AP778" s="0" t="s">
        <v>305</v>
      </c>
      <c r="AQ778" s="0" t="s">
        <v>5953</v>
      </c>
      <c r="AR778" s="0" t="s">
        <v>373</v>
      </c>
      <c r="AS778" s="0">
        <v>36</v>
      </c>
      <c r="AT778" s="0">
        <v>78</v>
      </c>
      <c r="AU778" s="0">
        <v>90</v>
      </c>
      <c r="AV778" s="0" t="s">
        <v>332</v>
      </c>
      <c r="AX778" s="0" t="s">
        <v>514</v>
      </c>
      <c r="AY778" s="0" t="s">
        <v>1400</v>
      </c>
      <c r="AZ778" s="0" t="s">
        <v>1473</v>
      </c>
      <c r="BA778" s="0">
        <v>515</v>
      </c>
      <c r="BB778" s="0" t="s">
        <v>232</v>
      </c>
      <c r="BC778" s="0">
        <v>2</v>
      </c>
      <c r="BD778" s="0">
        <v>374043</v>
      </c>
      <c r="BE778" s="0">
        <v>305</v>
      </c>
      <c r="BF778" s="0">
        <v>5</v>
      </c>
      <c r="BG778" s="0" t="s">
        <v>5954</v>
      </c>
      <c r="BI778" s="0">
        <v>4089</v>
      </c>
      <c r="BK778" s="0" t="s">
        <v>5955</v>
      </c>
    </row>
    <row r="779">
      <c r="A779" s="0">
        <v>5512</v>
      </c>
      <c r="B779" s="0" t="s">
        <v>5956</v>
      </c>
      <c r="C779" s="0" t="s">
        <v>315</v>
      </c>
      <c r="D779" s="0" t="s">
        <v>5921</v>
      </c>
      <c r="E779" s="0" t="s">
        <v>5957</v>
      </c>
      <c r="F779" s="0">
        <v>1</v>
      </c>
      <c r="G779" s="0" t="s">
        <v>555</v>
      </c>
      <c r="H779" s="0" t="s">
        <v>1112</v>
      </c>
      <c r="I779" s="0" t="s">
        <v>5944</v>
      </c>
      <c r="J779" s="0" t="s">
        <v>594</v>
      </c>
      <c r="M779" s="0" t="s">
        <v>293</v>
      </c>
      <c r="N779" s="0" t="s">
        <v>294</v>
      </c>
      <c r="O779" s="0" t="s">
        <v>295</v>
      </c>
      <c r="P779" s="0" t="s">
        <v>323</v>
      </c>
      <c r="Q779" s="0" t="s">
        <v>323</v>
      </c>
      <c r="R779" s="0" t="s">
        <v>5945</v>
      </c>
      <c r="T779" s="0" t="s">
        <v>5951</v>
      </c>
      <c r="U779" s="0" t="s">
        <v>5958</v>
      </c>
      <c r="X779" s="0" t="s">
        <v>298</v>
      </c>
      <c r="Y779" s="0" t="s">
        <v>60</v>
      </c>
      <c r="Z779" s="0" t="s">
        <v>5926</v>
      </c>
      <c r="AA779" s="0" t="s">
        <v>140</v>
      </c>
      <c r="AB779" s="0" t="s">
        <v>531</v>
      </c>
      <c r="AC779" s="0" t="s">
        <v>571</v>
      </c>
      <c r="AD779" s="0" t="s">
        <v>5927</v>
      </c>
      <c r="AE779" s="0" t="s">
        <v>5928</v>
      </c>
      <c r="AF779" s="0" t="s">
        <v>301</v>
      </c>
      <c r="AM779" s="0" t="s">
        <v>651</v>
      </c>
      <c r="AN779" s="0" t="s">
        <v>627</v>
      </c>
      <c r="AO779" s="0" t="s">
        <v>513</v>
      </c>
      <c r="AP779" s="0" t="s">
        <v>305</v>
      </c>
      <c r="AQ779" s="0" t="s">
        <v>5959</v>
      </c>
      <c r="AR779" s="0" t="s">
        <v>1287</v>
      </c>
      <c r="AS779" s="0">
        <v>87</v>
      </c>
      <c r="AT779" s="0">
        <v>195</v>
      </c>
      <c r="AU779" s="0">
        <v>204</v>
      </c>
      <c r="AV779" s="0" t="s">
        <v>332</v>
      </c>
      <c r="AX779" s="0" t="s">
        <v>514</v>
      </c>
      <c r="AY779" s="0" t="s">
        <v>391</v>
      </c>
      <c r="AZ779" s="0" t="s">
        <v>1473</v>
      </c>
      <c r="BA779" s="0">
        <v>515</v>
      </c>
      <c r="BB779" s="0" t="s">
        <v>232</v>
      </c>
      <c r="BC779" s="0">
        <v>2</v>
      </c>
      <c r="BD779" s="0">
        <v>374043</v>
      </c>
      <c r="BE779" s="0">
        <v>305</v>
      </c>
      <c r="BF779" s="0">
        <v>5</v>
      </c>
      <c r="BG779" s="0" t="s">
        <v>5960</v>
      </c>
      <c r="BI779" s="0">
        <v>4160</v>
      </c>
      <c r="BK779" s="0" t="s">
        <v>5961</v>
      </c>
    </row>
    <row r="780">
      <c r="A780" s="0">
        <v>5498</v>
      </c>
      <c r="B780" s="0" t="s">
        <v>5962</v>
      </c>
      <c r="C780" s="0" t="s">
        <v>339</v>
      </c>
      <c r="D780" s="0" t="s">
        <v>5921</v>
      </c>
      <c r="E780" s="0" t="s">
        <v>5963</v>
      </c>
      <c r="F780" s="0">
        <v>1</v>
      </c>
      <c r="G780" s="0" t="s">
        <v>319</v>
      </c>
      <c r="H780" s="0" t="s">
        <v>523</v>
      </c>
      <c r="I780" s="0" t="s">
        <v>1268</v>
      </c>
      <c r="J780" s="0" t="s">
        <v>594</v>
      </c>
      <c r="K780" s="0" t="s">
        <v>1268</v>
      </c>
      <c r="P780" s="0" t="s">
        <v>323</v>
      </c>
      <c r="Q780" s="0" t="s">
        <v>343</v>
      </c>
      <c r="R780" s="0" t="s">
        <v>526</v>
      </c>
      <c r="U780" s="0" t="s">
        <v>5964</v>
      </c>
      <c r="X780" s="0" t="s">
        <v>298</v>
      </c>
      <c r="Y780" s="0" t="s">
        <v>60</v>
      </c>
      <c r="Z780" s="0" t="s">
        <v>5926</v>
      </c>
      <c r="AA780" s="0" t="s">
        <v>140</v>
      </c>
      <c r="AB780" s="0" t="s">
        <v>531</v>
      </c>
      <c r="AC780" s="0" t="s">
        <v>571</v>
      </c>
      <c r="AD780" s="0" t="s">
        <v>5927</v>
      </c>
      <c r="AE780" s="0" t="s">
        <v>5928</v>
      </c>
      <c r="AF780" s="0" t="s">
        <v>301</v>
      </c>
      <c r="AM780" s="0" t="s">
        <v>1814</v>
      </c>
      <c r="AN780" s="0" t="s">
        <v>5965</v>
      </c>
      <c r="AO780" s="0" t="s">
        <v>5966</v>
      </c>
      <c r="AP780" s="0" t="s">
        <v>305</v>
      </c>
      <c r="AQ780" s="0" t="s">
        <v>5967</v>
      </c>
      <c r="AR780" s="0" t="s">
        <v>5968</v>
      </c>
      <c r="AS780" s="0">
        <v>16</v>
      </c>
      <c r="AT780" s="0">
        <v>32</v>
      </c>
      <c r="AU780" s="0">
        <v>42</v>
      </c>
      <c r="AV780" s="0" t="s">
        <v>895</v>
      </c>
      <c r="AW780" s="0" t="s">
        <v>977</v>
      </c>
      <c r="AX780" s="0" t="s">
        <v>5969</v>
      </c>
      <c r="AY780" s="0" t="s">
        <v>5970</v>
      </c>
      <c r="AZ780" s="0" t="s">
        <v>5971</v>
      </c>
      <c r="BA780" s="0">
        <v>515</v>
      </c>
      <c r="BB780" s="0" t="s">
        <v>232</v>
      </c>
      <c r="BC780" s="0">
        <v>2</v>
      </c>
      <c r="BD780" s="0">
        <v>8</v>
      </c>
      <c r="BE780" s="0">
        <v>305</v>
      </c>
      <c r="BF780" s="0">
        <v>5</v>
      </c>
      <c r="BG780" s="0" t="s">
        <v>5972</v>
      </c>
      <c r="BI780" s="0">
        <v>2390</v>
      </c>
      <c r="BK780" s="0" t="s">
        <v>5973</v>
      </c>
    </row>
    <row r="781">
      <c r="A781" s="0">
        <v>5491</v>
      </c>
      <c r="B781" s="0" t="s">
        <v>5974</v>
      </c>
      <c r="C781" s="0" t="s">
        <v>945</v>
      </c>
      <c r="D781" s="0" t="s">
        <v>5921</v>
      </c>
      <c r="E781" s="0" t="s">
        <v>5975</v>
      </c>
      <c r="F781" s="0">
        <v>1</v>
      </c>
      <c r="G781" s="0" t="s">
        <v>543</v>
      </c>
      <c r="H781" s="0" t="s">
        <v>5976</v>
      </c>
      <c r="I781" s="0" t="s">
        <v>544</v>
      </c>
      <c r="J781" s="0" t="s">
        <v>293</v>
      </c>
      <c r="K781" s="0" t="s">
        <v>294</v>
      </c>
      <c r="L781" s="0" t="s">
        <v>295</v>
      </c>
      <c r="M781" s="0" t="s">
        <v>594</v>
      </c>
      <c r="P781" s="0" t="s">
        <v>323</v>
      </c>
      <c r="Q781" s="0" t="s">
        <v>343</v>
      </c>
      <c r="R781" s="0" t="s">
        <v>1783</v>
      </c>
      <c r="T781" s="0" t="s">
        <v>5977</v>
      </c>
      <c r="U781" s="0" t="s">
        <v>5978</v>
      </c>
      <c r="X781" s="0" t="s">
        <v>298</v>
      </c>
      <c r="Y781" s="0" t="s">
        <v>60</v>
      </c>
      <c r="Z781" s="0" t="s">
        <v>5926</v>
      </c>
      <c r="AA781" s="0" t="s">
        <v>140</v>
      </c>
      <c r="AB781" s="0" t="s">
        <v>531</v>
      </c>
      <c r="AC781" s="0" t="s">
        <v>571</v>
      </c>
      <c r="AD781" s="0" t="s">
        <v>5927</v>
      </c>
      <c r="AE781" s="0" t="s">
        <v>5928</v>
      </c>
      <c r="AF781" s="0" t="s">
        <v>301</v>
      </c>
      <c r="AM781" s="0" t="s">
        <v>1472</v>
      </c>
      <c r="AN781" s="0" t="s">
        <v>426</v>
      </c>
      <c r="AO781" s="0" t="s">
        <v>311</v>
      </c>
      <c r="AP781" s="0" t="s">
        <v>305</v>
      </c>
      <c r="AQ781" s="0" t="s">
        <v>423</v>
      </c>
      <c r="AR781" s="0" t="s">
        <v>489</v>
      </c>
      <c r="AS781" s="0">
        <v>108</v>
      </c>
      <c r="AT781" s="0">
        <v>216</v>
      </c>
      <c r="AU781" s="0">
        <v>228</v>
      </c>
      <c r="AV781" s="0" t="s">
        <v>332</v>
      </c>
      <c r="AW781" s="0" t="s">
        <v>332</v>
      </c>
      <c r="AX781" s="0" t="s">
        <v>1472</v>
      </c>
      <c r="AY781" s="0" t="s">
        <v>372</v>
      </c>
      <c r="AZ781" s="0" t="s">
        <v>500</v>
      </c>
      <c r="BA781" s="0">
        <v>515</v>
      </c>
      <c r="BB781" s="0" t="s">
        <v>232</v>
      </c>
      <c r="BC781" s="0">
        <v>2</v>
      </c>
      <c r="BD781" s="0">
        <v>14</v>
      </c>
      <c r="BE781" s="0">
        <v>305</v>
      </c>
      <c r="BF781" s="0">
        <v>5</v>
      </c>
      <c r="BG781" s="0" t="s">
        <v>5979</v>
      </c>
      <c r="BI781" s="0">
        <v>402</v>
      </c>
      <c r="BK781" s="0" t="s">
        <v>5980</v>
      </c>
    </row>
    <row r="782">
      <c r="A782" s="0">
        <v>5495</v>
      </c>
      <c r="B782" s="0" t="s">
        <v>5981</v>
      </c>
      <c r="C782" s="0" t="s">
        <v>945</v>
      </c>
      <c r="D782" s="0" t="s">
        <v>5921</v>
      </c>
      <c r="E782" s="0" t="s">
        <v>1665</v>
      </c>
      <c r="F782" s="0">
        <v>1</v>
      </c>
      <c r="G782" s="0" t="s">
        <v>319</v>
      </c>
      <c r="H782" s="0" t="s">
        <v>3121</v>
      </c>
      <c r="I782" s="0" t="s">
        <v>1284</v>
      </c>
      <c r="J782" s="0" t="s">
        <v>594</v>
      </c>
      <c r="M782" s="0" t="s">
        <v>293</v>
      </c>
      <c r="N782" s="0" t="s">
        <v>294</v>
      </c>
      <c r="O782" s="0" t="s">
        <v>295</v>
      </c>
      <c r="P782" s="0" t="s">
        <v>323</v>
      </c>
      <c r="Q782" s="0" t="s">
        <v>343</v>
      </c>
      <c r="R782" s="0" t="s">
        <v>1620</v>
      </c>
      <c r="U782" s="0" t="s">
        <v>5982</v>
      </c>
      <c r="X782" s="0" t="s">
        <v>298</v>
      </c>
      <c r="Y782" s="0" t="s">
        <v>60</v>
      </c>
      <c r="Z782" s="0" t="s">
        <v>5926</v>
      </c>
      <c r="AA782" s="0" t="s">
        <v>140</v>
      </c>
      <c r="AB782" s="0" t="s">
        <v>531</v>
      </c>
      <c r="AC782" s="0" t="s">
        <v>571</v>
      </c>
      <c r="AD782" s="0" t="s">
        <v>5927</v>
      </c>
      <c r="AE782" s="0" t="s">
        <v>5928</v>
      </c>
      <c r="AF782" s="0" t="s">
        <v>301</v>
      </c>
      <c r="AM782" s="0" t="s">
        <v>352</v>
      </c>
      <c r="AN782" s="0" t="s">
        <v>426</v>
      </c>
      <c r="AO782" s="0" t="s">
        <v>739</v>
      </c>
      <c r="AP782" s="0" t="s">
        <v>305</v>
      </c>
      <c r="AQ782" s="0" t="s">
        <v>502</v>
      </c>
      <c r="AR782" s="0" t="s">
        <v>489</v>
      </c>
      <c r="AS782" s="0">
        <v>108</v>
      </c>
      <c r="AT782" s="0">
        <v>216</v>
      </c>
      <c r="AU782" s="0">
        <v>216</v>
      </c>
      <c r="AV782" s="0" t="s">
        <v>332</v>
      </c>
      <c r="AW782" s="0" t="s">
        <v>332</v>
      </c>
      <c r="AX782" s="0" t="s">
        <v>352</v>
      </c>
      <c r="AY782" s="0" t="s">
        <v>372</v>
      </c>
      <c r="AZ782" s="0" t="s">
        <v>517</v>
      </c>
      <c r="BA782" s="0">
        <v>515</v>
      </c>
      <c r="BB782" s="0" t="s">
        <v>232</v>
      </c>
      <c r="BC782" s="0">
        <v>2</v>
      </c>
      <c r="BD782" s="0">
        <v>14</v>
      </c>
      <c r="BE782" s="0">
        <v>305</v>
      </c>
      <c r="BF782" s="0">
        <v>5</v>
      </c>
      <c r="BG782" s="0" t="s">
        <v>5983</v>
      </c>
      <c r="BI782" s="0">
        <v>1701</v>
      </c>
      <c r="BK782" s="0" t="s">
        <v>5984</v>
      </c>
    </row>
    <row r="783">
      <c r="A783" s="0">
        <v>5508</v>
      </c>
      <c r="B783" s="0" t="s">
        <v>5985</v>
      </c>
      <c r="C783" s="0" t="s">
        <v>290</v>
      </c>
      <c r="D783" s="0" t="s">
        <v>5921</v>
      </c>
      <c r="E783" s="0" t="s">
        <v>5986</v>
      </c>
      <c r="F783" s="0">
        <v>1</v>
      </c>
      <c r="G783" s="0" t="s">
        <v>293</v>
      </c>
      <c r="H783" s="0" t="s">
        <v>294</v>
      </c>
      <c r="I783" s="0" t="s">
        <v>295</v>
      </c>
      <c r="P783" s="0" t="s">
        <v>323</v>
      </c>
      <c r="Q783" s="0" t="s">
        <v>323</v>
      </c>
      <c r="R783" s="0" t="s">
        <v>1021</v>
      </c>
      <c r="U783" s="0" t="s">
        <v>5987</v>
      </c>
      <c r="X783" s="0" t="s">
        <v>298</v>
      </c>
      <c r="Y783" s="0" t="s">
        <v>60</v>
      </c>
      <c r="Z783" s="0" t="s">
        <v>5926</v>
      </c>
      <c r="AA783" s="0" t="s">
        <v>140</v>
      </c>
      <c r="AB783" s="0" t="s">
        <v>531</v>
      </c>
      <c r="AC783" s="0" t="s">
        <v>571</v>
      </c>
      <c r="AD783" s="0" t="s">
        <v>5927</v>
      </c>
      <c r="AE783" s="0" t="s">
        <v>5928</v>
      </c>
      <c r="AF783" s="0" t="s">
        <v>301</v>
      </c>
      <c r="AP783" s="0" t="s">
        <v>305</v>
      </c>
      <c r="BA783" s="0">
        <v>515</v>
      </c>
      <c r="BB783" s="0" t="s">
        <v>232</v>
      </c>
      <c r="BC783" s="0">
        <v>2</v>
      </c>
      <c r="BD783" s="0">
        <v>374053</v>
      </c>
      <c r="BE783" s="0">
        <v>305</v>
      </c>
      <c r="BF783" s="0">
        <v>5</v>
      </c>
      <c r="BG783" s="0" t="s">
        <v>5988</v>
      </c>
      <c r="BI783" s="0">
        <v>3830</v>
      </c>
      <c r="BK783" s="0" t="s">
        <v>5989</v>
      </c>
    </row>
    <row r="784">
      <c r="A784" s="0">
        <v>5507</v>
      </c>
      <c r="B784" s="0" t="s">
        <v>5990</v>
      </c>
      <c r="C784" s="0" t="s">
        <v>290</v>
      </c>
      <c r="D784" s="0" t="s">
        <v>5921</v>
      </c>
      <c r="E784" s="0" t="s">
        <v>5991</v>
      </c>
      <c r="F784" s="0">
        <v>1</v>
      </c>
      <c r="G784" s="0" t="s">
        <v>293</v>
      </c>
      <c r="H784" s="0" t="s">
        <v>294</v>
      </c>
      <c r="I784" s="0" t="s">
        <v>295</v>
      </c>
      <c r="P784" s="0" t="s">
        <v>323</v>
      </c>
      <c r="Q784" s="0" t="s">
        <v>323</v>
      </c>
      <c r="R784" s="0" t="s">
        <v>1021</v>
      </c>
      <c r="U784" s="0" t="s">
        <v>5992</v>
      </c>
      <c r="X784" s="0" t="s">
        <v>298</v>
      </c>
      <c r="Y784" s="0" t="s">
        <v>60</v>
      </c>
      <c r="Z784" s="0" t="s">
        <v>5926</v>
      </c>
      <c r="AA784" s="0" t="s">
        <v>140</v>
      </c>
      <c r="AB784" s="0" t="s">
        <v>531</v>
      </c>
      <c r="AC784" s="0" t="s">
        <v>571</v>
      </c>
      <c r="AD784" s="0" t="s">
        <v>5927</v>
      </c>
      <c r="AE784" s="0" t="s">
        <v>5928</v>
      </c>
      <c r="AF784" s="0" t="s">
        <v>301</v>
      </c>
      <c r="AP784" s="0" t="s">
        <v>305</v>
      </c>
      <c r="BA784" s="0">
        <v>515</v>
      </c>
      <c r="BB784" s="0" t="s">
        <v>232</v>
      </c>
      <c r="BC784" s="0">
        <v>2</v>
      </c>
      <c r="BD784" s="0">
        <v>374053</v>
      </c>
      <c r="BE784" s="0">
        <v>305</v>
      </c>
      <c r="BF784" s="0">
        <v>5</v>
      </c>
      <c r="BG784" s="0" t="s">
        <v>5993</v>
      </c>
      <c r="BI784" s="0">
        <v>3732</v>
      </c>
      <c r="BK784" s="0" t="s">
        <v>5994</v>
      </c>
    </row>
    <row r="785">
      <c r="A785" s="0">
        <v>5509</v>
      </c>
      <c r="B785" s="0" t="s">
        <v>5995</v>
      </c>
      <c r="C785" s="0" t="s">
        <v>290</v>
      </c>
      <c r="D785" s="0" t="s">
        <v>5921</v>
      </c>
      <c r="E785" s="0" t="s">
        <v>5996</v>
      </c>
      <c r="F785" s="0">
        <v>1</v>
      </c>
      <c r="G785" s="0" t="s">
        <v>293</v>
      </c>
      <c r="H785" s="0" t="s">
        <v>294</v>
      </c>
      <c r="I785" s="0" t="s">
        <v>295</v>
      </c>
      <c r="P785" s="0" t="s">
        <v>343</v>
      </c>
      <c r="Q785" s="0" t="s">
        <v>343</v>
      </c>
      <c r="U785" s="0" t="s">
        <v>5997</v>
      </c>
      <c r="X785" s="0" t="s">
        <v>298</v>
      </c>
      <c r="Y785" s="0" t="s">
        <v>60</v>
      </c>
      <c r="Z785" s="0" t="s">
        <v>5926</v>
      </c>
      <c r="AA785" s="0" t="s">
        <v>140</v>
      </c>
      <c r="AB785" s="0" t="s">
        <v>531</v>
      </c>
      <c r="AC785" s="0" t="s">
        <v>571</v>
      </c>
      <c r="AD785" s="0" t="s">
        <v>5927</v>
      </c>
      <c r="AE785" s="0" t="s">
        <v>5928</v>
      </c>
      <c r="AF785" s="0" t="s">
        <v>301</v>
      </c>
      <c r="AP785" s="0" t="s">
        <v>305</v>
      </c>
      <c r="BA785" s="0">
        <v>515</v>
      </c>
      <c r="BB785" s="0" t="s">
        <v>232</v>
      </c>
      <c r="BC785" s="0">
        <v>2</v>
      </c>
      <c r="BD785" s="0">
        <v>374053</v>
      </c>
      <c r="BE785" s="0">
        <v>305</v>
      </c>
      <c r="BF785" s="0">
        <v>5</v>
      </c>
      <c r="BG785" s="0" t="s">
        <v>5998</v>
      </c>
      <c r="BI785" s="0">
        <v>3919</v>
      </c>
      <c r="BK785" s="0" t="s">
        <v>5999</v>
      </c>
    </row>
    <row r="786">
      <c r="A786" s="0">
        <v>5497</v>
      </c>
      <c r="B786" s="0" t="s">
        <v>6000</v>
      </c>
      <c r="C786" s="0" t="s">
        <v>5861</v>
      </c>
      <c r="D786" s="0" t="s">
        <v>5921</v>
      </c>
      <c r="E786" s="0" t="s">
        <v>6001</v>
      </c>
      <c r="F786" s="0">
        <v>1</v>
      </c>
      <c r="G786" s="0" t="s">
        <v>319</v>
      </c>
      <c r="H786" s="0" t="s">
        <v>483</v>
      </c>
      <c r="I786" s="0" t="s">
        <v>524</v>
      </c>
      <c r="J786" s="0" t="s">
        <v>594</v>
      </c>
      <c r="M786" s="0" t="s">
        <v>293</v>
      </c>
      <c r="N786" s="0" t="s">
        <v>294</v>
      </c>
      <c r="O786" s="0" t="s">
        <v>295</v>
      </c>
      <c r="P786" s="0" t="s">
        <v>323</v>
      </c>
      <c r="Q786" s="0" t="s">
        <v>323</v>
      </c>
      <c r="R786" s="0" t="s">
        <v>2103</v>
      </c>
      <c r="T786" s="0" t="s">
        <v>6002</v>
      </c>
      <c r="U786" s="0" t="s">
        <v>6003</v>
      </c>
      <c r="X786" s="0" t="s">
        <v>298</v>
      </c>
      <c r="Y786" s="0" t="s">
        <v>60</v>
      </c>
      <c r="Z786" s="0" t="s">
        <v>5926</v>
      </c>
      <c r="AA786" s="0" t="s">
        <v>140</v>
      </c>
      <c r="AB786" s="0" t="s">
        <v>531</v>
      </c>
      <c r="AC786" s="0" t="s">
        <v>571</v>
      </c>
      <c r="AD786" s="0" t="s">
        <v>5927</v>
      </c>
      <c r="AE786" s="0" t="s">
        <v>5928</v>
      </c>
      <c r="AF786" s="0" t="s">
        <v>301</v>
      </c>
      <c r="AM786" s="0" t="s">
        <v>6004</v>
      </c>
      <c r="AN786" s="0" t="s">
        <v>6005</v>
      </c>
      <c r="AO786" s="0" t="s">
        <v>6006</v>
      </c>
      <c r="AP786" s="0" t="s">
        <v>305</v>
      </c>
      <c r="AQ786" s="0" t="s">
        <v>6007</v>
      </c>
      <c r="AR786" s="0" t="s">
        <v>6008</v>
      </c>
      <c r="AS786" s="0">
        <v>15</v>
      </c>
      <c r="AT786" s="0">
        <v>34</v>
      </c>
      <c r="AU786" s="0">
        <v>39</v>
      </c>
      <c r="AV786" s="0" t="s">
        <v>3800</v>
      </c>
      <c r="AW786" s="0" t="s">
        <v>331</v>
      </c>
      <c r="AX786" s="0" t="s">
        <v>6009</v>
      </c>
      <c r="AY786" s="0" t="s">
        <v>6010</v>
      </c>
      <c r="AZ786" s="0" t="s">
        <v>6011</v>
      </c>
      <c r="BA786" s="0">
        <v>515</v>
      </c>
      <c r="BB786" s="0" t="s">
        <v>232</v>
      </c>
      <c r="BC786" s="0">
        <v>2</v>
      </c>
      <c r="BD786" s="0">
        <v>21</v>
      </c>
      <c r="BE786" s="0">
        <v>305</v>
      </c>
      <c r="BF786" s="0">
        <v>5</v>
      </c>
      <c r="BG786" s="0" t="s">
        <v>6012</v>
      </c>
      <c r="BI786" s="0">
        <v>2176</v>
      </c>
      <c r="BK786" s="0" t="s">
        <v>6013</v>
      </c>
    </row>
    <row r="787">
      <c r="A787" s="0">
        <v>5520</v>
      </c>
      <c r="B787" s="0" t="s">
        <v>6014</v>
      </c>
      <c r="C787" s="0" t="s">
        <v>315</v>
      </c>
      <c r="D787" s="0" t="s">
        <v>5921</v>
      </c>
      <c r="E787" s="0" t="s">
        <v>6015</v>
      </c>
      <c r="F787" s="0">
        <v>1</v>
      </c>
      <c r="G787" s="0" t="s">
        <v>319</v>
      </c>
      <c r="H787" s="0" t="s">
        <v>483</v>
      </c>
      <c r="I787" s="0" t="s">
        <v>3050</v>
      </c>
      <c r="K787" s="0" t="s">
        <v>400</v>
      </c>
      <c r="P787" s="0" t="s">
        <v>323</v>
      </c>
      <c r="Q787" s="0" t="s">
        <v>2766</v>
      </c>
      <c r="R787" s="0" t="s">
        <v>661</v>
      </c>
      <c r="T787" s="0" t="s">
        <v>6016</v>
      </c>
      <c r="U787" s="0" t="s">
        <v>6017</v>
      </c>
      <c r="X787" s="0" t="s">
        <v>298</v>
      </c>
      <c r="Y787" s="0" t="s">
        <v>60</v>
      </c>
      <c r="Z787" s="0" t="s">
        <v>5926</v>
      </c>
      <c r="AA787" s="0" t="s">
        <v>140</v>
      </c>
      <c r="AB787" s="0" t="s">
        <v>531</v>
      </c>
      <c r="AC787" s="0" t="s">
        <v>571</v>
      </c>
      <c r="AD787" s="0" t="s">
        <v>5927</v>
      </c>
      <c r="AE787" s="0" t="s">
        <v>5928</v>
      </c>
      <c r="AF787" s="0" t="s">
        <v>301</v>
      </c>
      <c r="AM787" s="0" t="s">
        <v>6018</v>
      </c>
      <c r="AN787" s="0" t="s">
        <v>2967</v>
      </c>
      <c r="AO787" s="0" t="s">
        <v>683</v>
      </c>
      <c r="AP787" s="0" t="s">
        <v>305</v>
      </c>
      <c r="AQ787" s="0" t="s">
        <v>1182</v>
      </c>
      <c r="AR787" s="0" t="s">
        <v>2940</v>
      </c>
      <c r="AS787" s="0">
        <v>104</v>
      </c>
      <c r="AT787" s="0">
        <v>216</v>
      </c>
      <c r="AU787" s="0">
        <v>270</v>
      </c>
      <c r="AV787" s="0" t="s">
        <v>1182</v>
      </c>
      <c r="AX787" s="0" t="s">
        <v>6019</v>
      </c>
      <c r="AY787" s="0" t="s">
        <v>3030</v>
      </c>
      <c r="AZ787" s="0" t="s">
        <v>6020</v>
      </c>
      <c r="BA787" s="0">
        <v>515</v>
      </c>
      <c r="BB787" s="0" t="s">
        <v>232</v>
      </c>
      <c r="BC787" s="0">
        <v>2</v>
      </c>
      <c r="BD787" s="0">
        <v>374043</v>
      </c>
      <c r="BE787" s="0">
        <v>305</v>
      </c>
      <c r="BF787" s="0">
        <v>5</v>
      </c>
      <c r="BG787" s="0" t="s">
        <v>6021</v>
      </c>
      <c r="BI787" s="0">
        <v>4295</v>
      </c>
      <c r="BK787" s="0" t="s">
        <v>6022</v>
      </c>
    </row>
    <row r="788">
      <c r="A788" s="0">
        <v>5500</v>
      </c>
      <c r="B788" s="0" t="s">
        <v>6023</v>
      </c>
      <c r="C788" s="0" t="s">
        <v>315</v>
      </c>
      <c r="D788" s="0" t="s">
        <v>5921</v>
      </c>
      <c r="E788" s="0" t="s">
        <v>6024</v>
      </c>
      <c r="F788" s="0">
        <v>1</v>
      </c>
      <c r="G788" s="0" t="s">
        <v>319</v>
      </c>
      <c r="H788" s="0" t="s">
        <v>483</v>
      </c>
      <c r="I788" s="0" t="s">
        <v>1204</v>
      </c>
      <c r="K788" s="0" t="s">
        <v>400</v>
      </c>
      <c r="P788" s="0" t="s">
        <v>343</v>
      </c>
      <c r="Q788" s="0" t="s">
        <v>343</v>
      </c>
      <c r="U788" s="0" t="s">
        <v>6025</v>
      </c>
      <c r="X788" s="0" t="s">
        <v>298</v>
      </c>
      <c r="Y788" s="0" t="s">
        <v>60</v>
      </c>
      <c r="Z788" s="0" t="s">
        <v>5926</v>
      </c>
      <c r="AA788" s="0" t="s">
        <v>140</v>
      </c>
      <c r="AB788" s="0" t="s">
        <v>531</v>
      </c>
      <c r="AC788" s="0" t="s">
        <v>571</v>
      </c>
      <c r="AD788" s="0" t="s">
        <v>5927</v>
      </c>
      <c r="AE788" s="0" t="s">
        <v>5928</v>
      </c>
      <c r="AF788" s="0" t="s">
        <v>301</v>
      </c>
      <c r="AM788" s="0" t="s">
        <v>2213</v>
      </c>
      <c r="AN788" s="0" t="s">
        <v>2213</v>
      </c>
      <c r="AO788" s="0" t="s">
        <v>2982</v>
      </c>
      <c r="AP788" s="0" t="s">
        <v>305</v>
      </c>
      <c r="AQ788" s="0" t="s">
        <v>6026</v>
      </c>
      <c r="AR788" s="0" t="s">
        <v>502</v>
      </c>
      <c r="AS788" s="0">
        <v>352</v>
      </c>
      <c r="AT788" s="0">
        <v>768</v>
      </c>
      <c r="AU788" s="0">
        <v>944</v>
      </c>
      <c r="AV788" s="0" t="s">
        <v>308</v>
      </c>
      <c r="AX788" s="0" t="s">
        <v>926</v>
      </c>
      <c r="AY788" s="0" t="s">
        <v>500</v>
      </c>
      <c r="AZ788" s="0" t="s">
        <v>1473</v>
      </c>
      <c r="BA788" s="0">
        <v>515</v>
      </c>
      <c r="BB788" s="0" t="s">
        <v>232</v>
      </c>
      <c r="BC788" s="0">
        <v>2</v>
      </c>
      <c r="BD788" s="0">
        <v>374043</v>
      </c>
      <c r="BE788" s="0">
        <v>305</v>
      </c>
      <c r="BF788" s="0">
        <v>5</v>
      </c>
      <c r="BG788" s="0" t="s">
        <v>6027</v>
      </c>
      <c r="BI788" s="0">
        <v>2763</v>
      </c>
      <c r="BK788" s="0" t="s">
        <v>6028</v>
      </c>
    </row>
    <row r="789">
      <c r="A789" s="0">
        <v>5504</v>
      </c>
      <c r="B789" s="0" t="s">
        <v>6023</v>
      </c>
      <c r="C789" s="0" t="s">
        <v>315</v>
      </c>
      <c r="D789" s="0" t="s">
        <v>5921</v>
      </c>
      <c r="E789" s="0" t="s">
        <v>6024</v>
      </c>
      <c r="F789" s="0">
        <v>1</v>
      </c>
      <c r="G789" s="0" t="s">
        <v>319</v>
      </c>
      <c r="H789" s="0" t="s">
        <v>483</v>
      </c>
      <c r="I789" s="0" t="s">
        <v>6029</v>
      </c>
      <c r="K789" s="0" t="s">
        <v>400</v>
      </c>
      <c r="P789" s="0" t="s">
        <v>343</v>
      </c>
      <c r="Q789" s="0" t="s">
        <v>343</v>
      </c>
      <c r="U789" s="0" t="s">
        <v>6030</v>
      </c>
      <c r="X789" s="0" t="s">
        <v>298</v>
      </c>
      <c r="Y789" s="0" t="s">
        <v>60</v>
      </c>
      <c r="Z789" s="0" t="s">
        <v>5926</v>
      </c>
      <c r="AA789" s="0" t="s">
        <v>140</v>
      </c>
      <c r="AB789" s="0" t="s">
        <v>531</v>
      </c>
      <c r="AC789" s="0" t="s">
        <v>571</v>
      </c>
      <c r="AD789" s="0" t="s">
        <v>5927</v>
      </c>
      <c r="AE789" s="0" t="s">
        <v>5928</v>
      </c>
      <c r="AF789" s="0" t="s">
        <v>301</v>
      </c>
      <c r="AP789" s="0" t="s">
        <v>305</v>
      </c>
      <c r="BA789" s="0">
        <v>515</v>
      </c>
      <c r="BB789" s="0" t="s">
        <v>232</v>
      </c>
      <c r="BC789" s="0">
        <v>2</v>
      </c>
      <c r="BD789" s="0">
        <v>374043</v>
      </c>
      <c r="BE789" s="0">
        <v>305</v>
      </c>
      <c r="BF789" s="0">
        <v>5</v>
      </c>
      <c r="BG789" s="0" t="s">
        <v>6031</v>
      </c>
      <c r="BI789" s="0">
        <v>3388</v>
      </c>
      <c r="BK789" s="0" t="s">
        <v>6032</v>
      </c>
    </row>
    <row r="790">
      <c r="A790" s="0">
        <v>5502</v>
      </c>
      <c r="B790" s="0" t="s">
        <v>6023</v>
      </c>
      <c r="C790" s="0" t="s">
        <v>315</v>
      </c>
      <c r="D790" s="0" t="s">
        <v>5921</v>
      </c>
      <c r="E790" s="0" t="s">
        <v>6024</v>
      </c>
      <c r="F790" s="0">
        <v>1</v>
      </c>
      <c r="G790" s="0" t="s">
        <v>319</v>
      </c>
      <c r="H790" s="0" t="s">
        <v>483</v>
      </c>
      <c r="I790" s="0" t="s">
        <v>3050</v>
      </c>
      <c r="P790" s="0" t="s">
        <v>343</v>
      </c>
      <c r="Q790" s="0" t="s">
        <v>343</v>
      </c>
      <c r="U790" s="0" t="s">
        <v>6033</v>
      </c>
      <c r="X790" s="0" t="s">
        <v>298</v>
      </c>
      <c r="Y790" s="0" t="s">
        <v>60</v>
      </c>
      <c r="Z790" s="0" t="s">
        <v>5926</v>
      </c>
      <c r="AA790" s="0" t="s">
        <v>140</v>
      </c>
      <c r="AB790" s="0" t="s">
        <v>531</v>
      </c>
      <c r="AC790" s="0" t="s">
        <v>571</v>
      </c>
      <c r="AD790" s="0" t="s">
        <v>5927</v>
      </c>
      <c r="AE790" s="0" t="s">
        <v>5928</v>
      </c>
      <c r="AF790" s="0" t="s">
        <v>301</v>
      </c>
      <c r="AM790" s="0" t="s">
        <v>2213</v>
      </c>
      <c r="AN790" s="0" t="s">
        <v>2213</v>
      </c>
      <c r="AO790" s="0" t="s">
        <v>2982</v>
      </c>
      <c r="AP790" s="0" t="s">
        <v>305</v>
      </c>
      <c r="AQ790" s="0" t="s">
        <v>6026</v>
      </c>
      <c r="AR790" s="0" t="s">
        <v>502</v>
      </c>
      <c r="AS790" s="0">
        <v>352</v>
      </c>
      <c r="AT790" s="0">
        <v>768</v>
      </c>
      <c r="AU790" s="0">
        <v>944</v>
      </c>
      <c r="AV790" s="0" t="s">
        <v>308</v>
      </c>
      <c r="AX790" s="0" t="s">
        <v>926</v>
      </c>
      <c r="AY790" s="0" t="s">
        <v>500</v>
      </c>
      <c r="AZ790" s="0" t="s">
        <v>1473</v>
      </c>
      <c r="BA790" s="0">
        <v>515</v>
      </c>
      <c r="BB790" s="0" t="s">
        <v>232</v>
      </c>
      <c r="BC790" s="0">
        <v>2</v>
      </c>
      <c r="BD790" s="0">
        <v>374043</v>
      </c>
      <c r="BE790" s="0">
        <v>305</v>
      </c>
      <c r="BF790" s="0">
        <v>5</v>
      </c>
      <c r="BG790" s="0" t="s">
        <v>6034</v>
      </c>
      <c r="BI790" s="0">
        <v>3101</v>
      </c>
      <c r="BK790" s="0" t="s">
        <v>6035</v>
      </c>
    </row>
    <row r="791">
      <c r="A791" s="0">
        <v>5503</v>
      </c>
      <c r="B791" s="0" t="s">
        <v>6036</v>
      </c>
      <c r="C791" s="0" t="s">
        <v>315</v>
      </c>
      <c r="D791" s="0" t="s">
        <v>5921</v>
      </c>
      <c r="E791" s="0" t="s">
        <v>6037</v>
      </c>
      <c r="F791" s="0">
        <v>1</v>
      </c>
      <c r="G791" s="0" t="s">
        <v>319</v>
      </c>
      <c r="H791" s="0" t="s">
        <v>483</v>
      </c>
      <c r="I791" s="0" t="s">
        <v>6029</v>
      </c>
      <c r="K791" s="0" t="s">
        <v>400</v>
      </c>
      <c r="P791" s="0" t="s">
        <v>343</v>
      </c>
      <c r="Q791" s="0" t="s">
        <v>343</v>
      </c>
      <c r="U791" s="0" t="s">
        <v>6038</v>
      </c>
      <c r="X791" s="0" t="s">
        <v>298</v>
      </c>
      <c r="Y791" s="0" t="s">
        <v>60</v>
      </c>
      <c r="Z791" s="0" t="s">
        <v>5926</v>
      </c>
      <c r="AA791" s="0" t="s">
        <v>140</v>
      </c>
      <c r="AB791" s="0" t="s">
        <v>531</v>
      </c>
      <c r="AC791" s="0" t="s">
        <v>571</v>
      </c>
      <c r="AD791" s="0" t="s">
        <v>5927</v>
      </c>
      <c r="AE791" s="0" t="s">
        <v>5928</v>
      </c>
      <c r="AF791" s="0" t="s">
        <v>301</v>
      </c>
      <c r="AM791" s="0" t="s">
        <v>2749</v>
      </c>
      <c r="AN791" s="0" t="s">
        <v>504</v>
      </c>
      <c r="AO791" s="0" t="s">
        <v>683</v>
      </c>
      <c r="AP791" s="0" t="s">
        <v>305</v>
      </c>
      <c r="AQ791" s="0" t="s">
        <v>1149</v>
      </c>
      <c r="AR791" s="0" t="s">
        <v>3568</v>
      </c>
      <c r="AS791" s="0">
        <v>500</v>
      </c>
      <c r="AT791" s="0">
        <v>1020</v>
      </c>
      <c r="AU791" s="0">
        <v>1530</v>
      </c>
      <c r="AV791" s="0" t="s">
        <v>818</v>
      </c>
      <c r="AX791" s="0" t="s">
        <v>2940</v>
      </c>
      <c r="AY791" s="0" t="s">
        <v>422</v>
      </c>
      <c r="AZ791" s="0" t="s">
        <v>836</v>
      </c>
      <c r="BA791" s="0">
        <v>515</v>
      </c>
      <c r="BB791" s="0" t="s">
        <v>232</v>
      </c>
      <c r="BC791" s="0">
        <v>2</v>
      </c>
      <c r="BD791" s="0">
        <v>374043</v>
      </c>
      <c r="BE791" s="0">
        <v>305</v>
      </c>
      <c r="BF791" s="0">
        <v>5</v>
      </c>
      <c r="BG791" s="0" t="s">
        <v>6039</v>
      </c>
      <c r="BI791" s="0">
        <v>3252</v>
      </c>
      <c r="BK791" s="0" t="s">
        <v>6040</v>
      </c>
    </row>
    <row r="792">
      <c r="A792" s="0">
        <v>5501</v>
      </c>
      <c r="B792" s="0" t="s">
        <v>6036</v>
      </c>
      <c r="C792" s="0" t="s">
        <v>315</v>
      </c>
      <c r="D792" s="0" t="s">
        <v>5921</v>
      </c>
      <c r="E792" s="0" t="s">
        <v>6037</v>
      </c>
      <c r="F792" s="0">
        <v>1</v>
      </c>
      <c r="G792" s="0" t="s">
        <v>319</v>
      </c>
      <c r="H792" s="0" t="s">
        <v>483</v>
      </c>
      <c r="I792" s="0" t="s">
        <v>3050</v>
      </c>
      <c r="K792" s="0" t="s">
        <v>400</v>
      </c>
      <c r="P792" s="0" t="s">
        <v>343</v>
      </c>
      <c r="Q792" s="0" t="s">
        <v>343</v>
      </c>
      <c r="U792" s="0" t="s">
        <v>6041</v>
      </c>
      <c r="X792" s="0" t="s">
        <v>298</v>
      </c>
      <c r="Y792" s="0" t="s">
        <v>60</v>
      </c>
      <c r="Z792" s="0" t="s">
        <v>5926</v>
      </c>
      <c r="AA792" s="0" t="s">
        <v>140</v>
      </c>
      <c r="AB792" s="0" t="s">
        <v>531</v>
      </c>
      <c r="AC792" s="0" t="s">
        <v>571</v>
      </c>
      <c r="AD792" s="0" t="s">
        <v>5927</v>
      </c>
      <c r="AE792" s="0" t="s">
        <v>5928</v>
      </c>
      <c r="AF792" s="0" t="s">
        <v>301</v>
      </c>
      <c r="AP792" s="0" t="s">
        <v>305</v>
      </c>
      <c r="BA792" s="0">
        <v>515</v>
      </c>
      <c r="BB792" s="0" t="s">
        <v>232</v>
      </c>
      <c r="BC792" s="0">
        <v>2</v>
      </c>
      <c r="BD792" s="0">
        <v>374043</v>
      </c>
      <c r="BE792" s="0">
        <v>305</v>
      </c>
      <c r="BF792" s="0">
        <v>5</v>
      </c>
      <c r="BG792" s="0" t="s">
        <v>6042</v>
      </c>
      <c r="BI792" s="0">
        <v>2936</v>
      </c>
      <c r="BK792" s="0" t="s">
        <v>6043</v>
      </c>
    </row>
    <row r="793">
      <c r="A793" s="0">
        <v>5499</v>
      </c>
      <c r="B793" s="0" t="s">
        <v>6036</v>
      </c>
      <c r="C793" s="0" t="s">
        <v>315</v>
      </c>
      <c r="D793" s="0" t="s">
        <v>5921</v>
      </c>
      <c r="E793" s="0" t="s">
        <v>6037</v>
      </c>
      <c r="F793" s="0">
        <v>1</v>
      </c>
      <c r="G793" s="0" t="s">
        <v>319</v>
      </c>
      <c r="H793" s="0" t="s">
        <v>483</v>
      </c>
      <c r="I793" s="0" t="s">
        <v>1204</v>
      </c>
      <c r="K793" s="0" t="s">
        <v>400</v>
      </c>
      <c r="P793" s="0" t="s">
        <v>343</v>
      </c>
      <c r="Q793" s="0" t="s">
        <v>343</v>
      </c>
      <c r="U793" s="0" t="s">
        <v>6044</v>
      </c>
      <c r="X793" s="0" t="s">
        <v>298</v>
      </c>
      <c r="Y793" s="0" t="s">
        <v>60</v>
      </c>
      <c r="Z793" s="0" t="s">
        <v>5926</v>
      </c>
      <c r="AA793" s="0" t="s">
        <v>140</v>
      </c>
      <c r="AB793" s="0" t="s">
        <v>531</v>
      </c>
      <c r="AC793" s="0" t="s">
        <v>571</v>
      </c>
      <c r="AD793" s="0" t="s">
        <v>5927</v>
      </c>
      <c r="AE793" s="0" t="s">
        <v>5928</v>
      </c>
      <c r="AF793" s="0" t="s">
        <v>301</v>
      </c>
      <c r="AM793" s="0" t="s">
        <v>2749</v>
      </c>
      <c r="AN793" s="0" t="s">
        <v>504</v>
      </c>
      <c r="AO793" s="0" t="s">
        <v>683</v>
      </c>
      <c r="AP793" s="0" t="s">
        <v>305</v>
      </c>
      <c r="AQ793" s="0" t="s">
        <v>4094</v>
      </c>
      <c r="AR793" s="0" t="s">
        <v>3568</v>
      </c>
      <c r="AS793" s="0">
        <v>500</v>
      </c>
      <c r="AT793" s="0">
        <v>1020</v>
      </c>
      <c r="AU793" s="0">
        <v>1530</v>
      </c>
      <c r="AV793" s="0" t="s">
        <v>818</v>
      </c>
      <c r="AX793" s="0" t="s">
        <v>2940</v>
      </c>
      <c r="AY793" s="0" t="s">
        <v>422</v>
      </c>
      <c r="AZ793" s="0" t="s">
        <v>836</v>
      </c>
      <c r="BA793" s="0">
        <v>515</v>
      </c>
      <c r="BB793" s="0" t="s">
        <v>232</v>
      </c>
      <c r="BC793" s="0">
        <v>2</v>
      </c>
      <c r="BD793" s="0">
        <v>374043</v>
      </c>
      <c r="BE793" s="0">
        <v>305</v>
      </c>
      <c r="BF793" s="0">
        <v>5</v>
      </c>
      <c r="BG793" s="0" t="s">
        <v>6045</v>
      </c>
      <c r="BI793" s="0">
        <v>2585</v>
      </c>
      <c r="BK793" s="0" t="s">
        <v>6046</v>
      </c>
    </row>
    <row r="794">
      <c r="A794" s="0">
        <v>5496</v>
      </c>
      <c r="B794" s="0" t="s">
        <v>6047</v>
      </c>
      <c r="C794" s="0" t="s">
        <v>945</v>
      </c>
      <c r="D794" s="0" t="s">
        <v>5921</v>
      </c>
      <c r="E794" s="0" t="s">
        <v>6048</v>
      </c>
      <c r="F794" s="0">
        <v>1</v>
      </c>
      <c r="G794" s="0" t="s">
        <v>319</v>
      </c>
      <c r="H794" s="0" t="s">
        <v>3121</v>
      </c>
      <c r="I794" s="0" t="s">
        <v>1284</v>
      </c>
      <c r="J794" s="0" t="s">
        <v>594</v>
      </c>
      <c r="P794" s="0" t="s">
        <v>323</v>
      </c>
      <c r="Q794" s="0" t="s">
        <v>323</v>
      </c>
      <c r="R794" s="0" t="s">
        <v>1620</v>
      </c>
      <c r="U794" s="0" t="s">
        <v>6049</v>
      </c>
      <c r="X794" s="0" t="s">
        <v>298</v>
      </c>
      <c r="Y794" s="0" t="s">
        <v>60</v>
      </c>
      <c r="Z794" s="0" t="s">
        <v>5926</v>
      </c>
      <c r="AA794" s="0" t="s">
        <v>140</v>
      </c>
      <c r="AB794" s="0" t="s">
        <v>531</v>
      </c>
      <c r="AC794" s="0" t="s">
        <v>571</v>
      </c>
      <c r="AD794" s="0" t="s">
        <v>5927</v>
      </c>
      <c r="AE794" s="0" t="s">
        <v>5928</v>
      </c>
      <c r="AF794" s="0" t="s">
        <v>301</v>
      </c>
      <c r="AM794" s="0" t="s">
        <v>6050</v>
      </c>
      <c r="AN794" s="0" t="s">
        <v>6051</v>
      </c>
      <c r="AO794" s="0" t="s">
        <v>6052</v>
      </c>
      <c r="AP794" s="0" t="s">
        <v>305</v>
      </c>
      <c r="AS794" s="0">
        <v>24</v>
      </c>
      <c r="AT794" s="0">
        <v>48</v>
      </c>
      <c r="AU794" s="0">
        <v>48</v>
      </c>
      <c r="AV794" s="0" t="s">
        <v>308</v>
      </c>
      <c r="AW794" s="0" t="s">
        <v>332</v>
      </c>
      <c r="AX794" s="0" t="s">
        <v>2940</v>
      </c>
      <c r="AY794" s="0" t="s">
        <v>575</v>
      </c>
      <c r="AZ794" s="0" t="s">
        <v>855</v>
      </c>
      <c r="BA794" s="0">
        <v>515</v>
      </c>
      <c r="BB794" s="0" t="s">
        <v>232</v>
      </c>
      <c r="BC794" s="0">
        <v>2</v>
      </c>
      <c r="BD794" s="0">
        <v>14</v>
      </c>
      <c r="BE794" s="0">
        <v>305</v>
      </c>
      <c r="BF794" s="0">
        <v>5</v>
      </c>
      <c r="BG794" s="0" t="s">
        <v>6053</v>
      </c>
      <c r="BI794" s="0">
        <v>1944</v>
      </c>
      <c r="BK794" s="0" t="s">
        <v>6054</v>
      </c>
    </row>
    <row r="795">
      <c r="A795" s="0">
        <v>5493</v>
      </c>
      <c r="B795" s="0" t="s">
        <v>6055</v>
      </c>
      <c r="C795" s="0" t="s">
        <v>1855</v>
      </c>
      <c r="D795" s="0" t="s">
        <v>5921</v>
      </c>
      <c r="E795" s="0" t="s">
        <v>6056</v>
      </c>
      <c r="F795" s="0">
        <v>1</v>
      </c>
      <c r="G795" s="0" t="s">
        <v>293</v>
      </c>
      <c r="H795" s="0" t="s">
        <v>294</v>
      </c>
      <c r="I795" s="0" t="s">
        <v>295</v>
      </c>
      <c r="K795" s="0" t="s">
        <v>400</v>
      </c>
      <c r="L795" s="0" t="s">
        <v>1133</v>
      </c>
      <c r="P795" s="0" t="s">
        <v>343</v>
      </c>
      <c r="Q795" s="0" t="s">
        <v>343</v>
      </c>
      <c r="U795" s="0" t="s">
        <v>6057</v>
      </c>
      <c r="X795" s="0" t="s">
        <v>298</v>
      </c>
      <c r="Y795" s="0" t="s">
        <v>60</v>
      </c>
      <c r="Z795" s="0" t="s">
        <v>5926</v>
      </c>
      <c r="AA795" s="0" t="s">
        <v>140</v>
      </c>
      <c r="AB795" s="0" t="s">
        <v>531</v>
      </c>
      <c r="AC795" s="0" t="s">
        <v>571</v>
      </c>
      <c r="AD795" s="0" t="s">
        <v>5927</v>
      </c>
      <c r="AE795" s="0" t="s">
        <v>5928</v>
      </c>
      <c r="AF795" s="0" t="s">
        <v>301</v>
      </c>
      <c r="AM795" s="0" t="s">
        <v>746</v>
      </c>
      <c r="AN795" s="0" t="s">
        <v>442</v>
      </c>
      <c r="AO795" s="0" t="s">
        <v>2213</v>
      </c>
      <c r="AP795" s="0" t="s">
        <v>305</v>
      </c>
      <c r="AQ795" s="0" t="s">
        <v>489</v>
      </c>
      <c r="AR795" s="0" t="s">
        <v>1763</v>
      </c>
      <c r="AS795" s="0">
        <v>291</v>
      </c>
      <c r="AT795" s="0">
        <v>595</v>
      </c>
      <c r="AU795" s="0">
        <v>700</v>
      </c>
      <c r="AV795" s="0" t="s">
        <v>332</v>
      </c>
      <c r="AW795" s="0" t="s">
        <v>332</v>
      </c>
      <c r="AX795" s="0" t="s">
        <v>1425</v>
      </c>
      <c r="AY795" s="0" t="s">
        <v>883</v>
      </c>
      <c r="AZ795" s="0" t="s">
        <v>763</v>
      </c>
      <c r="BA795" s="0">
        <v>515</v>
      </c>
      <c r="BB795" s="0" t="s">
        <v>232</v>
      </c>
      <c r="BC795" s="0">
        <v>2</v>
      </c>
      <c r="BD795" s="0">
        <v>28</v>
      </c>
      <c r="BE795" s="0">
        <v>305</v>
      </c>
      <c r="BF795" s="0">
        <v>5</v>
      </c>
      <c r="BG795" s="0" t="s">
        <v>6058</v>
      </c>
      <c r="BI795" s="0">
        <v>1131</v>
      </c>
      <c r="BK795" s="0" t="s">
        <v>6059</v>
      </c>
    </row>
    <row r="796">
      <c r="A796" s="0">
        <v>5492</v>
      </c>
      <c r="B796" s="0" t="s">
        <v>6060</v>
      </c>
      <c r="C796" s="0" t="s">
        <v>1855</v>
      </c>
      <c r="D796" s="0" t="s">
        <v>5921</v>
      </c>
      <c r="E796" s="0" t="s">
        <v>6061</v>
      </c>
      <c r="F796" s="0">
        <v>1</v>
      </c>
      <c r="G796" s="0" t="s">
        <v>293</v>
      </c>
      <c r="H796" s="0" t="s">
        <v>294</v>
      </c>
      <c r="I796" s="0" t="s">
        <v>295</v>
      </c>
      <c r="K796" s="0" t="s">
        <v>400</v>
      </c>
      <c r="L796" s="0" t="s">
        <v>1133</v>
      </c>
      <c r="P796" s="0" t="s">
        <v>343</v>
      </c>
      <c r="Q796" s="0" t="s">
        <v>343</v>
      </c>
      <c r="U796" s="0" t="s">
        <v>6062</v>
      </c>
      <c r="X796" s="0" t="s">
        <v>298</v>
      </c>
      <c r="Y796" s="0" t="s">
        <v>60</v>
      </c>
      <c r="Z796" s="0" t="s">
        <v>5926</v>
      </c>
      <c r="AA796" s="0" t="s">
        <v>140</v>
      </c>
      <c r="AB796" s="0" t="s">
        <v>531</v>
      </c>
      <c r="AC796" s="0" t="s">
        <v>571</v>
      </c>
      <c r="AD796" s="0" t="s">
        <v>5927</v>
      </c>
      <c r="AE796" s="0" t="s">
        <v>5928</v>
      </c>
      <c r="AF796" s="0" t="s">
        <v>301</v>
      </c>
      <c r="AM796" s="0" t="s">
        <v>746</v>
      </c>
      <c r="AN796" s="0" t="s">
        <v>350</v>
      </c>
      <c r="AO796" s="0" t="s">
        <v>816</v>
      </c>
      <c r="AP796" s="0" t="s">
        <v>305</v>
      </c>
      <c r="AQ796" s="0" t="s">
        <v>1300</v>
      </c>
      <c r="AR796" s="0" t="s">
        <v>1105</v>
      </c>
      <c r="AS796" s="0">
        <v>122</v>
      </c>
      <c r="AT796" s="0">
        <v>248</v>
      </c>
      <c r="AU796" s="0">
        <v>272</v>
      </c>
      <c r="AV796" s="0" t="s">
        <v>332</v>
      </c>
      <c r="AW796" s="0" t="s">
        <v>332</v>
      </c>
      <c r="AX796" s="0" t="s">
        <v>1425</v>
      </c>
      <c r="AY796" s="0" t="s">
        <v>883</v>
      </c>
      <c r="AZ796" s="0" t="s">
        <v>461</v>
      </c>
      <c r="BA796" s="0">
        <v>515</v>
      </c>
      <c r="BB796" s="0" t="s">
        <v>232</v>
      </c>
      <c r="BC796" s="0">
        <v>2</v>
      </c>
      <c r="BD796" s="0">
        <v>28</v>
      </c>
      <c r="BE796" s="0">
        <v>305</v>
      </c>
      <c r="BF796" s="0">
        <v>5</v>
      </c>
      <c r="BG796" s="0" t="s">
        <v>6063</v>
      </c>
      <c r="BI796" s="0">
        <v>801</v>
      </c>
      <c r="BK796" s="0" t="s">
        <v>6064</v>
      </c>
    </row>
    <row r="797">
      <c r="A797" s="0">
        <v>5494</v>
      </c>
      <c r="B797" s="0" t="s">
        <v>6065</v>
      </c>
      <c r="C797" s="0" t="s">
        <v>1855</v>
      </c>
      <c r="D797" s="0" t="s">
        <v>5921</v>
      </c>
      <c r="E797" s="0" t="s">
        <v>6066</v>
      </c>
      <c r="F797" s="0">
        <v>2</v>
      </c>
      <c r="G797" s="0" t="s">
        <v>293</v>
      </c>
      <c r="H797" s="0" t="s">
        <v>294</v>
      </c>
      <c r="I797" s="0" t="s">
        <v>295</v>
      </c>
      <c r="K797" s="0" t="s">
        <v>400</v>
      </c>
      <c r="L797" s="0" t="s">
        <v>1133</v>
      </c>
      <c r="P797" s="0" t="s">
        <v>343</v>
      </c>
      <c r="Q797" s="0" t="s">
        <v>343</v>
      </c>
      <c r="U797" s="0" t="s">
        <v>6067</v>
      </c>
      <c r="X797" s="0" t="s">
        <v>298</v>
      </c>
      <c r="Y797" s="0" t="s">
        <v>60</v>
      </c>
      <c r="Z797" s="0" t="s">
        <v>5926</v>
      </c>
      <c r="AA797" s="0" t="s">
        <v>140</v>
      </c>
      <c r="AB797" s="0" t="s">
        <v>531</v>
      </c>
      <c r="AC797" s="0" t="s">
        <v>571</v>
      </c>
      <c r="AD797" s="0" t="s">
        <v>5927</v>
      </c>
      <c r="AE797" s="0" t="s">
        <v>5928</v>
      </c>
      <c r="AF797" s="0" t="s">
        <v>301</v>
      </c>
      <c r="AM797" s="0" t="s">
        <v>372</v>
      </c>
      <c r="AN797" s="0" t="s">
        <v>924</v>
      </c>
      <c r="AO797" s="0" t="s">
        <v>1320</v>
      </c>
      <c r="AP797" s="0" t="s">
        <v>305</v>
      </c>
      <c r="AQ797" s="0" t="s">
        <v>1077</v>
      </c>
      <c r="AR797" s="0" t="s">
        <v>515</v>
      </c>
      <c r="AS797" s="0">
        <v>144</v>
      </c>
      <c r="AT797" s="0">
        <v>288</v>
      </c>
      <c r="AU797" s="0">
        <v>308</v>
      </c>
      <c r="AV797" s="0" t="s">
        <v>308</v>
      </c>
      <c r="AW797" s="0" t="s">
        <v>332</v>
      </c>
      <c r="AX797" s="0" t="s">
        <v>391</v>
      </c>
      <c r="AY797" s="0" t="s">
        <v>517</v>
      </c>
      <c r="AZ797" s="0" t="s">
        <v>573</v>
      </c>
      <c r="BA797" s="0">
        <v>515</v>
      </c>
      <c r="BB797" s="0" t="s">
        <v>232</v>
      </c>
      <c r="BC797" s="0">
        <v>2</v>
      </c>
      <c r="BD797" s="0">
        <v>28</v>
      </c>
      <c r="BE797" s="0">
        <v>305</v>
      </c>
      <c r="BF797" s="0">
        <v>5</v>
      </c>
      <c r="BG797" s="0" t="s">
        <v>6068</v>
      </c>
      <c r="BI797" s="0">
        <v>1435</v>
      </c>
      <c r="BK797" s="0" t="s">
        <v>6069</v>
      </c>
    </row>
    <row r="798">
      <c r="A798" s="0">
        <v>5514</v>
      </c>
      <c r="B798" s="0" t="s">
        <v>6070</v>
      </c>
      <c r="C798" s="0" t="s">
        <v>315</v>
      </c>
      <c r="D798" s="0" t="s">
        <v>5921</v>
      </c>
      <c r="E798" s="0" t="s">
        <v>6071</v>
      </c>
      <c r="F798" s="0">
        <v>1</v>
      </c>
      <c r="G798" s="0" t="s">
        <v>293</v>
      </c>
      <c r="H798" s="0" t="s">
        <v>3113</v>
      </c>
      <c r="I798" s="0" t="s">
        <v>6072</v>
      </c>
      <c r="J798" s="0" t="s">
        <v>525</v>
      </c>
      <c r="K798" s="0" t="s">
        <v>508</v>
      </c>
      <c r="L798" s="0" t="s">
        <v>549</v>
      </c>
      <c r="P798" s="0" t="s">
        <v>343</v>
      </c>
      <c r="Q798" s="0" t="s">
        <v>343</v>
      </c>
      <c r="T798" s="0" t="s">
        <v>6073</v>
      </c>
      <c r="W798" s="0" t="s">
        <v>6074</v>
      </c>
      <c r="X798" s="0" t="s">
        <v>529</v>
      </c>
      <c r="Y798" s="0" t="s">
        <v>136</v>
      </c>
      <c r="Z798" s="0" t="s">
        <v>6075</v>
      </c>
      <c r="AA798" s="0" t="s">
        <v>135</v>
      </c>
      <c r="AB798" s="0" t="s">
        <v>531</v>
      </c>
      <c r="AD798" s="0" t="s">
        <v>6076</v>
      </c>
      <c r="AF798" s="0" t="s">
        <v>301</v>
      </c>
      <c r="AP798" s="0" t="s">
        <v>305</v>
      </c>
      <c r="BA798" s="0">
        <v>516</v>
      </c>
      <c r="BB798" s="0" t="s">
        <v>232</v>
      </c>
      <c r="BC798" s="0">
        <v>2</v>
      </c>
      <c r="BD798" s="0">
        <v>374043</v>
      </c>
      <c r="BE798" s="0">
        <v>514782</v>
      </c>
      <c r="BF798" s="0">
        <v>2</v>
      </c>
      <c r="BG798" s="0" t="s">
        <v>6077</v>
      </c>
      <c r="BI798" s="0">
        <v>401</v>
      </c>
      <c r="BK798" s="0" t="s">
        <v>6078</v>
      </c>
    </row>
    <row r="799">
      <c r="A799" s="0">
        <v>5518</v>
      </c>
      <c r="B799" s="0" t="s">
        <v>6079</v>
      </c>
      <c r="C799" s="0" t="s">
        <v>1855</v>
      </c>
      <c r="D799" s="0" t="s">
        <v>6080</v>
      </c>
      <c r="E799" s="0" t="s">
        <v>6081</v>
      </c>
      <c r="F799" s="0">
        <v>1</v>
      </c>
      <c r="G799" s="0" t="s">
        <v>400</v>
      </c>
      <c r="I799" s="0" t="s">
        <v>6082</v>
      </c>
      <c r="J799" s="0" t="s">
        <v>293</v>
      </c>
      <c r="K799" s="0" t="s">
        <v>294</v>
      </c>
      <c r="L799" s="0" t="s">
        <v>295</v>
      </c>
      <c r="U799" s="0" t="s">
        <v>6083</v>
      </c>
      <c r="X799" s="0" t="s">
        <v>529</v>
      </c>
      <c r="Y799" s="0" t="s">
        <v>146</v>
      </c>
      <c r="Z799" s="0" t="s">
        <v>853</v>
      </c>
      <c r="AA799" s="0" t="s">
        <v>147</v>
      </c>
      <c r="AB799" s="0" t="s">
        <v>531</v>
      </c>
      <c r="AE799" s="0" t="s">
        <v>6084</v>
      </c>
      <c r="AF799" s="0" t="s">
        <v>301</v>
      </c>
      <c r="AP799" s="0" t="s">
        <v>305</v>
      </c>
      <c r="BA799" s="0">
        <v>518</v>
      </c>
      <c r="BB799" s="0" t="s">
        <v>232</v>
      </c>
      <c r="BC799" s="0">
        <v>2</v>
      </c>
      <c r="BD799" s="0">
        <v>28</v>
      </c>
      <c r="BE799" s="0">
        <v>58728</v>
      </c>
      <c r="BF799" s="0">
        <v>2</v>
      </c>
      <c r="BG799" s="0" t="s">
        <v>6085</v>
      </c>
      <c r="BI799" s="0">
        <v>399</v>
      </c>
      <c r="BK799" s="0" t="s">
        <v>6086</v>
      </c>
    </row>
    <row r="800">
      <c r="A800" s="0">
        <v>5574</v>
      </c>
      <c r="B800" s="0" t="s">
        <v>6087</v>
      </c>
      <c r="C800" s="0" t="s">
        <v>339</v>
      </c>
      <c r="D800" s="0" t="s">
        <v>6088</v>
      </c>
      <c r="E800" s="0" t="s">
        <v>6089</v>
      </c>
      <c r="F800" s="0">
        <v>1</v>
      </c>
      <c r="G800" s="0" t="s">
        <v>319</v>
      </c>
      <c r="H800" s="0" t="s">
        <v>483</v>
      </c>
      <c r="I800" s="0" t="s">
        <v>549</v>
      </c>
      <c r="J800" s="0" t="s">
        <v>594</v>
      </c>
      <c r="K800" s="0" t="s">
        <v>1190</v>
      </c>
      <c r="L800" s="0" t="s">
        <v>417</v>
      </c>
      <c r="M800" s="0" t="s">
        <v>6090</v>
      </c>
      <c r="N800" s="0" t="s">
        <v>6091</v>
      </c>
      <c r="O800" s="0" t="s">
        <v>549</v>
      </c>
      <c r="P800" s="0" t="s">
        <v>323</v>
      </c>
      <c r="Q800" s="0" t="s">
        <v>343</v>
      </c>
      <c r="R800" s="0" t="s">
        <v>673</v>
      </c>
      <c r="T800" s="0" t="s">
        <v>6092</v>
      </c>
      <c r="U800" s="0" t="s">
        <v>6093</v>
      </c>
      <c r="W800" s="0" t="s">
        <v>6094</v>
      </c>
      <c r="X800" s="0" t="s">
        <v>347</v>
      </c>
      <c r="Y800" s="0" t="s">
        <v>89</v>
      </c>
      <c r="Z800" s="0" t="s">
        <v>6095</v>
      </c>
      <c r="AA800" s="0" t="s">
        <v>144</v>
      </c>
      <c r="AB800" s="0" t="s">
        <v>300</v>
      </c>
      <c r="AF800" s="0" t="s">
        <v>301</v>
      </c>
      <c r="AP800" s="0" t="s">
        <v>305</v>
      </c>
      <c r="BA800" s="0">
        <v>519</v>
      </c>
      <c r="BB800" s="0" t="s">
        <v>232</v>
      </c>
      <c r="BC800" s="0">
        <v>2</v>
      </c>
      <c r="BD800" s="0">
        <v>8</v>
      </c>
      <c r="BE800" s="0">
        <v>519537</v>
      </c>
      <c r="BF800" s="0">
        <v>4</v>
      </c>
      <c r="BG800" s="0" t="s">
        <v>6096</v>
      </c>
      <c r="BI800" s="0">
        <v>2764</v>
      </c>
      <c r="BK800" s="0" t="s">
        <v>6097</v>
      </c>
    </row>
    <row r="801">
      <c r="A801" s="0">
        <v>5580</v>
      </c>
      <c r="B801" s="0" t="s">
        <v>6098</v>
      </c>
      <c r="C801" s="0" t="s">
        <v>339</v>
      </c>
      <c r="D801" s="0" t="s">
        <v>6088</v>
      </c>
      <c r="E801" s="0" t="s">
        <v>6099</v>
      </c>
      <c r="F801" s="0">
        <v>1</v>
      </c>
      <c r="G801" s="0" t="s">
        <v>5600</v>
      </c>
      <c r="H801" s="0" t="s">
        <v>6100</v>
      </c>
      <c r="I801" s="0" t="s">
        <v>583</v>
      </c>
      <c r="J801" s="0" t="s">
        <v>594</v>
      </c>
      <c r="K801" s="0" t="s">
        <v>1190</v>
      </c>
      <c r="L801" s="0" t="s">
        <v>6101</v>
      </c>
      <c r="P801" s="0" t="s">
        <v>343</v>
      </c>
      <c r="Q801" s="0" t="s">
        <v>343</v>
      </c>
      <c r="T801" s="0" t="s">
        <v>6102</v>
      </c>
      <c r="U801" s="0" t="s">
        <v>6103</v>
      </c>
      <c r="W801" s="0" t="s">
        <v>6094</v>
      </c>
      <c r="X801" s="0" t="s">
        <v>347</v>
      </c>
      <c r="Y801" s="0" t="s">
        <v>89</v>
      </c>
      <c r="Z801" s="0" t="s">
        <v>6095</v>
      </c>
      <c r="AA801" s="0" t="s">
        <v>144</v>
      </c>
      <c r="AB801" s="0" t="s">
        <v>300</v>
      </c>
      <c r="AF801" s="0" t="s">
        <v>301</v>
      </c>
      <c r="AP801" s="0" t="s">
        <v>305</v>
      </c>
      <c r="BA801" s="0">
        <v>519</v>
      </c>
      <c r="BB801" s="0" t="s">
        <v>232</v>
      </c>
      <c r="BC801" s="0">
        <v>2</v>
      </c>
      <c r="BD801" s="0">
        <v>8</v>
      </c>
      <c r="BE801" s="0">
        <v>519537</v>
      </c>
      <c r="BF801" s="0">
        <v>4</v>
      </c>
      <c r="BG801" s="0" t="s">
        <v>6104</v>
      </c>
      <c r="BI801" s="0">
        <v>3389</v>
      </c>
      <c r="BK801" s="0" t="s">
        <v>6105</v>
      </c>
    </row>
    <row r="802">
      <c r="A802" s="0">
        <v>5573</v>
      </c>
      <c r="B802" s="0" t="s">
        <v>6106</v>
      </c>
      <c r="C802" s="0" t="s">
        <v>339</v>
      </c>
      <c r="D802" s="0" t="s">
        <v>6088</v>
      </c>
      <c r="E802" s="0" t="s">
        <v>6107</v>
      </c>
      <c r="F802" s="0">
        <v>1</v>
      </c>
      <c r="G802" s="0" t="s">
        <v>319</v>
      </c>
      <c r="H802" s="0" t="s">
        <v>483</v>
      </c>
      <c r="I802" s="0" t="s">
        <v>549</v>
      </c>
      <c r="J802" s="0" t="s">
        <v>594</v>
      </c>
      <c r="K802" s="0" t="s">
        <v>1190</v>
      </c>
      <c r="L802" s="0" t="s">
        <v>417</v>
      </c>
      <c r="M802" s="0" t="s">
        <v>319</v>
      </c>
      <c r="N802" s="0" t="s">
        <v>6108</v>
      </c>
      <c r="O802" s="0" t="s">
        <v>549</v>
      </c>
      <c r="P802" s="0" t="s">
        <v>323</v>
      </c>
      <c r="Q802" s="0" t="s">
        <v>343</v>
      </c>
      <c r="R802" s="0" t="s">
        <v>673</v>
      </c>
      <c r="T802" s="0" t="s">
        <v>6109</v>
      </c>
      <c r="U802" s="0" t="s">
        <v>6110</v>
      </c>
      <c r="W802" s="0" t="s">
        <v>6094</v>
      </c>
      <c r="X802" s="0" t="s">
        <v>347</v>
      </c>
      <c r="Y802" s="0" t="s">
        <v>89</v>
      </c>
      <c r="Z802" s="0" t="s">
        <v>6095</v>
      </c>
      <c r="AA802" s="0" t="s">
        <v>144</v>
      </c>
      <c r="AB802" s="0" t="s">
        <v>300</v>
      </c>
      <c r="AF802" s="0" t="s">
        <v>301</v>
      </c>
      <c r="AP802" s="0" t="s">
        <v>305</v>
      </c>
      <c r="BA802" s="0">
        <v>519</v>
      </c>
      <c r="BB802" s="0" t="s">
        <v>232</v>
      </c>
      <c r="BC802" s="0">
        <v>2</v>
      </c>
      <c r="BD802" s="0">
        <v>8</v>
      </c>
      <c r="BE802" s="0">
        <v>519537</v>
      </c>
      <c r="BF802" s="0">
        <v>4</v>
      </c>
      <c r="BG802" s="0" t="s">
        <v>6111</v>
      </c>
      <c r="BI802" s="0">
        <v>2586</v>
      </c>
      <c r="BK802" s="0" t="s">
        <v>6112</v>
      </c>
    </row>
    <row r="803">
      <c r="A803" s="0">
        <v>5572</v>
      </c>
      <c r="B803" s="0" t="s">
        <v>6113</v>
      </c>
      <c r="C803" s="0" t="s">
        <v>339</v>
      </c>
      <c r="D803" s="0" t="s">
        <v>6088</v>
      </c>
      <c r="E803" s="0" t="s">
        <v>6114</v>
      </c>
      <c r="F803" s="0">
        <v>1</v>
      </c>
      <c r="G803" s="0" t="s">
        <v>319</v>
      </c>
      <c r="H803" s="0" t="s">
        <v>483</v>
      </c>
      <c r="I803" s="0" t="s">
        <v>549</v>
      </c>
      <c r="J803" s="0" t="s">
        <v>594</v>
      </c>
      <c r="K803" s="0" t="s">
        <v>1190</v>
      </c>
      <c r="L803" s="0" t="s">
        <v>417</v>
      </c>
      <c r="M803" s="0" t="s">
        <v>319</v>
      </c>
      <c r="N803" s="0" t="s">
        <v>6108</v>
      </c>
      <c r="O803" s="0" t="s">
        <v>549</v>
      </c>
      <c r="P803" s="0" t="s">
        <v>323</v>
      </c>
      <c r="Q803" s="0" t="s">
        <v>343</v>
      </c>
      <c r="R803" s="0" t="s">
        <v>673</v>
      </c>
      <c r="T803" s="0" t="s">
        <v>6115</v>
      </c>
      <c r="U803" s="0" t="s">
        <v>6116</v>
      </c>
      <c r="W803" s="0" t="s">
        <v>6094</v>
      </c>
      <c r="X803" s="0" t="s">
        <v>347</v>
      </c>
      <c r="Y803" s="0" t="s">
        <v>89</v>
      </c>
      <c r="Z803" s="0" t="s">
        <v>6095</v>
      </c>
      <c r="AA803" s="0" t="s">
        <v>144</v>
      </c>
      <c r="AB803" s="0" t="s">
        <v>300</v>
      </c>
      <c r="AF803" s="0" t="s">
        <v>301</v>
      </c>
      <c r="AP803" s="0" t="s">
        <v>305</v>
      </c>
      <c r="BA803" s="0">
        <v>519</v>
      </c>
      <c r="BB803" s="0" t="s">
        <v>232</v>
      </c>
      <c r="BC803" s="0">
        <v>2</v>
      </c>
      <c r="BD803" s="0">
        <v>8</v>
      </c>
      <c r="BE803" s="0">
        <v>519537</v>
      </c>
      <c r="BF803" s="0">
        <v>4</v>
      </c>
      <c r="BG803" s="0" t="s">
        <v>6117</v>
      </c>
      <c r="BI803" s="0">
        <v>2391</v>
      </c>
      <c r="BK803" s="0" t="s">
        <v>6118</v>
      </c>
    </row>
    <row r="804">
      <c r="A804" s="0">
        <v>5577</v>
      </c>
      <c r="B804" s="0" t="s">
        <v>6119</v>
      </c>
      <c r="C804" s="0" t="s">
        <v>339</v>
      </c>
      <c r="D804" s="0" t="s">
        <v>6088</v>
      </c>
      <c r="E804" s="0" t="s">
        <v>6114</v>
      </c>
      <c r="F804" s="0">
        <v>1</v>
      </c>
      <c r="G804" s="0" t="s">
        <v>319</v>
      </c>
      <c r="H804" s="0" t="s">
        <v>483</v>
      </c>
      <c r="I804" s="0" t="s">
        <v>549</v>
      </c>
      <c r="J804" s="0" t="s">
        <v>400</v>
      </c>
      <c r="K804" s="0" t="s">
        <v>1190</v>
      </c>
      <c r="L804" s="0" t="s">
        <v>417</v>
      </c>
      <c r="M804" s="0" t="s">
        <v>6090</v>
      </c>
      <c r="N804" s="0" t="s">
        <v>6091</v>
      </c>
      <c r="O804" s="0" t="s">
        <v>549</v>
      </c>
      <c r="P804" s="0" t="s">
        <v>323</v>
      </c>
      <c r="Q804" s="0" t="s">
        <v>343</v>
      </c>
      <c r="R804" s="0" t="s">
        <v>673</v>
      </c>
      <c r="T804" s="0" t="s">
        <v>6120</v>
      </c>
      <c r="W804" s="0" t="s">
        <v>6094</v>
      </c>
      <c r="X804" s="0" t="s">
        <v>529</v>
      </c>
      <c r="Y804" s="0" t="s">
        <v>89</v>
      </c>
      <c r="Z804" s="0" t="s">
        <v>6095</v>
      </c>
      <c r="AA804" s="0" t="s">
        <v>144</v>
      </c>
      <c r="AB804" s="0" t="s">
        <v>300</v>
      </c>
      <c r="AF804" s="0" t="s">
        <v>301</v>
      </c>
      <c r="AP804" s="0" t="s">
        <v>305</v>
      </c>
      <c r="BA804" s="0">
        <v>519</v>
      </c>
      <c r="BB804" s="0" t="s">
        <v>232</v>
      </c>
      <c r="BC804" s="0">
        <v>2</v>
      </c>
      <c r="BD804" s="0">
        <v>8</v>
      </c>
      <c r="BE804" s="0">
        <v>519537</v>
      </c>
      <c r="BF804" s="0">
        <v>2</v>
      </c>
      <c r="BG804" s="0" t="s">
        <v>6121</v>
      </c>
      <c r="BI804" s="0">
        <v>2937</v>
      </c>
      <c r="BK804" s="0" t="s">
        <v>6122</v>
      </c>
    </row>
    <row r="805">
      <c r="A805" s="0">
        <v>5579</v>
      </c>
      <c r="B805" s="0" t="s">
        <v>6123</v>
      </c>
      <c r="C805" s="0" t="s">
        <v>339</v>
      </c>
      <c r="D805" s="0" t="s">
        <v>6088</v>
      </c>
      <c r="E805" s="0" t="s">
        <v>6124</v>
      </c>
      <c r="F805" s="0">
        <v>1</v>
      </c>
      <c r="G805" s="0" t="s">
        <v>5600</v>
      </c>
      <c r="H805" s="0" t="s">
        <v>6100</v>
      </c>
      <c r="I805" s="0" t="s">
        <v>583</v>
      </c>
      <c r="J805" s="0" t="s">
        <v>400</v>
      </c>
      <c r="K805" s="0" t="s">
        <v>1190</v>
      </c>
      <c r="L805" s="0" t="s">
        <v>417</v>
      </c>
      <c r="P805" s="0" t="s">
        <v>343</v>
      </c>
      <c r="Q805" s="0" t="s">
        <v>343</v>
      </c>
      <c r="T805" s="0" t="s">
        <v>6125</v>
      </c>
      <c r="W805" s="0" t="s">
        <v>6094</v>
      </c>
      <c r="X805" s="0" t="s">
        <v>529</v>
      </c>
      <c r="Y805" s="0" t="s">
        <v>89</v>
      </c>
      <c r="Z805" s="0" t="s">
        <v>6095</v>
      </c>
      <c r="AA805" s="0" t="s">
        <v>144</v>
      </c>
      <c r="AB805" s="0" t="s">
        <v>300</v>
      </c>
      <c r="AF805" s="0" t="s">
        <v>301</v>
      </c>
      <c r="AP805" s="0" t="s">
        <v>305</v>
      </c>
      <c r="BA805" s="0">
        <v>519</v>
      </c>
      <c r="BB805" s="0" t="s">
        <v>232</v>
      </c>
      <c r="BC805" s="0">
        <v>2</v>
      </c>
      <c r="BD805" s="0">
        <v>8</v>
      </c>
      <c r="BE805" s="0">
        <v>519537</v>
      </c>
      <c r="BF805" s="0">
        <v>2</v>
      </c>
      <c r="BG805" s="0" t="s">
        <v>6126</v>
      </c>
      <c r="BI805" s="0">
        <v>3253</v>
      </c>
      <c r="BK805" s="0" t="s">
        <v>6127</v>
      </c>
    </row>
    <row r="806">
      <c r="A806" s="0">
        <v>5578</v>
      </c>
      <c r="B806" s="0" t="s">
        <v>6128</v>
      </c>
      <c r="C806" s="0" t="s">
        <v>339</v>
      </c>
      <c r="D806" s="0" t="s">
        <v>6088</v>
      </c>
      <c r="E806" s="0" t="s">
        <v>6124</v>
      </c>
      <c r="F806" s="0">
        <v>1</v>
      </c>
      <c r="G806" s="0" t="s">
        <v>5600</v>
      </c>
      <c r="H806" s="0" t="s">
        <v>6100</v>
      </c>
      <c r="I806" s="0" t="s">
        <v>583</v>
      </c>
      <c r="J806" s="0" t="s">
        <v>594</v>
      </c>
      <c r="K806" s="0" t="s">
        <v>1190</v>
      </c>
      <c r="L806" s="0" t="s">
        <v>417</v>
      </c>
      <c r="P806" s="0" t="s">
        <v>343</v>
      </c>
      <c r="Q806" s="0" t="s">
        <v>343</v>
      </c>
      <c r="T806" s="0" t="s">
        <v>6129</v>
      </c>
      <c r="U806" s="0" t="s">
        <v>6130</v>
      </c>
      <c r="W806" s="0" t="s">
        <v>6094</v>
      </c>
      <c r="X806" s="0" t="s">
        <v>347</v>
      </c>
      <c r="Y806" s="0" t="s">
        <v>89</v>
      </c>
      <c r="Z806" s="0" t="s">
        <v>6095</v>
      </c>
      <c r="AA806" s="0" t="s">
        <v>144</v>
      </c>
      <c r="AB806" s="0" t="s">
        <v>300</v>
      </c>
      <c r="AF806" s="0" t="s">
        <v>301</v>
      </c>
      <c r="AP806" s="0" t="s">
        <v>305</v>
      </c>
      <c r="BA806" s="0">
        <v>519</v>
      </c>
      <c r="BB806" s="0" t="s">
        <v>232</v>
      </c>
      <c r="BC806" s="0">
        <v>2</v>
      </c>
      <c r="BD806" s="0">
        <v>8</v>
      </c>
      <c r="BE806" s="0">
        <v>519537</v>
      </c>
      <c r="BF806" s="0">
        <v>4</v>
      </c>
      <c r="BG806" s="0" t="s">
        <v>6131</v>
      </c>
      <c r="BI806" s="0">
        <v>3102</v>
      </c>
      <c r="BK806" s="0" t="s">
        <v>6132</v>
      </c>
    </row>
    <row r="807">
      <c r="A807" s="0">
        <v>5583</v>
      </c>
      <c r="B807" s="0" t="s">
        <v>6133</v>
      </c>
      <c r="C807" s="0" t="s">
        <v>339</v>
      </c>
      <c r="D807" s="0" t="s">
        <v>6088</v>
      </c>
      <c r="E807" s="0" t="s">
        <v>6134</v>
      </c>
      <c r="F807" s="0">
        <v>1</v>
      </c>
      <c r="G807" s="0" t="s">
        <v>319</v>
      </c>
      <c r="H807" s="0" t="s">
        <v>470</v>
      </c>
      <c r="I807" s="0" t="s">
        <v>471</v>
      </c>
      <c r="J807" s="0" t="s">
        <v>400</v>
      </c>
      <c r="K807" s="0" t="s">
        <v>1190</v>
      </c>
      <c r="L807" s="0" t="s">
        <v>549</v>
      </c>
      <c r="P807" s="0" t="s">
        <v>323</v>
      </c>
      <c r="Q807" s="0" t="s">
        <v>343</v>
      </c>
      <c r="R807" s="0" t="s">
        <v>673</v>
      </c>
      <c r="T807" s="0" t="s">
        <v>6135</v>
      </c>
      <c r="U807" s="0" t="s">
        <v>6136</v>
      </c>
      <c r="W807" s="0" t="s">
        <v>6094</v>
      </c>
      <c r="X807" s="0" t="s">
        <v>347</v>
      </c>
      <c r="Y807" s="0" t="s">
        <v>89</v>
      </c>
      <c r="Z807" s="0" t="s">
        <v>6095</v>
      </c>
      <c r="AA807" s="0" t="s">
        <v>144</v>
      </c>
      <c r="AB807" s="0" t="s">
        <v>300</v>
      </c>
      <c r="AF807" s="0" t="s">
        <v>301</v>
      </c>
      <c r="AP807" s="0" t="s">
        <v>305</v>
      </c>
      <c r="BA807" s="0">
        <v>519</v>
      </c>
      <c r="BB807" s="0" t="s">
        <v>232</v>
      </c>
      <c r="BC807" s="0">
        <v>2</v>
      </c>
      <c r="BD807" s="0">
        <v>8</v>
      </c>
      <c r="BE807" s="0">
        <v>519537</v>
      </c>
      <c r="BF807" s="0">
        <v>4</v>
      </c>
      <c r="BG807" s="0" t="s">
        <v>6137</v>
      </c>
      <c r="BI807" s="0">
        <v>3733</v>
      </c>
      <c r="BK807" s="0" t="s">
        <v>6138</v>
      </c>
    </row>
    <row r="808">
      <c r="A808" s="0">
        <v>5581</v>
      </c>
      <c r="B808" s="0" t="s">
        <v>6139</v>
      </c>
      <c r="C808" s="0" t="s">
        <v>339</v>
      </c>
      <c r="D808" s="0" t="s">
        <v>6088</v>
      </c>
      <c r="E808" s="0" t="s">
        <v>6140</v>
      </c>
      <c r="F808" s="0">
        <v>1</v>
      </c>
      <c r="G808" s="0" t="s">
        <v>319</v>
      </c>
      <c r="H808" s="0" t="s">
        <v>470</v>
      </c>
      <c r="I808" s="0" t="s">
        <v>471</v>
      </c>
      <c r="J808" s="0" t="s">
        <v>319</v>
      </c>
      <c r="K808" s="0" t="s">
        <v>658</v>
      </c>
      <c r="L808" s="0" t="s">
        <v>471</v>
      </c>
      <c r="M808" s="0" t="s">
        <v>400</v>
      </c>
      <c r="N808" s="0" t="s">
        <v>1190</v>
      </c>
      <c r="O808" s="0" t="s">
        <v>549</v>
      </c>
      <c r="P808" s="0" t="s">
        <v>323</v>
      </c>
      <c r="Q808" s="0" t="s">
        <v>343</v>
      </c>
      <c r="R808" s="0" t="s">
        <v>673</v>
      </c>
      <c r="T808" s="0" t="s">
        <v>6141</v>
      </c>
      <c r="U808" s="0" t="s">
        <v>6142</v>
      </c>
      <c r="W808" s="0" t="s">
        <v>6094</v>
      </c>
      <c r="X808" s="0" t="s">
        <v>347</v>
      </c>
      <c r="Y808" s="0" t="s">
        <v>89</v>
      </c>
      <c r="Z808" s="0" t="s">
        <v>6095</v>
      </c>
      <c r="AA808" s="0" t="s">
        <v>144</v>
      </c>
      <c r="AB808" s="0" t="s">
        <v>300</v>
      </c>
      <c r="AF808" s="0" t="s">
        <v>301</v>
      </c>
      <c r="AP808" s="0" t="s">
        <v>305</v>
      </c>
      <c r="BA808" s="0">
        <v>519</v>
      </c>
      <c r="BB808" s="0" t="s">
        <v>232</v>
      </c>
      <c r="BC808" s="0">
        <v>2</v>
      </c>
      <c r="BD808" s="0">
        <v>8</v>
      </c>
      <c r="BE808" s="0">
        <v>519537</v>
      </c>
      <c r="BF808" s="0">
        <v>4</v>
      </c>
      <c r="BG808" s="0" t="s">
        <v>6143</v>
      </c>
      <c r="BI808" s="0">
        <v>3511</v>
      </c>
      <c r="BK808" s="0" t="s">
        <v>6144</v>
      </c>
    </row>
    <row r="809">
      <c r="A809" s="0">
        <v>5582</v>
      </c>
      <c r="B809" s="0" t="s">
        <v>6145</v>
      </c>
      <c r="C809" s="0" t="s">
        <v>339</v>
      </c>
      <c r="D809" s="0" t="s">
        <v>6088</v>
      </c>
      <c r="E809" s="0" t="s">
        <v>6146</v>
      </c>
      <c r="F809" s="0">
        <v>1</v>
      </c>
      <c r="G809" s="0" t="s">
        <v>319</v>
      </c>
      <c r="H809" s="0" t="s">
        <v>470</v>
      </c>
      <c r="I809" s="0" t="s">
        <v>471</v>
      </c>
      <c r="J809" s="0" t="s">
        <v>319</v>
      </c>
      <c r="K809" s="0" t="s">
        <v>658</v>
      </c>
      <c r="L809" s="0" t="s">
        <v>471</v>
      </c>
      <c r="M809" s="0" t="s">
        <v>400</v>
      </c>
      <c r="N809" s="0" t="s">
        <v>1190</v>
      </c>
      <c r="O809" s="0" t="s">
        <v>6147</v>
      </c>
      <c r="P809" s="0" t="s">
        <v>323</v>
      </c>
      <c r="Q809" s="0" t="s">
        <v>323</v>
      </c>
      <c r="R809" s="0" t="s">
        <v>673</v>
      </c>
      <c r="T809" s="0" t="s">
        <v>6148</v>
      </c>
      <c r="U809" s="0" t="s">
        <v>6149</v>
      </c>
      <c r="W809" s="0" t="s">
        <v>6094</v>
      </c>
      <c r="X809" s="0" t="s">
        <v>347</v>
      </c>
      <c r="Y809" s="0" t="s">
        <v>89</v>
      </c>
      <c r="Z809" s="0" t="s">
        <v>6095</v>
      </c>
      <c r="AA809" s="0" t="s">
        <v>144</v>
      </c>
      <c r="AB809" s="0" t="s">
        <v>300</v>
      </c>
      <c r="AF809" s="0" t="s">
        <v>301</v>
      </c>
      <c r="AP809" s="0" t="s">
        <v>305</v>
      </c>
      <c r="BA809" s="0">
        <v>519</v>
      </c>
      <c r="BB809" s="0" t="s">
        <v>232</v>
      </c>
      <c r="BC809" s="0">
        <v>2</v>
      </c>
      <c r="BD809" s="0">
        <v>8</v>
      </c>
      <c r="BE809" s="0">
        <v>519537</v>
      </c>
      <c r="BF809" s="0">
        <v>4</v>
      </c>
      <c r="BG809" s="0" t="s">
        <v>6150</v>
      </c>
      <c r="BI809" s="0">
        <v>3627</v>
      </c>
      <c r="BK809" s="0" t="s">
        <v>6151</v>
      </c>
    </row>
    <row r="810">
      <c r="A810" s="0">
        <v>5585</v>
      </c>
      <c r="B810" s="0" t="s">
        <v>6152</v>
      </c>
      <c r="C810" s="0" t="s">
        <v>339</v>
      </c>
      <c r="D810" s="0" t="s">
        <v>6088</v>
      </c>
      <c r="E810" s="0" t="s">
        <v>6153</v>
      </c>
      <c r="F810" s="0">
        <v>1</v>
      </c>
      <c r="G810" s="0" t="s">
        <v>319</v>
      </c>
      <c r="H810" s="0" t="s">
        <v>470</v>
      </c>
      <c r="I810" s="0" t="s">
        <v>471</v>
      </c>
      <c r="J810" s="0" t="s">
        <v>319</v>
      </c>
      <c r="K810" s="0" t="s">
        <v>658</v>
      </c>
      <c r="L810" s="0" t="s">
        <v>471</v>
      </c>
      <c r="M810" s="0" t="s">
        <v>400</v>
      </c>
      <c r="N810" s="0" t="s">
        <v>1190</v>
      </c>
      <c r="O810" s="0" t="s">
        <v>6147</v>
      </c>
      <c r="P810" s="0" t="s">
        <v>323</v>
      </c>
      <c r="Q810" s="0" t="s">
        <v>323</v>
      </c>
      <c r="R810" s="0" t="s">
        <v>673</v>
      </c>
      <c r="T810" s="0" t="s">
        <v>6154</v>
      </c>
      <c r="U810" s="0" t="s">
        <v>6155</v>
      </c>
      <c r="W810" s="0" t="s">
        <v>6094</v>
      </c>
      <c r="X810" s="0" t="s">
        <v>347</v>
      </c>
      <c r="Y810" s="0" t="s">
        <v>89</v>
      </c>
      <c r="Z810" s="0" t="s">
        <v>6095</v>
      </c>
      <c r="AA810" s="0" t="s">
        <v>144</v>
      </c>
      <c r="AB810" s="0" t="s">
        <v>300</v>
      </c>
      <c r="AF810" s="0" t="s">
        <v>301</v>
      </c>
      <c r="AP810" s="0" t="s">
        <v>305</v>
      </c>
      <c r="BA810" s="0">
        <v>519</v>
      </c>
      <c r="BB810" s="0" t="s">
        <v>232</v>
      </c>
      <c r="BC810" s="0">
        <v>2</v>
      </c>
      <c r="BD810" s="0">
        <v>8</v>
      </c>
      <c r="BE810" s="0">
        <v>519537</v>
      </c>
      <c r="BF810" s="0">
        <v>4</v>
      </c>
      <c r="BG810" s="0" t="s">
        <v>6156</v>
      </c>
      <c r="BI810" s="0">
        <v>3920</v>
      </c>
      <c r="BK810" s="0" t="s">
        <v>6157</v>
      </c>
    </row>
    <row r="811">
      <c r="A811" s="0">
        <v>5584</v>
      </c>
      <c r="B811" s="0" t="s">
        <v>6158</v>
      </c>
      <c r="C811" s="0" t="s">
        <v>339</v>
      </c>
      <c r="D811" s="0" t="s">
        <v>6088</v>
      </c>
      <c r="E811" s="0" t="s">
        <v>6159</v>
      </c>
      <c r="F811" s="0">
        <v>1</v>
      </c>
      <c r="G811" s="0" t="s">
        <v>319</v>
      </c>
      <c r="H811" s="0" t="s">
        <v>470</v>
      </c>
      <c r="I811" s="0" t="s">
        <v>471</v>
      </c>
      <c r="J811" s="0" t="s">
        <v>400</v>
      </c>
      <c r="K811" s="0" t="s">
        <v>1190</v>
      </c>
      <c r="L811" s="0" t="s">
        <v>6147</v>
      </c>
      <c r="P811" s="0" t="s">
        <v>323</v>
      </c>
      <c r="Q811" s="0" t="s">
        <v>343</v>
      </c>
      <c r="R811" s="0" t="s">
        <v>673</v>
      </c>
      <c r="T811" s="0" t="s">
        <v>6160</v>
      </c>
      <c r="U811" s="0" t="s">
        <v>6161</v>
      </c>
      <c r="W811" s="0" t="s">
        <v>6094</v>
      </c>
      <c r="X811" s="0" t="s">
        <v>347</v>
      </c>
      <c r="Y811" s="0" t="s">
        <v>89</v>
      </c>
      <c r="Z811" s="0" t="s">
        <v>6095</v>
      </c>
      <c r="AA811" s="0" t="s">
        <v>144</v>
      </c>
      <c r="AB811" s="0" t="s">
        <v>300</v>
      </c>
      <c r="AF811" s="0" t="s">
        <v>301</v>
      </c>
      <c r="AP811" s="0" t="s">
        <v>305</v>
      </c>
      <c r="BA811" s="0">
        <v>519</v>
      </c>
      <c r="BB811" s="0" t="s">
        <v>232</v>
      </c>
      <c r="BC811" s="0">
        <v>2</v>
      </c>
      <c r="BD811" s="0">
        <v>8</v>
      </c>
      <c r="BE811" s="0">
        <v>519537</v>
      </c>
      <c r="BF811" s="0">
        <v>4</v>
      </c>
      <c r="BG811" s="0" t="s">
        <v>6162</v>
      </c>
      <c r="BI811" s="0">
        <v>3831</v>
      </c>
      <c r="BK811" s="0" t="s">
        <v>6163</v>
      </c>
    </row>
    <row r="812">
      <c r="A812" s="0">
        <v>5533</v>
      </c>
      <c r="B812" s="0" t="s">
        <v>6164</v>
      </c>
      <c r="C812" s="0" t="s">
        <v>945</v>
      </c>
      <c r="D812" s="0" t="s">
        <v>6088</v>
      </c>
      <c r="E812" s="0" t="s">
        <v>6165</v>
      </c>
      <c r="F812" s="0">
        <v>1</v>
      </c>
      <c r="G812" s="0" t="s">
        <v>319</v>
      </c>
      <c r="H812" s="0" t="s">
        <v>470</v>
      </c>
      <c r="I812" s="0" t="s">
        <v>524</v>
      </c>
      <c r="J812" s="0" t="s">
        <v>319</v>
      </c>
      <c r="K812" s="0" t="s">
        <v>658</v>
      </c>
      <c r="L812" s="0" t="s">
        <v>524</v>
      </c>
      <c r="M812" s="0" t="s">
        <v>594</v>
      </c>
      <c r="N812" s="0" t="s">
        <v>508</v>
      </c>
      <c r="O812" s="0" t="s">
        <v>1133</v>
      </c>
      <c r="P812" s="0" t="s">
        <v>323</v>
      </c>
      <c r="Q812" s="0" t="s">
        <v>343</v>
      </c>
      <c r="R812" s="0" t="s">
        <v>661</v>
      </c>
      <c r="T812" s="0" t="s">
        <v>6166</v>
      </c>
      <c r="U812" s="0" t="s">
        <v>6167</v>
      </c>
      <c r="W812" s="0" t="s">
        <v>6094</v>
      </c>
      <c r="X812" s="0" t="s">
        <v>347</v>
      </c>
      <c r="Y812" s="0" t="s">
        <v>89</v>
      </c>
      <c r="Z812" s="0" t="s">
        <v>6095</v>
      </c>
      <c r="AA812" s="0" t="s">
        <v>144</v>
      </c>
      <c r="AB812" s="0" t="s">
        <v>300</v>
      </c>
      <c r="AF812" s="0" t="s">
        <v>301</v>
      </c>
      <c r="AM812" s="0" t="s">
        <v>500</v>
      </c>
      <c r="AN812" s="0" t="s">
        <v>6168</v>
      </c>
      <c r="AO812" s="0" t="s">
        <v>487</v>
      </c>
      <c r="AP812" s="0" t="s">
        <v>305</v>
      </c>
      <c r="AQ812" s="0" t="s">
        <v>1077</v>
      </c>
      <c r="AR812" s="0" t="s">
        <v>1182</v>
      </c>
      <c r="AS812" s="0">
        <v>76</v>
      </c>
      <c r="AT812" s="0">
        <v>164</v>
      </c>
      <c r="AU812" s="0">
        <v>192</v>
      </c>
      <c r="AV812" s="0" t="s">
        <v>332</v>
      </c>
      <c r="AX812" s="0" t="s">
        <v>504</v>
      </c>
      <c r="AY812" s="0" t="s">
        <v>5935</v>
      </c>
      <c r="AZ812" s="0" t="s">
        <v>1473</v>
      </c>
      <c r="BA812" s="0">
        <v>519</v>
      </c>
      <c r="BB812" s="0" t="s">
        <v>232</v>
      </c>
      <c r="BC812" s="0">
        <v>2</v>
      </c>
      <c r="BD812" s="0">
        <v>14</v>
      </c>
      <c r="BE812" s="0">
        <v>519537</v>
      </c>
      <c r="BF812" s="0">
        <v>4</v>
      </c>
      <c r="BG812" s="0" t="s">
        <v>6169</v>
      </c>
      <c r="BI812" s="0">
        <v>2177</v>
      </c>
      <c r="BK812" s="0" t="s">
        <v>6170</v>
      </c>
    </row>
    <row r="813">
      <c r="A813" s="0">
        <v>5528</v>
      </c>
      <c r="B813" s="0" t="s">
        <v>6171</v>
      </c>
      <c r="C813" s="0" t="s">
        <v>945</v>
      </c>
      <c r="D813" s="0" t="s">
        <v>6088</v>
      </c>
      <c r="E813" s="0" t="s">
        <v>6172</v>
      </c>
      <c r="F813" s="0">
        <v>1</v>
      </c>
      <c r="G813" s="0" t="s">
        <v>319</v>
      </c>
      <c r="H813" s="0" t="s">
        <v>470</v>
      </c>
      <c r="I813" s="0" t="s">
        <v>524</v>
      </c>
      <c r="J813" s="0" t="s">
        <v>319</v>
      </c>
      <c r="K813" s="0" t="s">
        <v>658</v>
      </c>
      <c r="L813" s="0" t="s">
        <v>524</v>
      </c>
      <c r="M813" s="0" t="s">
        <v>594</v>
      </c>
      <c r="N813" s="0" t="s">
        <v>508</v>
      </c>
      <c r="O813" s="0" t="s">
        <v>1133</v>
      </c>
      <c r="P813" s="0" t="s">
        <v>323</v>
      </c>
      <c r="Q813" s="0" t="s">
        <v>343</v>
      </c>
      <c r="R813" s="0" t="s">
        <v>661</v>
      </c>
      <c r="T813" s="0" t="s">
        <v>6173</v>
      </c>
      <c r="U813" s="0" t="s">
        <v>6174</v>
      </c>
      <c r="W813" s="0" t="s">
        <v>6094</v>
      </c>
      <c r="X813" s="0" t="s">
        <v>347</v>
      </c>
      <c r="Y813" s="0" t="s">
        <v>89</v>
      </c>
      <c r="Z813" s="0" t="s">
        <v>6095</v>
      </c>
      <c r="AA813" s="0" t="s">
        <v>144</v>
      </c>
      <c r="AB813" s="0" t="s">
        <v>300</v>
      </c>
      <c r="AF813" s="0" t="s">
        <v>301</v>
      </c>
      <c r="AM813" s="0" t="s">
        <v>3367</v>
      </c>
      <c r="AN813" s="0" t="s">
        <v>6175</v>
      </c>
      <c r="AO813" s="0" t="s">
        <v>487</v>
      </c>
      <c r="AP813" s="0" t="s">
        <v>305</v>
      </c>
      <c r="AS813" s="0">
        <v>160</v>
      </c>
      <c r="AT813" s="0">
        <v>336</v>
      </c>
      <c r="AU813" s="0">
        <v>420</v>
      </c>
      <c r="AV813" s="0" t="s">
        <v>332</v>
      </c>
      <c r="AX813" s="0" t="s">
        <v>517</v>
      </c>
      <c r="AY813" s="0" t="s">
        <v>303</v>
      </c>
      <c r="AZ813" s="0" t="s">
        <v>1473</v>
      </c>
      <c r="BA813" s="0">
        <v>519</v>
      </c>
      <c r="BB813" s="0" t="s">
        <v>232</v>
      </c>
      <c r="BC813" s="0">
        <v>2</v>
      </c>
      <c r="BD813" s="0">
        <v>14</v>
      </c>
      <c r="BE813" s="0">
        <v>519537</v>
      </c>
      <c r="BF813" s="0">
        <v>4</v>
      </c>
      <c r="BG813" s="0" t="s">
        <v>6176</v>
      </c>
      <c r="BI813" s="0">
        <v>1132</v>
      </c>
      <c r="BK813" s="0" t="s">
        <v>6177</v>
      </c>
    </row>
    <row r="814">
      <c r="A814" s="0">
        <v>5532</v>
      </c>
      <c r="B814" s="0" t="s">
        <v>6178</v>
      </c>
      <c r="C814" s="0" t="s">
        <v>945</v>
      </c>
      <c r="D814" s="0" t="s">
        <v>6088</v>
      </c>
      <c r="E814" s="0" t="s">
        <v>6179</v>
      </c>
      <c r="F814" s="0">
        <v>1</v>
      </c>
      <c r="G814" s="0" t="s">
        <v>319</v>
      </c>
      <c r="H814" s="0" t="s">
        <v>470</v>
      </c>
      <c r="I814" s="0" t="s">
        <v>524</v>
      </c>
      <c r="J814" s="0" t="s">
        <v>594</v>
      </c>
      <c r="K814" s="0" t="s">
        <v>508</v>
      </c>
      <c r="L814" s="0" t="s">
        <v>1133</v>
      </c>
      <c r="M814" s="0" t="s">
        <v>2487</v>
      </c>
      <c r="N814" s="0" t="s">
        <v>6180</v>
      </c>
      <c r="O814" s="0" t="s">
        <v>6181</v>
      </c>
      <c r="P814" s="0" t="s">
        <v>343</v>
      </c>
      <c r="Q814" s="0" t="s">
        <v>343</v>
      </c>
      <c r="T814" s="0" t="s">
        <v>6182</v>
      </c>
      <c r="U814" s="0" t="s">
        <v>6183</v>
      </c>
      <c r="W814" s="0" t="s">
        <v>6094</v>
      </c>
      <c r="X814" s="0" t="s">
        <v>347</v>
      </c>
      <c r="Y814" s="0" t="s">
        <v>89</v>
      </c>
      <c r="Z814" s="0" t="s">
        <v>6095</v>
      </c>
      <c r="AA814" s="0" t="s">
        <v>144</v>
      </c>
      <c r="AB814" s="0" t="s">
        <v>300</v>
      </c>
      <c r="AF814" s="0" t="s">
        <v>301</v>
      </c>
      <c r="AM814" s="0" t="s">
        <v>6184</v>
      </c>
      <c r="AN814" s="0" t="s">
        <v>517</v>
      </c>
      <c r="AO814" s="0" t="s">
        <v>1482</v>
      </c>
      <c r="AP814" s="0" t="s">
        <v>305</v>
      </c>
      <c r="AQ814" s="0" t="s">
        <v>502</v>
      </c>
      <c r="AR814" s="0" t="s">
        <v>1012</v>
      </c>
      <c r="AS814" s="0">
        <v>120</v>
      </c>
      <c r="AT814" s="0">
        <v>264</v>
      </c>
      <c r="AU814" s="0">
        <v>308</v>
      </c>
      <c r="AV814" s="0" t="s">
        <v>332</v>
      </c>
      <c r="AX814" s="0" t="s">
        <v>6185</v>
      </c>
      <c r="AY814" s="0" t="s">
        <v>504</v>
      </c>
      <c r="AZ814" s="0" t="s">
        <v>2740</v>
      </c>
      <c r="BA814" s="0">
        <v>519</v>
      </c>
      <c r="BB814" s="0" t="s">
        <v>232</v>
      </c>
      <c r="BC814" s="0">
        <v>2</v>
      </c>
      <c r="BD814" s="0">
        <v>14</v>
      </c>
      <c r="BE814" s="0">
        <v>519537</v>
      </c>
      <c r="BF814" s="0">
        <v>4</v>
      </c>
      <c r="BG814" s="0" t="s">
        <v>6186</v>
      </c>
      <c r="BI814" s="0">
        <v>1436</v>
      </c>
      <c r="BK814" s="0" t="s">
        <v>6187</v>
      </c>
    </row>
    <row r="815">
      <c r="A815" s="0">
        <v>5527</v>
      </c>
      <c r="B815" s="0" t="s">
        <v>6188</v>
      </c>
      <c r="C815" s="0" t="s">
        <v>945</v>
      </c>
      <c r="D815" s="0" t="s">
        <v>6088</v>
      </c>
      <c r="E815" s="0" t="s">
        <v>6189</v>
      </c>
      <c r="F815" s="0">
        <v>1</v>
      </c>
      <c r="G815" s="0" t="s">
        <v>319</v>
      </c>
      <c r="H815" s="0" t="s">
        <v>658</v>
      </c>
      <c r="I815" s="0" t="s">
        <v>524</v>
      </c>
      <c r="J815" s="0" t="s">
        <v>319</v>
      </c>
      <c r="K815" s="0" t="s">
        <v>470</v>
      </c>
      <c r="L815" s="0" t="s">
        <v>524</v>
      </c>
      <c r="M815" s="0" t="s">
        <v>594</v>
      </c>
      <c r="N815" s="0" t="s">
        <v>508</v>
      </c>
      <c r="O815" s="0" t="s">
        <v>1133</v>
      </c>
      <c r="P815" s="0" t="s">
        <v>343</v>
      </c>
      <c r="Q815" s="0" t="s">
        <v>343</v>
      </c>
      <c r="T815" s="0" t="s">
        <v>6190</v>
      </c>
      <c r="U815" s="0" t="s">
        <v>6191</v>
      </c>
      <c r="W815" s="0" t="s">
        <v>6094</v>
      </c>
      <c r="X815" s="0" t="s">
        <v>347</v>
      </c>
      <c r="Y815" s="0" t="s">
        <v>89</v>
      </c>
      <c r="Z815" s="0" t="s">
        <v>6095</v>
      </c>
      <c r="AA815" s="0" t="s">
        <v>144</v>
      </c>
      <c r="AB815" s="0" t="s">
        <v>300</v>
      </c>
      <c r="AF815" s="0" t="s">
        <v>301</v>
      </c>
      <c r="AM815" s="0" t="s">
        <v>780</v>
      </c>
      <c r="AN815" s="0" t="s">
        <v>1990</v>
      </c>
      <c r="AO815" s="0" t="s">
        <v>739</v>
      </c>
      <c r="AP815" s="0" t="s">
        <v>305</v>
      </c>
      <c r="AQ815" s="0" t="s">
        <v>2983</v>
      </c>
      <c r="AR815" s="0" t="s">
        <v>1149</v>
      </c>
      <c r="AS815" s="0">
        <v>92</v>
      </c>
      <c r="AT815" s="0">
        <v>198</v>
      </c>
      <c r="AU815" s="0">
        <v>226</v>
      </c>
      <c r="AV815" s="0" t="s">
        <v>332</v>
      </c>
      <c r="AX815" s="0" t="s">
        <v>309</v>
      </c>
      <c r="AY815" s="0" t="s">
        <v>1096</v>
      </c>
      <c r="AZ815" s="0" t="s">
        <v>353</v>
      </c>
      <c r="BA815" s="0">
        <v>519</v>
      </c>
      <c r="BB815" s="0" t="s">
        <v>232</v>
      </c>
      <c r="BC815" s="0">
        <v>2</v>
      </c>
      <c r="BD815" s="0">
        <v>14</v>
      </c>
      <c r="BE815" s="0">
        <v>519537</v>
      </c>
      <c r="BF815" s="0">
        <v>4</v>
      </c>
      <c r="BG815" s="0" t="s">
        <v>6192</v>
      </c>
      <c r="BI815" s="0">
        <v>802</v>
      </c>
      <c r="BK815" s="0" t="s">
        <v>6193</v>
      </c>
    </row>
    <row r="816">
      <c r="A816" s="0">
        <v>5586</v>
      </c>
      <c r="B816" s="0" t="s">
        <v>6194</v>
      </c>
      <c r="C816" s="0" t="s">
        <v>945</v>
      </c>
      <c r="D816" s="0" t="s">
        <v>6088</v>
      </c>
      <c r="E816" s="0" t="s">
        <v>6189</v>
      </c>
      <c r="F816" s="0">
        <v>1</v>
      </c>
      <c r="G816" s="0" t="s">
        <v>319</v>
      </c>
      <c r="H816" s="0" t="s">
        <v>470</v>
      </c>
      <c r="I816" s="0" t="s">
        <v>524</v>
      </c>
      <c r="J816" s="0" t="s">
        <v>319</v>
      </c>
      <c r="K816" s="0" t="s">
        <v>658</v>
      </c>
      <c r="L816" s="0" t="s">
        <v>524</v>
      </c>
      <c r="M816" s="0" t="s">
        <v>400</v>
      </c>
      <c r="N816" s="0" t="s">
        <v>1190</v>
      </c>
      <c r="O816" s="0" t="s">
        <v>469</v>
      </c>
      <c r="P816" s="0" t="s">
        <v>343</v>
      </c>
      <c r="Q816" s="0" t="s">
        <v>343</v>
      </c>
      <c r="T816" s="0" t="s">
        <v>6195</v>
      </c>
      <c r="W816" s="0" t="s">
        <v>6094</v>
      </c>
      <c r="X816" s="0" t="s">
        <v>529</v>
      </c>
      <c r="Y816" s="0" t="s">
        <v>89</v>
      </c>
      <c r="Z816" s="0" t="s">
        <v>6095</v>
      </c>
      <c r="AA816" s="0" t="s">
        <v>144</v>
      </c>
      <c r="AB816" s="0" t="s">
        <v>300</v>
      </c>
      <c r="AF816" s="0" t="s">
        <v>301</v>
      </c>
      <c r="AP816" s="0" t="s">
        <v>305</v>
      </c>
      <c r="BA816" s="0">
        <v>519</v>
      </c>
      <c r="BB816" s="0" t="s">
        <v>232</v>
      </c>
      <c r="BC816" s="0">
        <v>2</v>
      </c>
      <c r="BD816" s="0">
        <v>14</v>
      </c>
      <c r="BE816" s="0">
        <v>519537</v>
      </c>
      <c r="BF816" s="0">
        <v>2</v>
      </c>
      <c r="BG816" s="0" t="s">
        <v>6196</v>
      </c>
      <c r="BI816" s="0">
        <v>4007</v>
      </c>
      <c r="BK816" s="0" t="s">
        <v>6197</v>
      </c>
    </row>
    <row r="817">
      <c r="A817" s="0">
        <v>5529</v>
      </c>
      <c r="B817" s="0" t="s">
        <v>6198</v>
      </c>
      <c r="C817" s="0" t="s">
        <v>945</v>
      </c>
      <c r="D817" s="0" t="s">
        <v>6088</v>
      </c>
      <c r="E817" s="0" t="s">
        <v>6199</v>
      </c>
      <c r="F817" s="0">
        <v>1</v>
      </c>
      <c r="G817" s="0" t="s">
        <v>319</v>
      </c>
      <c r="H817" s="0" t="s">
        <v>470</v>
      </c>
      <c r="I817" s="0" t="s">
        <v>524</v>
      </c>
      <c r="J817" s="0" t="s">
        <v>319</v>
      </c>
      <c r="K817" s="0" t="s">
        <v>658</v>
      </c>
      <c r="L817" s="0" t="s">
        <v>524</v>
      </c>
      <c r="M817" s="0" t="s">
        <v>594</v>
      </c>
      <c r="N817" s="0" t="s">
        <v>508</v>
      </c>
      <c r="O817" s="0" t="s">
        <v>1133</v>
      </c>
      <c r="P817" s="0" t="s">
        <v>323</v>
      </c>
      <c r="Q817" s="0" t="s">
        <v>343</v>
      </c>
      <c r="R817" s="0" t="s">
        <v>661</v>
      </c>
      <c r="T817" s="0" t="s">
        <v>6200</v>
      </c>
      <c r="U817" s="0" t="s">
        <v>6201</v>
      </c>
      <c r="W817" s="0" t="s">
        <v>6094</v>
      </c>
      <c r="X817" s="0" t="s">
        <v>347</v>
      </c>
      <c r="Y817" s="0" t="s">
        <v>89</v>
      </c>
      <c r="Z817" s="0" t="s">
        <v>6095</v>
      </c>
      <c r="AA817" s="0" t="s">
        <v>144</v>
      </c>
      <c r="AB817" s="0" t="s">
        <v>300</v>
      </c>
      <c r="AF817" s="0" t="s">
        <v>301</v>
      </c>
      <c r="AM817" s="0" t="s">
        <v>964</v>
      </c>
      <c r="AN817" s="0" t="s">
        <v>367</v>
      </c>
      <c r="AO817" s="0" t="s">
        <v>781</v>
      </c>
      <c r="AP817" s="0" t="s">
        <v>305</v>
      </c>
      <c r="AQ817" s="0" t="s">
        <v>1850</v>
      </c>
      <c r="AR817" s="0" t="s">
        <v>502</v>
      </c>
      <c r="AS817" s="0">
        <v>72</v>
      </c>
      <c r="AT817" s="0">
        <v>153</v>
      </c>
      <c r="AU817" s="0">
        <v>153</v>
      </c>
      <c r="AV817" s="0" t="s">
        <v>332</v>
      </c>
      <c r="AX817" s="0" t="s">
        <v>608</v>
      </c>
      <c r="AY817" s="0" t="s">
        <v>816</v>
      </c>
      <c r="AZ817" s="0" t="s">
        <v>611</v>
      </c>
      <c r="BA817" s="0">
        <v>519</v>
      </c>
      <c r="BB817" s="0" t="s">
        <v>232</v>
      </c>
      <c r="BC817" s="0">
        <v>2</v>
      </c>
      <c r="BD817" s="0">
        <v>14</v>
      </c>
      <c r="BE817" s="0">
        <v>519537</v>
      </c>
      <c r="BF817" s="0">
        <v>4</v>
      </c>
      <c r="BG817" s="0" t="s">
        <v>6202</v>
      </c>
      <c r="BI817" s="0">
        <v>1702</v>
      </c>
      <c r="BK817" s="0" t="s">
        <v>6203</v>
      </c>
    </row>
    <row r="818">
      <c r="A818" s="0">
        <v>5530</v>
      </c>
      <c r="B818" s="0" t="s">
        <v>6204</v>
      </c>
      <c r="C818" s="0" t="s">
        <v>945</v>
      </c>
      <c r="D818" s="0" t="s">
        <v>6088</v>
      </c>
      <c r="E818" s="0" t="s">
        <v>6205</v>
      </c>
      <c r="F818" s="0">
        <v>1</v>
      </c>
      <c r="G818" s="0" t="s">
        <v>319</v>
      </c>
      <c r="H818" s="0" t="s">
        <v>470</v>
      </c>
      <c r="I818" s="0" t="s">
        <v>524</v>
      </c>
      <c r="J818" s="0" t="s">
        <v>319</v>
      </c>
      <c r="K818" s="0" t="s">
        <v>658</v>
      </c>
      <c r="L818" s="0" t="s">
        <v>524</v>
      </c>
      <c r="M818" s="0" t="s">
        <v>594</v>
      </c>
      <c r="N818" s="0" t="s">
        <v>508</v>
      </c>
      <c r="O818" s="0" t="s">
        <v>1133</v>
      </c>
      <c r="P818" s="0" t="s">
        <v>323</v>
      </c>
      <c r="Q818" s="0" t="s">
        <v>343</v>
      </c>
      <c r="R818" s="0" t="s">
        <v>661</v>
      </c>
      <c r="T818" s="0" t="s">
        <v>6173</v>
      </c>
      <c r="U818" s="0" t="s">
        <v>6206</v>
      </c>
      <c r="W818" s="0" t="s">
        <v>6094</v>
      </c>
      <c r="X818" s="0" t="s">
        <v>347</v>
      </c>
      <c r="Y818" s="0" t="s">
        <v>89</v>
      </c>
      <c r="Z818" s="0" t="s">
        <v>6095</v>
      </c>
      <c r="AA818" s="0" t="s">
        <v>144</v>
      </c>
      <c r="AB818" s="0" t="s">
        <v>300</v>
      </c>
      <c r="AF818" s="0" t="s">
        <v>301</v>
      </c>
      <c r="AM818" s="0" t="s">
        <v>487</v>
      </c>
      <c r="AN818" s="0" t="s">
        <v>6018</v>
      </c>
      <c r="AO818" s="0" t="s">
        <v>611</v>
      </c>
      <c r="AP818" s="0" t="s">
        <v>305</v>
      </c>
      <c r="AQ818" s="0" t="s">
        <v>502</v>
      </c>
      <c r="AR818" s="0" t="s">
        <v>883</v>
      </c>
      <c r="AS818" s="0">
        <v>41</v>
      </c>
      <c r="AT818" s="0">
        <v>86</v>
      </c>
      <c r="AU818" s="0">
        <v>100</v>
      </c>
      <c r="AV818" s="0" t="s">
        <v>332</v>
      </c>
      <c r="AX818" s="0" t="s">
        <v>739</v>
      </c>
      <c r="AY818" s="0" t="s">
        <v>2734</v>
      </c>
      <c r="AZ818" s="0" t="s">
        <v>303</v>
      </c>
      <c r="BA818" s="0">
        <v>519</v>
      </c>
      <c r="BB818" s="0" t="s">
        <v>232</v>
      </c>
      <c r="BC818" s="0">
        <v>2</v>
      </c>
      <c r="BD818" s="0">
        <v>14</v>
      </c>
      <c r="BE818" s="0">
        <v>519537</v>
      </c>
      <c r="BF818" s="0">
        <v>4</v>
      </c>
      <c r="BG818" s="0" t="s">
        <v>6207</v>
      </c>
      <c r="BI818" s="0">
        <v>1945</v>
      </c>
      <c r="BK818" s="0" t="s">
        <v>6208</v>
      </c>
    </row>
    <row r="819">
      <c r="A819" s="0">
        <v>5531</v>
      </c>
      <c r="B819" s="0" t="s">
        <v>6209</v>
      </c>
      <c r="C819" s="0" t="s">
        <v>945</v>
      </c>
      <c r="D819" s="0" t="s">
        <v>6088</v>
      </c>
      <c r="E819" s="0" t="s">
        <v>6210</v>
      </c>
      <c r="F819" s="0">
        <v>1</v>
      </c>
      <c r="G819" s="0" t="s">
        <v>319</v>
      </c>
      <c r="H819" s="0" t="s">
        <v>470</v>
      </c>
      <c r="I819" s="0" t="s">
        <v>524</v>
      </c>
      <c r="J819" s="0" t="s">
        <v>594</v>
      </c>
      <c r="K819" s="0" t="s">
        <v>508</v>
      </c>
      <c r="L819" s="0" t="s">
        <v>1133</v>
      </c>
      <c r="M819" s="0" t="s">
        <v>2487</v>
      </c>
      <c r="N819" s="0" t="s">
        <v>6180</v>
      </c>
      <c r="O819" s="0" t="s">
        <v>6181</v>
      </c>
      <c r="P819" s="0" t="s">
        <v>343</v>
      </c>
      <c r="Q819" s="0" t="s">
        <v>343</v>
      </c>
      <c r="T819" s="0" t="s">
        <v>6182</v>
      </c>
      <c r="U819" s="0" t="s">
        <v>6211</v>
      </c>
      <c r="W819" s="0" t="s">
        <v>6094</v>
      </c>
      <c r="X819" s="0" t="s">
        <v>347</v>
      </c>
      <c r="Y819" s="0" t="s">
        <v>89</v>
      </c>
      <c r="Z819" s="0" t="s">
        <v>6095</v>
      </c>
      <c r="AA819" s="0" t="s">
        <v>144</v>
      </c>
      <c r="AB819" s="0" t="s">
        <v>300</v>
      </c>
      <c r="AF819" s="0" t="s">
        <v>301</v>
      </c>
      <c r="AM819" s="0" t="s">
        <v>599</v>
      </c>
      <c r="AN819" s="0" t="s">
        <v>599</v>
      </c>
      <c r="AO819" s="0" t="s">
        <v>627</v>
      </c>
      <c r="AP819" s="0" t="s">
        <v>305</v>
      </c>
      <c r="AQ819" s="0" t="s">
        <v>883</v>
      </c>
      <c r="AR819" s="0" t="s">
        <v>515</v>
      </c>
      <c r="AS819" s="0">
        <v>282</v>
      </c>
      <c r="AT819" s="0">
        <v>586</v>
      </c>
      <c r="AU819" s="0">
        <v>656</v>
      </c>
      <c r="AX819" s="0" t="s">
        <v>501</v>
      </c>
      <c r="AY819" s="0" t="s">
        <v>501</v>
      </c>
      <c r="AZ819" s="0" t="s">
        <v>1182</v>
      </c>
      <c r="BA819" s="0">
        <v>519</v>
      </c>
      <c r="BB819" s="0" t="s">
        <v>232</v>
      </c>
      <c r="BC819" s="0">
        <v>2</v>
      </c>
      <c r="BD819" s="0">
        <v>14</v>
      </c>
      <c r="BE819" s="0">
        <v>519537</v>
      </c>
      <c r="BF819" s="0">
        <v>4</v>
      </c>
      <c r="BG819" s="0" t="s">
        <v>6212</v>
      </c>
      <c r="BI819" s="0">
        <v>403</v>
      </c>
      <c r="BK819" s="0" t="s">
        <v>6213</v>
      </c>
    </row>
    <row r="820">
      <c r="A820" s="0">
        <v>5589</v>
      </c>
      <c r="B820" s="0" t="s">
        <v>6214</v>
      </c>
      <c r="C820" s="0" t="s">
        <v>315</v>
      </c>
      <c r="D820" s="0" t="s">
        <v>6088</v>
      </c>
      <c r="E820" s="0" t="s">
        <v>6215</v>
      </c>
      <c r="F820" s="0">
        <v>1</v>
      </c>
      <c r="G820" s="0" t="s">
        <v>293</v>
      </c>
      <c r="H820" s="0" t="s">
        <v>294</v>
      </c>
      <c r="I820" s="0" t="s">
        <v>322</v>
      </c>
      <c r="J820" s="0" t="s">
        <v>594</v>
      </c>
      <c r="K820" s="0" t="s">
        <v>1190</v>
      </c>
      <c r="L820" s="0" t="s">
        <v>549</v>
      </c>
      <c r="P820" s="0" t="s">
        <v>323</v>
      </c>
      <c r="Q820" s="0" t="s">
        <v>323</v>
      </c>
      <c r="R820" s="0" t="s">
        <v>673</v>
      </c>
      <c r="T820" s="0" t="s">
        <v>6216</v>
      </c>
      <c r="U820" s="0" t="s">
        <v>6217</v>
      </c>
      <c r="W820" s="0" t="s">
        <v>6094</v>
      </c>
      <c r="X820" s="0" t="s">
        <v>347</v>
      </c>
      <c r="Y820" s="0" t="s">
        <v>89</v>
      </c>
      <c r="Z820" s="0" t="s">
        <v>6095</v>
      </c>
      <c r="AA820" s="0" t="s">
        <v>144</v>
      </c>
      <c r="AB820" s="0" t="s">
        <v>300</v>
      </c>
      <c r="AF820" s="0" t="s">
        <v>301</v>
      </c>
      <c r="AP820" s="0" t="s">
        <v>305</v>
      </c>
      <c r="BA820" s="0">
        <v>519</v>
      </c>
      <c r="BB820" s="0" t="s">
        <v>232</v>
      </c>
      <c r="BC820" s="0">
        <v>2</v>
      </c>
      <c r="BD820" s="0">
        <v>374043</v>
      </c>
      <c r="BE820" s="0">
        <v>519537</v>
      </c>
      <c r="BF820" s="0">
        <v>4</v>
      </c>
      <c r="BG820" s="0" t="s">
        <v>6218</v>
      </c>
      <c r="BI820" s="0">
        <v>4229</v>
      </c>
      <c r="BK820" s="0" t="s">
        <v>6219</v>
      </c>
    </row>
    <row r="821">
      <c r="A821" s="0">
        <v>5587</v>
      </c>
      <c r="B821" s="0" t="s">
        <v>6220</v>
      </c>
      <c r="C821" s="0" t="s">
        <v>315</v>
      </c>
      <c r="D821" s="0" t="s">
        <v>6088</v>
      </c>
      <c r="E821" s="0" t="s">
        <v>6221</v>
      </c>
      <c r="F821" s="0">
        <v>2</v>
      </c>
      <c r="G821" s="0" t="s">
        <v>594</v>
      </c>
      <c r="H821" s="0" t="s">
        <v>1190</v>
      </c>
      <c r="I821" s="0" t="s">
        <v>549</v>
      </c>
      <c r="J821" s="0" t="s">
        <v>294</v>
      </c>
      <c r="L821" s="0" t="s">
        <v>295</v>
      </c>
      <c r="M821" s="0" t="s">
        <v>496</v>
      </c>
      <c r="P821" s="0" t="s">
        <v>323</v>
      </c>
      <c r="Q821" s="0" t="s">
        <v>343</v>
      </c>
      <c r="R821" s="0" t="s">
        <v>673</v>
      </c>
      <c r="T821" s="0" t="s">
        <v>6222</v>
      </c>
      <c r="U821" s="0" t="s">
        <v>6223</v>
      </c>
      <c r="W821" s="0" t="s">
        <v>6094</v>
      </c>
      <c r="X821" s="0" t="s">
        <v>347</v>
      </c>
      <c r="Y821" s="0" t="s">
        <v>89</v>
      </c>
      <c r="Z821" s="0" t="s">
        <v>6095</v>
      </c>
      <c r="AA821" s="0" t="s">
        <v>144</v>
      </c>
      <c r="AB821" s="0" t="s">
        <v>300</v>
      </c>
      <c r="AF821" s="0" t="s">
        <v>301</v>
      </c>
      <c r="AP821" s="0" t="s">
        <v>305</v>
      </c>
      <c r="BA821" s="0">
        <v>519</v>
      </c>
      <c r="BB821" s="0" t="s">
        <v>232</v>
      </c>
      <c r="BC821" s="0">
        <v>2</v>
      </c>
      <c r="BD821" s="0">
        <v>374043</v>
      </c>
      <c r="BE821" s="0">
        <v>519537</v>
      </c>
      <c r="BF821" s="0">
        <v>4</v>
      </c>
      <c r="BG821" s="0" t="s">
        <v>6224</v>
      </c>
      <c r="BI821" s="0">
        <v>4090</v>
      </c>
      <c r="BK821" s="0" t="s">
        <v>6225</v>
      </c>
    </row>
    <row r="822">
      <c r="A822" s="0">
        <v>5588</v>
      </c>
      <c r="B822" s="0" t="s">
        <v>6226</v>
      </c>
      <c r="C822" s="0" t="s">
        <v>315</v>
      </c>
      <c r="D822" s="0" t="s">
        <v>6088</v>
      </c>
      <c r="E822" s="0" t="s">
        <v>6227</v>
      </c>
      <c r="F822" s="0">
        <v>1</v>
      </c>
      <c r="G822" s="0" t="s">
        <v>293</v>
      </c>
      <c r="H822" s="0" t="s">
        <v>294</v>
      </c>
      <c r="I822" s="0" t="s">
        <v>295</v>
      </c>
      <c r="J822" s="0" t="s">
        <v>594</v>
      </c>
      <c r="K822" s="0" t="s">
        <v>1190</v>
      </c>
      <c r="L822" s="0" t="s">
        <v>549</v>
      </c>
      <c r="P822" s="0" t="s">
        <v>343</v>
      </c>
      <c r="Q822" s="0" t="s">
        <v>343</v>
      </c>
      <c r="T822" s="0" t="s">
        <v>6228</v>
      </c>
      <c r="U822" s="0" t="s">
        <v>6229</v>
      </c>
      <c r="W822" s="0" t="s">
        <v>6094</v>
      </c>
      <c r="X822" s="0" t="s">
        <v>347</v>
      </c>
      <c r="Y822" s="0" t="s">
        <v>89</v>
      </c>
      <c r="Z822" s="0" t="s">
        <v>6095</v>
      </c>
      <c r="AA822" s="0" t="s">
        <v>144</v>
      </c>
      <c r="AB822" s="0" t="s">
        <v>300</v>
      </c>
      <c r="AF822" s="0" t="s">
        <v>301</v>
      </c>
      <c r="AP822" s="0" t="s">
        <v>305</v>
      </c>
      <c r="BA822" s="0">
        <v>519</v>
      </c>
      <c r="BB822" s="0" t="s">
        <v>232</v>
      </c>
      <c r="BC822" s="0">
        <v>2</v>
      </c>
      <c r="BD822" s="0">
        <v>374043</v>
      </c>
      <c r="BE822" s="0">
        <v>519537</v>
      </c>
      <c r="BF822" s="0">
        <v>4</v>
      </c>
      <c r="BG822" s="0" t="s">
        <v>6230</v>
      </c>
      <c r="BI822" s="0">
        <v>4161</v>
      </c>
      <c r="BK822" s="0" t="s">
        <v>6231</v>
      </c>
    </row>
    <row r="823">
      <c r="A823" s="0">
        <v>5614</v>
      </c>
      <c r="B823" s="0" t="s">
        <v>6232</v>
      </c>
      <c r="C823" s="0" t="s">
        <v>315</v>
      </c>
      <c r="D823" s="0" t="s">
        <v>6088</v>
      </c>
      <c r="E823" s="0" t="s">
        <v>6233</v>
      </c>
      <c r="F823" s="0">
        <v>1</v>
      </c>
      <c r="G823" s="0" t="s">
        <v>293</v>
      </c>
      <c r="H823" s="0" t="s">
        <v>294</v>
      </c>
      <c r="I823" s="0" t="s">
        <v>295</v>
      </c>
      <c r="J823" s="0" t="s">
        <v>594</v>
      </c>
      <c r="K823" s="0" t="s">
        <v>1190</v>
      </c>
      <c r="L823" s="0" t="s">
        <v>549</v>
      </c>
      <c r="P823" s="0" t="s">
        <v>323</v>
      </c>
      <c r="Q823" s="0" t="s">
        <v>323</v>
      </c>
      <c r="R823" s="0" t="s">
        <v>673</v>
      </c>
      <c r="T823" s="0" t="s">
        <v>6234</v>
      </c>
      <c r="U823" s="0" t="s">
        <v>6235</v>
      </c>
      <c r="W823" s="0" t="s">
        <v>6094</v>
      </c>
      <c r="X823" s="0" t="s">
        <v>347</v>
      </c>
      <c r="Y823" s="0" t="s">
        <v>89</v>
      </c>
      <c r="Z823" s="0" t="s">
        <v>6095</v>
      </c>
      <c r="AA823" s="0" t="s">
        <v>144</v>
      </c>
      <c r="AB823" s="0" t="s">
        <v>300</v>
      </c>
      <c r="AF823" s="0" t="s">
        <v>301</v>
      </c>
      <c r="AP823" s="0" t="s">
        <v>305</v>
      </c>
      <c r="BA823" s="0">
        <v>519</v>
      </c>
      <c r="BB823" s="0" t="s">
        <v>232</v>
      </c>
      <c r="BC823" s="0">
        <v>2</v>
      </c>
      <c r="BD823" s="0">
        <v>374043</v>
      </c>
      <c r="BE823" s="0">
        <v>519537</v>
      </c>
      <c r="BF823" s="0">
        <v>4</v>
      </c>
      <c r="BG823" s="0" t="s">
        <v>6236</v>
      </c>
      <c r="BI823" s="0">
        <v>4296</v>
      </c>
      <c r="BK823" s="0" t="s">
        <v>6237</v>
      </c>
    </row>
    <row r="824">
      <c r="A824" s="0">
        <v>5539</v>
      </c>
      <c r="B824" s="0" t="s">
        <v>6238</v>
      </c>
      <c r="C824" s="0" t="s">
        <v>945</v>
      </c>
      <c r="D824" s="0" t="s">
        <v>6239</v>
      </c>
      <c r="E824" s="0" t="s">
        <v>5414</v>
      </c>
      <c r="F824" s="0">
        <v>1</v>
      </c>
      <c r="G824" s="0" t="s">
        <v>543</v>
      </c>
      <c r="H824" s="0" t="s">
        <v>1112</v>
      </c>
      <c r="I824" s="0" t="s">
        <v>524</v>
      </c>
      <c r="J824" s="0" t="s">
        <v>525</v>
      </c>
      <c r="K824" s="0" t="s">
        <v>400</v>
      </c>
      <c r="L824" s="0" t="s">
        <v>469</v>
      </c>
      <c r="P824" s="0" t="s">
        <v>343</v>
      </c>
      <c r="Q824" s="0" t="s">
        <v>343</v>
      </c>
      <c r="T824" s="0" t="s">
        <v>6240</v>
      </c>
      <c r="U824" s="0" t="s">
        <v>6241</v>
      </c>
      <c r="W824" s="0" t="s">
        <v>6239</v>
      </c>
      <c r="X824" s="0" t="s">
        <v>6242</v>
      </c>
      <c r="Y824" s="0" t="s">
        <v>36</v>
      </c>
      <c r="Z824" s="0" t="s">
        <v>4002</v>
      </c>
      <c r="AA824" s="0" t="s">
        <v>151</v>
      </c>
      <c r="AB824" s="0" t="s">
        <v>300</v>
      </c>
      <c r="AD824" s="0" t="s">
        <v>4003</v>
      </c>
      <c r="AE824" s="0" t="s">
        <v>6243</v>
      </c>
      <c r="AF824" s="0" t="s">
        <v>301</v>
      </c>
      <c r="AM824" s="0" t="s">
        <v>6244</v>
      </c>
      <c r="AN824" s="0" t="s">
        <v>6244</v>
      </c>
      <c r="AO824" s="0" t="s">
        <v>2213</v>
      </c>
      <c r="AP824" s="0" t="s">
        <v>305</v>
      </c>
      <c r="AQ824" s="0" t="s">
        <v>6245</v>
      </c>
      <c r="AR824" s="0" t="s">
        <v>1077</v>
      </c>
      <c r="AS824" s="0">
        <v>719</v>
      </c>
      <c r="AT824" s="0">
        <v>1516</v>
      </c>
      <c r="AU824" s="0">
        <v>1754</v>
      </c>
      <c r="AV824" s="0" t="s">
        <v>332</v>
      </c>
      <c r="AX824" s="0" t="s">
        <v>459</v>
      </c>
      <c r="AY824" s="0" t="s">
        <v>2742</v>
      </c>
      <c r="AZ824" s="0" t="s">
        <v>924</v>
      </c>
      <c r="BA824" s="0">
        <v>520</v>
      </c>
      <c r="BB824" s="0" t="s">
        <v>232</v>
      </c>
      <c r="BC824" s="0">
        <v>2</v>
      </c>
      <c r="BD824" s="0">
        <v>14</v>
      </c>
      <c r="BE824" s="0">
        <v>134783</v>
      </c>
      <c r="BF824" s="0">
        <v>3</v>
      </c>
      <c r="BG824" s="0" t="s">
        <v>6246</v>
      </c>
      <c r="BI824" s="0">
        <v>1941</v>
      </c>
      <c r="BK824" s="0" t="s">
        <v>6247</v>
      </c>
    </row>
    <row r="825">
      <c r="A825" s="0">
        <v>5756</v>
      </c>
      <c r="E825" s="0" t="s">
        <v>6248</v>
      </c>
      <c r="G825" s="0" t="s">
        <v>319</v>
      </c>
      <c r="H825" s="0" t="s">
        <v>1112</v>
      </c>
      <c r="I825" s="0" t="s">
        <v>6249</v>
      </c>
      <c r="P825" s="0" t="s">
        <v>343</v>
      </c>
      <c r="Q825" s="0" t="s">
        <v>343</v>
      </c>
      <c r="W825" s="0" t="s">
        <v>6239</v>
      </c>
      <c r="X825" s="0" t="s">
        <v>1116</v>
      </c>
      <c r="Y825" s="0" t="s">
        <v>36</v>
      </c>
      <c r="Z825" s="0" t="s">
        <v>4002</v>
      </c>
      <c r="AA825" s="0" t="s">
        <v>151</v>
      </c>
      <c r="AB825" s="0" t="s">
        <v>300</v>
      </c>
      <c r="AD825" s="0" t="s">
        <v>4003</v>
      </c>
      <c r="AE825" s="0" t="s">
        <v>6243</v>
      </c>
      <c r="AF825" s="0" t="s">
        <v>301</v>
      </c>
      <c r="AP825" s="0" t="s">
        <v>305</v>
      </c>
      <c r="BA825" s="0">
        <v>520</v>
      </c>
      <c r="BB825" s="0" t="s">
        <v>232</v>
      </c>
      <c r="BC825" s="0">
        <v>2</v>
      </c>
      <c r="BE825" s="0">
        <v>134783</v>
      </c>
      <c r="BF825" s="0">
        <v>1</v>
      </c>
      <c r="BG825" s="0" t="s">
        <v>6250</v>
      </c>
      <c r="BI825" s="0">
        <v>3648</v>
      </c>
      <c r="BK825" s="0" t="s">
        <v>6251</v>
      </c>
    </row>
    <row r="826">
      <c r="A826" s="0">
        <v>5538</v>
      </c>
      <c r="B826" s="0" t="s">
        <v>6252</v>
      </c>
      <c r="C826" s="0" t="s">
        <v>945</v>
      </c>
      <c r="D826" s="0" t="s">
        <v>6239</v>
      </c>
      <c r="E826" s="0" t="s">
        <v>5420</v>
      </c>
      <c r="F826" s="0">
        <v>1</v>
      </c>
      <c r="G826" s="0" t="s">
        <v>555</v>
      </c>
      <c r="H826" s="0" t="s">
        <v>1112</v>
      </c>
      <c r="I826" s="0" t="s">
        <v>469</v>
      </c>
      <c r="J826" s="0" t="s">
        <v>525</v>
      </c>
      <c r="K826" s="0" t="s">
        <v>400</v>
      </c>
      <c r="L826" s="0" t="s">
        <v>469</v>
      </c>
      <c r="P826" s="0" t="s">
        <v>343</v>
      </c>
      <c r="Q826" s="0" t="s">
        <v>343</v>
      </c>
      <c r="T826" s="0" t="s">
        <v>6253</v>
      </c>
      <c r="U826" s="0" t="s">
        <v>6254</v>
      </c>
      <c r="W826" s="0" t="s">
        <v>6239</v>
      </c>
      <c r="X826" s="0" t="s">
        <v>6242</v>
      </c>
      <c r="Y826" s="0" t="s">
        <v>36</v>
      </c>
      <c r="Z826" s="0" t="s">
        <v>4002</v>
      </c>
      <c r="AA826" s="0" t="s">
        <v>151</v>
      </c>
      <c r="AB826" s="0" t="s">
        <v>300</v>
      </c>
      <c r="AD826" s="0" t="s">
        <v>4003</v>
      </c>
      <c r="AE826" s="0" t="s">
        <v>6243</v>
      </c>
      <c r="AF826" s="0" t="s">
        <v>301</v>
      </c>
      <c r="AM826" s="0" t="s">
        <v>650</v>
      </c>
      <c r="AN826" s="0" t="s">
        <v>650</v>
      </c>
      <c r="AO826" s="0" t="s">
        <v>1096</v>
      </c>
      <c r="AP826" s="0" t="s">
        <v>305</v>
      </c>
      <c r="AQ826" s="0" t="s">
        <v>3087</v>
      </c>
      <c r="AR826" s="0" t="s">
        <v>1807</v>
      </c>
      <c r="AS826" s="0">
        <v>324</v>
      </c>
      <c r="AT826" s="0">
        <v>671</v>
      </c>
      <c r="AU826" s="0">
        <v>771</v>
      </c>
      <c r="AV826" s="0" t="s">
        <v>332</v>
      </c>
      <c r="AX826" s="0" t="s">
        <v>304</v>
      </c>
      <c r="AY826" s="0" t="s">
        <v>2742</v>
      </c>
      <c r="AZ826" s="0" t="s">
        <v>1066</v>
      </c>
      <c r="BA826" s="0">
        <v>520</v>
      </c>
      <c r="BB826" s="0" t="s">
        <v>232</v>
      </c>
      <c r="BC826" s="0">
        <v>2</v>
      </c>
      <c r="BD826" s="0">
        <v>14</v>
      </c>
      <c r="BE826" s="0">
        <v>134783</v>
      </c>
      <c r="BF826" s="0">
        <v>3</v>
      </c>
      <c r="BG826" s="0" t="s">
        <v>6255</v>
      </c>
      <c r="BI826" s="0">
        <v>1698</v>
      </c>
      <c r="BK826" s="0" t="s">
        <v>6256</v>
      </c>
    </row>
    <row r="827">
      <c r="A827" s="0">
        <v>5534</v>
      </c>
      <c r="B827" s="0" t="s">
        <v>6257</v>
      </c>
      <c r="C827" s="0" t="s">
        <v>315</v>
      </c>
      <c r="D827" s="0" t="s">
        <v>6239</v>
      </c>
      <c r="E827" s="0" t="s">
        <v>6258</v>
      </c>
      <c r="F827" s="0">
        <v>1</v>
      </c>
      <c r="G827" s="0" t="s">
        <v>319</v>
      </c>
      <c r="H827" s="0" t="s">
        <v>3280</v>
      </c>
      <c r="I827" s="0" t="s">
        <v>471</v>
      </c>
      <c r="J827" s="0" t="s">
        <v>293</v>
      </c>
      <c r="K827" s="0" t="s">
        <v>294</v>
      </c>
      <c r="L827" s="0" t="s">
        <v>5446</v>
      </c>
      <c r="P827" s="0" t="s">
        <v>323</v>
      </c>
      <c r="Q827" s="0" t="s">
        <v>323</v>
      </c>
      <c r="R827" s="0" t="s">
        <v>2393</v>
      </c>
      <c r="T827" s="0" t="s">
        <v>6259</v>
      </c>
      <c r="U827" s="0" t="s">
        <v>6260</v>
      </c>
      <c r="W827" s="0" t="s">
        <v>6239</v>
      </c>
      <c r="X827" s="0" t="s">
        <v>6242</v>
      </c>
      <c r="Y827" s="0" t="s">
        <v>36</v>
      </c>
      <c r="Z827" s="0" t="s">
        <v>4002</v>
      </c>
      <c r="AA827" s="0" t="s">
        <v>151</v>
      </c>
      <c r="AB827" s="0" t="s">
        <v>300</v>
      </c>
      <c r="AD827" s="0" t="s">
        <v>4003</v>
      </c>
      <c r="AE827" s="0" t="s">
        <v>6243</v>
      </c>
      <c r="AF827" s="0" t="s">
        <v>301</v>
      </c>
      <c r="AM827" s="0" t="s">
        <v>6261</v>
      </c>
      <c r="AN827" s="0" t="s">
        <v>6262</v>
      </c>
      <c r="AO827" s="0" t="s">
        <v>6263</v>
      </c>
      <c r="AP827" s="0" t="s">
        <v>305</v>
      </c>
      <c r="AQ827" s="0" t="s">
        <v>6264</v>
      </c>
      <c r="AR827" s="0" t="s">
        <v>6265</v>
      </c>
      <c r="AS827" s="0">
        <v>16</v>
      </c>
      <c r="AT827" s="0">
        <v>33</v>
      </c>
      <c r="AU827" s="0">
        <v>41</v>
      </c>
      <c r="AV827" s="0" t="s">
        <v>1048</v>
      </c>
      <c r="AW827" s="0" t="s">
        <v>308</v>
      </c>
      <c r="AX827" s="0" t="s">
        <v>6266</v>
      </c>
      <c r="AY827" s="0" t="s">
        <v>6267</v>
      </c>
      <c r="AZ827" s="0" t="s">
        <v>6268</v>
      </c>
      <c r="BA827" s="0">
        <v>520</v>
      </c>
      <c r="BB827" s="0" t="s">
        <v>232</v>
      </c>
      <c r="BC827" s="0">
        <v>2</v>
      </c>
      <c r="BD827" s="0">
        <v>374043</v>
      </c>
      <c r="BE827" s="0">
        <v>134783</v>
      </c>
      <c r="BF827" s="0">
        <v>3</v>
      </c>
      <c r="BG827" s="0" t="s">
        <v>6269</v>
      </c>
      <c r="BI827" s="0">
        <v>395</v>
      </c>
      <c r="BK827" s="0" t="s">
        <v>6270</v>
      </c>
    </row>
    <row r="828">
      <c r="A828" s="0">
        <v>5545</v>
      </c>
      <c r="B828" s="0" t="s">
        <v>6271</v>
      </c>
      <c r="C828" s="0" t="s">
        <v>945</v>
      </c>
      <c r="D828" s="0" t="s">
        <v>6239</v>
      </c>
      <c r="E828" s="0" t="s">
        <v>4747</v>
      </c>
      <c r="F828" s="0">
        <v>1</v>
      </c>
      <c r="G828" s="0" t="s">
        <v>555</v>
      </c>
      <c r="H828" s="0" t="s">
        <v>1112</v>
      </c>
      <c r="I828" s="0" t="s">
        <v>4748</v>
      </c>
      <c r="J828" s="0" t="s">
        <v>594</v>
      </c>
      <c r="K828" s="0" t="s">
        <v>1190</v>
      </c>
      <c r="L828" s="0" t="s">
        <v>1293</v>
      </c>
      <c r="P828" s="0" t="s">
        <v>323</v>
      </c>
      <c r="Q828" s="0" t="s">
        <v>343</v>
      </c>
      <c r="R828" s="0" t="s">
        <v>3998</v>
      </c>
      <c r="T828" s="0" t="s">
        <v>6272</v>
      </c>
      <c r="U828" s="0" t="s">
        <v>6273</v>
      </c>
      <c r="W828" s="0" t="s">
        <v>6239</v>
      </c>
      <c r="X828" s="0" t="s">
        <v>6242</v>
      </c>
      <c r="Y828" s="0" t="s">
        <v>36</v>
      </c>
      <c r="Z828" s="0" t="s">
        <v>4002</v>
      </c>
      <c r="AA828" s="0" t="s">
        <v>151</v>
      </c>
      <c r="AB828" s="0" t="s">
        <v>300</v>
      </c>
      <c r="AD828" s="0" t="s">
        <v>4003</v>
      </c>
      <c r="AE828" s="0" t="s">
        <v>6243</v>
      </c>
      <c r="AF828" s="0" t="s">
        <v>301</v>
      </c>
      <c r="AM828" s="0" t="s">
        <v>303</v>
      </c>
      <c r="AN828" s="0" t="s">
        <v>1920</v>
      </c>
      <c r="AO828" s="0" t="s">
        <v>1875</v>
      </c>
      <c r="AP828" s="0" t="s">
        <v>305</v>
      </c>
      <c r="AQ828" s="0" t="s">
        <v>2984</v>
      </c>
      <c r="AR828" s="0" t="s">
        <v>1450</v>
      </c>
      <c r="AS828" s="0">
        <v>164</v>
      </c>
      <c r="AT828" s="0">
        <v>356</v>
      </c>
      <c r="AU828" s="0">
        <v>412</v>
      </c>
      <c r="AV828" s="0" t="s">
        <v>308</v>
      </c>
      <c r="AW828" s="0" t="s">
        <v>332</v>
      </c>
      <c r="AX828" s="0" t="s">
        <v>964</v>
      </c>
      <c r="AY828" s="0" t="s">
        <v>6274</v>
      </c>
      <c r="AZ828" s="0" t="s">
        <v>350</v>
      </c>
      <c r="BA828" s="0">
        <v>520</v>
      </c>
      <c r="BB828" s="0" t="s">
        <v>232</v>
      </c>
      <c r="BC828" s="0">
        <v>2</v>
      </c>
      <c r="BD828" s="0">
        <v>14</v>
      </c>
      <c r="BE828" s="0">
        <v>134783</v>
      </c>
      <c r="BF828" s="0">
        <v>3</v>
      </c>
      <c r="BG828" s="0" t="s">
        <v>6275</v>
      </c>
      <c r="BI828" s="0">
        <v>3098</v>
      </c>
      <c r="BK828" s="0" t="s">
        <v>6276</v>
      </c>
    </row>
    <row r="829">
      <c r="A829" s="0">
        <v>5546</v>
      </c>
      <c r="B829" s="0" t="s">
        <v>6277</v>
      </c>
      <c r="C829" s="0" t="s">
        <v>945</v>
      </c>
      <c r="D829" s="0" t="s">
        <v>6239</v>
      </c>
      <c r="E829" s="0" t="s">
        <v>6278</v>
      </c>
      <c r="F829" s="0">
        <v>1</v>
      </c>
      <c r="G829" s="0" t="s">
        <v>555</v>
      </c>
      <c r="H829" s="0" t="s">
        <v>1112</v>
      </c>
      <c r="I829" s="0" t="s">
        <v>4748</v>
      </c>
      <c r="J829" s="0" t="s">
        <v>594</v>
      </c>
      <c r="K829" s="0" t="s">
        <v>1190</v>
      </c>
      <c r="L829" s="0" t="s">
        <v>1293</v>
      </c>
      <c r="P829" s="0" t="s">
        <v>323</v>
      </c>
      <c r="Q829" s="0" t="s">
        <v>343</v>
      </c>
      <c r="R829" s="0" t="s">
        <v>3998</v>
      </c>
      <c r="T829" s="0" t="s">
        <v>6279</v>
      </c>
      <c r="U829" s="0" t="s">
        <v>6280</v>
      </c>
      <c r="W829" s="0" t="s">
        <v>6239</v>
      </c>
      <c r="X829" s="0" t="s">
        <v>6242</v>
      </c>
      <c r="Y829" s="0" t="s">
        <v>36</v>
      </c>
      <c r="Z829" s="0" t="s">
        <v>4002</v>
      </c>
      <c r="AA829" s="0" t="s">
        <v>151</v>
      </c>
      <c r="AB829" s="0" t="s">
        <v>300</v>
      </c>
      <c r="AD829" s="0" t="s">
        <v>4003</v>
      </c>
      <c r="AE829" s="0" t="s">
        <v>6243</v>
      </c>
      <c r="AF829" s="0" t="s">
        <v>301</v>
      </c>
      <c r="AM829" s="0" t="s">
        <v>4290</v>
      </c>
      <c r="AN829" s="0" t="s">
        <v>6281</v>
      </c>
      <c r="AO829" s="0" t="s">
        <v>3213</v>
      </c>
      <c r="AP829" s="0" t="s">
        <v>305</v>
      </c>
      <c r="AQ829" s="0" t="s">
        <v>1850</v>
      </c>
      <c r="AR829" s="0" t="s">
        <v>502</v>
      </c>
      <c r="AS829" s="0">
        <v>57</v>
      </c>
      <c r="AT829" s="0">
        <v>126</v>
      </c>
      <c r="AU829" s="0">
        <v>144</v>
      </c>
      <c r="AV829" s="0" t="s">
        <v>332</v>
      </c>
      <c r="AX829" s="0" t="s">
        <v>6282</v>
      </c>
      <c r="AY829" s="0" t="s">
        <v>6283</v>
      </c>
      <c r="AZ829" s="0" t="s">
        <v>408</v>
      </c>
      <c r="BA829" s="0">
        <v>520</v>
      </c>
      <c r="BB829" s="0" t="s">
        <v>232</v>
      </c>
      <c r="BC829" s="0">
        <v>2</v>
      </c>
      <c r="BD829" s="0">
        <v>14</v>
      </c>
      <c r="BE829" s="0">
        <v>134783</v>
      </c>
      <c r="BF829" s="0">
        <v>3</v>
      </c>
      <c r="BG829" s="0" t="s">
        <v>6284</v>
      </c>
      <c r="BI829" s="0">
        <v>3249</v>
      </c>
      <c r="BK829" s="0" t="s">
        <v>6285</v>
      </c>
    </row>
    <row r="830">
      <c r="A830" s="0">
        <v>5540</v>
      </c>
      <c r="B830" s="0" t="s">
        <v>6286</v>
      </c>
      <c r="C830" s="0" t="s">
        <v>315</v>
      </c>
      <c r="D830" s="0" t="s">
        <v>6239</v>
      </c>
      <c r="E830" s="0" t="s">
        <v>6287</v>
      </c>
      <c r="F830" s="0">
        <v>1</v>
      </c>
      <c r="G830" s="0" t="s">
        <v>555</v>
      </c>
      <c r="H830" s="0" t="s">
        <v>1112</v>
      </c>
      <c r="I830" s="0" t="s">
        <v>4748</v>
      </c>
      <c r="J830" s="0" t="s">
        <v>594</v>
      </c>
      <c r="K830" s="0" t="s">
        <v>1190</v>
      </c>
      <c r="L830" s="0" t="s">
        <v>1293</v>
      </c>
      <c r="P830" s="0" t="s">
        <v>323</v>
      </c>
      <c r="Q830" s="0" t="s">
        <v>323</v>
      </c>
      <c r="R830" s="0" t="s">
        <v>3998</v>
      </c>
      <c r="T830" s="0" t="s">
        <v>6288</v>
      </c>
      <c r="U830" s="0" t="s">
        <v>6289</v>
      </c>
      <c r="W830" s="0" t="s">
        <v>6239</v>
      </c>
      <c r="X830" s="0" t="s">
        <v>298</v>
      </c>
      <c r="Y830" s="0" t="s">
        <v>36</v>
      </c>
      <c r="Z830" s="0" t="s">
        <v>4002</v>
      </c>
      <c r="AA830" s="0" t="s">
        <v>151</v>
      </c>
      <c r="AB830" s="0" t="s">
        <v>300</v>
      </c>
      <c r="AD830" s="0" t="s">
        <v>4003</v>
      </c>
      <c r="AE830" s="0" t="s">
        <v>6243</v>
      </c>
      <c r="AF830" s="0" t="s">
        <v>301</v>
      </c>
      <c r="AM830" s="0" t="s">
        <v>6290</v>
      </c>
      <c r="AN830" s="0" t="s">
        <v>6291</v>
      </c>
      <c r="AO830" s="0" t="s">
        <v>6292</v>
      </c>
      <c r="AP830" s="0" t="s">
        <v>305</v>
      </c>
      <c r="AQ830" s="0" t="s">
        <v>1807</v>
      </c>
      <c r="AR830" s="0" t="s">
        <v>1287</v>
      </c>
      <c r="AS830" s="0">
        <v>22</v>
      </c>
      <c r="AT830" s="0">
        <v>48</v>
      </c>
      <c r="AU830" s="0">
        <v>55</v>
      </c>
      <c r="AV830" s="0" t="s">
        <v>1048</v>
      </c>
      <c r="AW830" s="0" t="s">
        <v>308</v>
      </c>
      <c r="AX830" s="0" t="s">
        <v>6293</v>
      </c>
      <c r="AY830" s="0" t="s">
        <v>6294</v>
      </c>
      <c r="AZ830" s="0" t="s">
        <v>6295</v>
      </c>
      <c r="BA830" s="0">
        <v>520</v>
      </c>
      <c r="BB830" s="0" t="s">
        <v>232</v>
      </c>
      <c r="BC830" s="0">
        <v>2</v>
      </c>
      <c r="BD830" s="0">
        <v>374043</v>
      </c>
      <c r="BE830" s="0">
        <v>134783</v>
      </c>
      <c r="BF830" s="0">
        <v>5</v>
      </c>
      <c r="BG830" s="0" t="s">
        <v>6296</v>
      </c>
      <c r="BI830" s="0">
        <v>2172</v>
      </c>
      <c r="BK830" s="0" t="s">
        <v>6297</v>
      </c>
    </row>
    <row r="831">
      <c r="A831" s="0">
        <v>5544</v>
      </c>
      <c r="B831" s="0" t="s">
        <v>6298</v>
      </c>
      <c r="C831" s="0" t="s">
        <v>315</v>
      </c>
      <c r="D831" s="0" t="s">
        <v>6239</v>
      </c>
      <c r="E831" s="0" t="s">
        <v>6299</v>
      </c>
      <c r="F831" s="0">
        <v>1</v>
      </c>
      <c r="G831" s="0" t="s">
        <v>543</v>
      </c>
      <c r="H831" s="0" t="s">
        <v>1112</v>
      </c>
      <c r="I831" s="0" t="s">
        <v>524</v>
      </c>
      <c r="J831" s="0" t="s">
        <v>293</v>
      </c>
      <c r="K831" s="0" t="s">
        <v>294</v>
      </c>
      <c r="L831" s="0" t="s">
        <v>5446</v>
      </c>
      <c r="M831" s="0" t="s">
        <v>594</v>
      </c>
      <c r="N831" s="0" t="s">
        <v>1190</v>
      </c>
      <c r="O831" s="0" t="s">
        <v>5473</v>
      </c>
      <c r="P831" s="0" t="s">
        <v>323</v>
      </c>
      <c r="Q831" s="0" t="s">
        <v>343</v>
      </c>
      <c r="R831" s="0" t="s">
        <v>2393</v>
      </c>
      <c r="S831" s="0" t="s">
        <v>6300</v>
      </c>
      <c r="T831" s="0" t="s">
        <v>6301</v>
      </c>
      <c r="U831" s="0" t="s">
        <v>6302</v>
      </c>
      <c r="W831" s="0" t="s">
        <v>6239</v>
      </c>
      <c r="X831" s="0" t="s">
        <v>6242</v>
      </c>
      <c r="Y831" s="0" t="s">
        <v>36</v>
      </c>
      <c r="Z831" s="0" t="s">
        <v>4002</v>
      </c>
      <c r="AA831" s="0" t="s">
        <v>151</v>
      </c>
      <c r="AB831" s="0" t="s">
        <v>300</v>
      </c>
      <c r="AD831" s="0" t="s">
        <v>4003</v>
      </c>
      <c r="AE831" s="0" t="s">
        <v>6243</v>
      </c>
      <c r="AF831" s="0" t="s">
        <v>301</v>
      </c>
      <c r="AM831" s="0" t="s">
        <v>6303</v>
      </c>
      <c r="AN831" s="0" t="s">
        <v>6304</v>
      </c>
      <c r="AO831" s="0" t="s">
        <v>6305</v>
      </c>
      <c r="AP831" s="0" t="s">
        <v>305</v>
      </c>
      <c r="AQ831" s="0" t="s">
        <v>6306</v>
      </c>
      <c r="AR831" s="0" t="s">
        <v>6307</v>
      </c>
      <c r="AS831" s="0">
        <v>13</v>
      </c>
      <c r="AT831" s="0">
        <v>27</v>
      </c>
      <c r="AU831" s="0">
        <v>34</v>
      </c>
      <c r="AV831" s="0" t="s">
        <v>1048</v>
      </c>
      <c r="AW831" s="0" t="s">
        <v>308</v>
      </c>
      <c r="AX831" s="0" t="s">
        <v>1660</v>
      </c>
      <c r="AY831" s="0" t="s">
        <v>6308</v>
      </c>
      <c r="AZ831" s="0" t="s">
        <v>6309</v>
      </c>
      <c r="BA831" s="0">
        <v>520</v>
      </c>
      <c r="BB831" s="0" t="s">
        <v>232</v>
      </c>
      <c r="BC831" s="0">
        <v>2</v>
      </c>
      <c r="BD831" s="0">
        <v>374043</v>
      </c>
      <c r="BE831" s="0">
        <v>134783</v>
      </c>
      <c r="BF831" s="0">
        <v>3</v>
      </c>
      <c r="BG831" s="0" t="s">
        <v>6310</v>
      </c>
      <c r="BI831" s="0">
        <v>2933</v>
      </c>
      <c r="BK831" s="0" t="s">
        <v>6311</v>
      </c>
    </row>
    <row r="832">
      <c r="A832" s="0">
        <v>5571</v>
      </c>
      <c r="B832" s="0" t="s">
        <v>6312</v>
      </c>
      <c r="C832" s="0" t="s">
        <v>315</v>
      </c>
      <c r="D832" s="0" t="s">
        <v>6239</v>
      </c>
      <c r="E832" s="0" t="s">
        <v>6313</v>
      </c>
      <c r="F832" s="0">
        <v>1</v>
      </c>
      <c r="G832" s="0" t="s">
        <v>319</v>
      </c>
      <c r="H832" s="0" t="s">
        <v>398</v>
      </c>
      <c r="I832" s="0" t="s">
        <v>471</v>
      </c>
      <c r="J832" s="0" t="s">
        <v>594</v>
      </c>
      <c r="K832" s="0" t="s">
        <v>1190</v>
      </c>
      <c r="L832" s="0" t="s">
        <v>3204</v>
      </c>
      <c r="M832" s="0" t="s">
        <v>293</v>
      </c>
      <c r="O832" s="0" t="s">
        <v>5446</v>
      </c>
      <c r="P832" s="0" t="s">
        <v>323</v>
      </c>
      <c r="Q832" s="0" t="s">
        <v>323</v>
      </c>
      <c r="R832" s="0" t="s">
        <v>2488</v>
      </c>
      <c r="T832" s="0" t="s">
        <v>6314</v>
      </c>
      <c r="U832" s="0" t="s">
        <v>6315</v>
      </c>
      <c r="W832" s="0" t="s">
        <v>6239</v>
      </c>
      <c r="X832" s="0" t="s">
        <v>347</v>
      </c>
      <c r="Y832" s="0" t="s">
        <v>36</v>
      </c>
      <c r="Z832" s="0" t="s">
        <v>4002</v>
      </c>
      <c r="AA832" s="0" t="s">
        <v>151</v>
      </c>
      <c r="AB832" s="0" t="s">
        <v>300</v>
      </c>
      <c r="AD832" s="0" t="s">
        <v>4003</v>
      </c>
      <c r="AE832" s="0" t="s">
        <v>6243</v>
      </c>
      <c r="AF832" s="0" t="s">
        <v>301</v>
      </c>
      <c r="AM832" s="0" t="s">
        <v>387</v>
      </c>
      <c r="AN832" s="0" t="s">
        <v>387</v>
      </c>
      <c r="AO832" s="0" t="s">
        <v>490</v>
      </c>
      <c r="AP832" s="0" t="s">
        <v>305</v>
      </c>
      <c r="AQ832" s="0" t="s">
        <v>6316</v>
      </c>
      <c r="AR832" s="0" t="s">
        <v>612</v>
      </c>
      <c r="AS832" s="0">
        <v>75</v>
      </c>
      <c r="AT832" s="0">
        <v>156</v>
      </c>
      <c r="AU832" s="0">
        <v>186</v>
      </c>
      <c r="AV832" s="0" t="s">
        <v>332</v>
      </c>
      <c r="AX832" s="0" t="s">
        <v>598</v>
      </c>
      <c r="AY832" s="0" t="s">
        <v>598</v>
      </c>
      <c r="AZ832" s="0" t="s">
        <v>6244</v>
      </c>
      <c r="BA832" s="0">
        <v>520</v>
      </c>
      <c r="BB832" s="0" t="s">
        <v>232</v>
      </c>
      <c r="BC832" s="0">
        <v>2</v>
      </c>
      <c r="BD832" s="0">
        <v>374043</v>
      </c>
      <c r="BE832" s="0">
        <v>134783</v>
      </c>
      <c r="BF832" s="0">
        <v>4</v>
      </c>
      <c r="BG832" s="0" t="s">
        <v>6317</v>
      </c>
      <c r="BI832" s="0">
        <v>3624</v>
      </c>
      <c r="BK832" s="0" t="s">
        <v>6318</v>
      </c>
    </row>
    <row r="833">
      <c r="A833" s="0">
        <v>5543</v>
      </c>
      <c r="B833" s="0" t="s">
        <v>6319</v>
      </c>
      <c r="E833" s="0" t="s">
        <v>4652</v>
      </c>
      <c r="G833" s="0" t="s">
        <v>319</v>
      </c>
      <c r="H833" s="0" t="s">
        <v>6320</v>
      </c>
      <c r="I833" s="0" t="s">
        <v>6321</v>
      </c>
      <c r="P833" s="0" t="s">
        <v>323</v>
      </c>
      <c r="Q833" s="0" t="s">
        <v>343</v>
      </c>
      <c r="W833" s="0" t="s">
        <v>6239</v>
      </c>
      <c r="X833" s="0" t="s">
        <v>1116</v>
      </c>
      <c r="Y833" s="0" t="s">
        <v>36</v>
      </c>
      <c r="Z833" s="0" t="s">
        <v>4002</v>
      </c>
      <c r="AA833" s="0" t="s">
        <v>151</v>
      </c>
      <c r="AB833" s="0" t="s">
        <v>300</v>
      </c>
      <c r="AD833" s="0" t="s">
        <v>4003</v>
      </c>
      <c r="AE833" s="0" t="s">
        <v>6243</v>
      </c>
      <c r="AF833" s="0" t="s">
        <v>301</v>
      </c>
      <c r="AP833" s="0" t="s">
        <v>305</v>
      </c>
      <c r="BA833" s="0">
        <v>520</v>
      </c>
      <c r="BB833" s="0" t="s">
        <v>232</v>
      </c>
      <c r="BC833" s="0">
        <v>2</v>
      </c>
      <c r="BE833" s="0">
        <v>134783</v>
      </c>
      <c r="BF833" s="0">
        <v>1</v>
      </c>
      <c r="BG833" s="0" t="s">
        <v>6322</v>
      </c>
      <c r="BI833" s="0">
        <v>2423</v>
      </c>
      <c r="BK833" s="0" t="s">
        <v>6323</v>
      </c>
    </row>
    <row r="834">
      <c r="A834" s="0">
        <v>5541</v>
      </c>
      <c r="C834" s="0" t="s">
        <v>339</v>
      </c>
      <c r="D834" s="0" t="s">
        <v>6239</v>
      </c>
      <c r="E834" s="0" t="s">
        <v>6324</v>
      </c>
      <c r="F834" s="0">
        <v>1</v>
      </c>
      <c r="G834" s="0" t="s">
        <v>319</v>
      </c>
      <c r="H834" s="0" t="s">
        <v>6325</v>
      </c>
      <c r="I834" s="0" t="s">
        <v>5454</v>
      </c>
      <c r="P834" s="0" t="s">
        <v>323</v>
      </c>
      <c r="Q834" s="0" t="s">
        <v>4015</v>
      </c>
      <c r="R834" s="0" t="s">
        <v>3998</v>
      </c>
      <c r="T834" s="0" t="s">
        <v>6326</v>
      </c>
      <c r="W834" s="0" t="s">
        <v>6239</v>
      </c>
      <c r="X834" s="0" t="s">
        <v>1116</v>
      </c>
      <c r="Y834" s="0" t="s">
        <v>36</v>
      </c>
      <c r="Z834" s="0" t="s">
        <v>4002</v>
      </c>
      <c r="AA834" s="0" t="s">
        <v>151</v>
      </c>
      <c r="AB834" s="0" t="s">
        <v>300</v>
      </c>
      <c r="AD834" s="0" t="s">
        <v>4003</v>
      </c>
      <c r="AE834" s="0" t="s">
        <v>6243</v>
      </c>
      <c r="AF834" s="0" t="s">
        <v>301</v>
      </c>
      <c r="AP834" s="0" t="s">
        <v>305</v>
      </c>
      <c r="BA834" s="0">
        <v>520</v>
      </c>
      <c r="BB834" s="0" t="s">
        <v>232</v>
      </c>
      <c r="BC834" s="0">
        <v>2</v>
      </c>
      <c r="BD834" s="0">
        <v>8</v>
      </c>
      <c r="BE834" s="0">
        <v>134783</v>
      </c>
      <c r="BF834" s="0">
        <v>1</v>
      </c>
      <c r="BG834" s="0" t="s">
        <v>6327</v>
      </c>
      <c r="BI834" s="0">
        <v>2387</v>
      </c>
      <c r="BK834" s="0" t="s">
        <v>6328</v>
      </c>
    </row>
    <row r="835">
      <c r="A835" s="0">
        <v>5536</v>
      </c>
      <c r="B835" s="0" t="s">
        <v>6329</v>
      </c>
      <c r="C835" s="0" t="s">
        <v>315</v>
      </c>
      <c r="D835" s="0" t="s">
        <v>6239</v>
      </c>
      <c r="E835" s="0" t="s">
        <v>5459</v>
      </c>
      <c r="F835" s="0">
        <v>1</v>
      </c>
      <c r="G835" s="0" t="s">
        <v>319</v>
      </c>
      <c r="H835" s="0" t="s">
        <v>398</v>
      </c>
      <c r="I835" s="0" t="s">
        <v>471</v>
      </c>
      <c r="J835" s="0" t="s">
        <v>594</v>
      </c>
      <c r="K835" s="0" t="s">
        <v>1190</v>
      </c>
      <c r="L835" s="0" t="s">
        <v>469</v>
      </c>
      <c r="M835" s="0" t="s">
        <v>293</v>
      </c>
      <c r="N835" s="0" t="s">
        <v>294</v>
      </c>
      <c r="O835" s="0" t="s">
        <v>5446</v>
      </c>
      <c r="P835" s="0" t="s">
        <v>323</v>
      </c>
      <c r="Q835" s="0" t="s">
        <v>343</v>
      </c>
      <c r="R835" s="0" t="s">
        <v>2103</v>
      </c>
      <c r="T835" s="0" t="s">
        <v>6330</v>
      </c>
      <c r="U835" s="0" t="s">
        <v>6331</v>
      </c>
      <c r="W835" s="0" t="s">
        <v>6239</v>
      </c>
      <c r="X835" s="0" t="s">
        <v>6242</v>
      </c>
      <c r="Y835" s="0" t="s">
        <v>36</v>
      </c>
      <c r="Z835" s="0" t="s">
        <v>4002</v>
      </c>
      <c r="AA835" s="0" t="s">
        <v>151</v>
      </c>
      <c r="AB835" s="0" t="s">
        <v>300</v>
      </c>
      <c r="AD835" s="0" t="s">
        <v>4003</v>
      </c>
      <c r="AE835" s="0" t="s">
        <v>6243</v>
      </c>
      <c r="AF835" s="0" t="s">
        <v>301</v>
      </c>
      <c r="AM835" s="0" t="s">
        <v>366</v>
      </c>
      <c r="AN835" s="0" t="s">
        <v>517</v>
      </c>
      <c r="AO835" s="0" t="s">
        <v>739</v>
      </c>
      <c r="AP835" s="0" t="s">
        <v>305</v>
      </c>
      <c r="AQ835" s="0" t="s">
        <v>1077</v>
      </c>
      <c r="AR835" s="0" t="s">
        <v>502</v>
      </c>
      <c r="AS835" s="0">
        <v>160</v>
      </c>
      <c r="AT835" s="0">
        <v>344</v>
      </c>
      <c r="AU835" s="0">
        <v>344</v>
      </c>
      <c r="AV835" s="0" t="s">
        <v>332</v>
      </c>
      <c r="AX835" s="0" t="s">
        <v>310</v>
      </c>
      <c r="AY835" s="0" t="s">
        <v>422</v>
      </c>
      <c r="AZ835" s="0" t="s">
        <v>500</v>
      </c>
      <c r="BA835" s="0">
        <v>520</v>
      </c>
      <c r="BB835" s="0" t="s">
        <v>232</v>
      </c>
      <c r="BC835" s="0">
        <v>2</v>
      </c>
      <c r="BD835" s="0">
        <v>374043</v>
      </c>
      <c r="BE835" s="0">
        <v>134783</v>
      </c>
      <c r="BF835" s="0">
        <v>3</v>
      </c>
      <c r="BG835" s="0" t="s">
        <v>6332</v>
      </c>
      <c r="BI835" s="0">
        <v>1127</v>
      </c>
      <c r="BK835" s="0" t="s">
        <v>6333</v>
      </c>
    </row>
    <row r="836">
      <c r="A836" s="0">
        <v>5535</v>
      </c>
      <c r="B836" s="0" t="s">
        <v>6334</v>
      </c>
      <c r="C836" s="0" t="s">
        <v>315</v>
      </c>
      <c r="D836" s="0" t="s">
        <v>6239</v>
      </c>
      <c r="E836" s="0" t="s">
        <v>6335</v>
      </c>
      <c r="F836" s="0">
        <v>1</v>
      </c>
      <c r="G836" s="0" t="s">
        <v>319</v>
      </c>
      <c r="H836" s="0" t="s">
        <v>398</v>
      </c>
      <c r="I836" s="0" t="s">
        <v>471</v>
      </c>
      <c r="J836" s="0" t="s">
        <v>594</v>
      </c>
      <c r="K836" s="0" t="s">
        <v>1190</v>
      </c>
      <c r="L836" s="0" t="s">
        <v>1293</v>
      </c>
      <c r="M836" s="0" t="s">
        <v>293</v>
      </c>
      <c r="N836" s="0" t="s">
        <v>294</v>
      </c>
      <c r="O836" s="0" t="s">
        <v>1293</v>
      </c>
      <c r="P836" s="0" t="s">
        <v>323</v>
      </c>
      <c r="Q836" s="0" t="s">
        <v>323</v>
      </c>
      <c r="R836" s="0" t="s">
        <v>526</v>
      </c>
      <c r="T836" s="0" t="s">
        <v>6336</v>
      </c>
      <c r="U836" s="0" t="s">
        <v>6337</v>
      </c>
      <c r="W836" s="0" t="s">
        <v>6239</v>
      </c>
      <c r="X836" s="0" t="s">
        <v>6242</v>
      </c>
      <c r="Y836" s="0" t="s">
        <v>36</v>
      </c>
      <c r="Z836" s="0" t="s">
        <v>4002</v>
      </c>
      <c r="AA836" s="0" t="s">
        <v>151</v>
      </c>
      <c r="AB836" s="0" t="s">
        <v>300</v>
      </c>
      <c r="AD836" s="0" t="s">
        <v>4003</v>
      </c>
      <c r="AE836" s="0" t="s">
        <v>6243</v>
      </c>
      <c r="AF836" s="0" t="s">
        <v>301</v>
      </c>
      <c r="AM836" s="0" t="s">
        <v>6338</v>
      </c>
      <c r="AN836" s="0" t="s">
        <v>6339</v>
      </c>
      <c r="AO836" s="0" t="s">
        <v>6340</v>
      </c>
      <c r="AP836" s="0" t="s">
        <v>305</v>
      </c>
      <c r="AQ836" s="0" t="s">
        <v>6341</v>
      </c>
      <c r="AR836" s="0" t="s">
        <v>6342</v>
      </c>
      <c r="AS836" s="0">
        <v>31</v>
      </c>
      <c r="AT836" s="0">
        <v>65</v>
      </c>
      <c r="AU836" s="0">
        <v>73</v>
      </c>
      <c r="AV836" s="0" t="s">
        <v>332</v>
      </c>
      <c r="AW836" s="0" t="s">
        <v>308</v>
      </c>
      <c r="AX836" s="0" t="s">
        <v>411</v>
      </c>
      <c r="AY836" s="0" t="s">
        <v>6343</v>
      </c>
      <c r="AZ836" s="0" t="s">
        <v>6344</v>
      </c>
      <c r="BA836" s="0">
        <v>520</v>
      </c>
      <c r="BB836" s="0" t="s">
        <v>232</v>
      </c>
      <c r="BC836" s="0">
        <v>2</v>
      </c>
      <c r="BD836" s="0">
        <v>374043</v>
      </c>
      <c r="BE836" s="0">
        <v>134783</v>
      </c>
      <c r="BF836" s="0">
        <v>3</v>
      </c>
      <c r="BG836" s="0" t="s">
        <v>6345</v>
      </c>
      <c r="BI836" s="0">
        <v>797</v>
      </c>
      <c r="BK836" s="0" t="s">
        <v>6346</v>
      </c>
    </row>
    <row r="837">
      <c r="A837" s="0">
        <v>5537</v>
      </c>
      <c r="B837" s="0" t="s">
        <v>6347</v>
      </c>
      <c r="C837" s="0" t="s">
        <v>315</v>
      </c>
      <c r="D837" s="0" t="s">
        <v>6239</v>
      </c>
      <c r="E837" s="0" t="s">
        <v>6348</v>
      </c>
      <c r="F837" s="0">
        <v>1</v>
      </c>
      <c r="G837" s="0" t="s">
        <v>319</v>
      </c>
      <c r="H837" s="0" t="s">
        <v>523</v>
      </c>
      <c r="I837" s="0" t="s">
        <v>1268</v>
      </c>
      <c r="J837" s="0" t="s">
        <v>594</v>
      </c>
      <c r="K837" s="0" t="s">
        <v>594</v>
      </c>
      <c r="L837" s="0" t="s">
        <v>5473</v>
      </c>
      <c r="M837" s="0" t="s">
        <v>525</v>
      </c>
      <c r="N837" s="0" t="s">
        <v>508</v>
      </c>
      <c r="O837" s="0" t="s">
        <v>469</v>
      </c>
      <c r="P837" s="0" t="s">
        <v>343</v>
      </c>
      <c r="Q837" s="0" t="s">
        <v>343</v>
      </c>
      <c r="T837" s="0" t="s">
        <v>6349</v>
      </c>
      <c r="U837" s="0" t="s">
        <v>6350</v>
      </c>
      <c r="W837" s="0" t="s">
        <v>6239</v>
      </c>
      <c r="X837" s="0" t="s">
        <v>298</v>
      </c>
      <c r="Y837" s="0" t="s">
        <v>36</v>
      </c>
      <c r="Z837" s="0" t="s">
        <v>4002</v>
      </c>
      <c r="AA837" s="0" t="s">
        <v>151</v>
      </c>
      <c r="AB837" s="0" t="s">
        <v>300</v>
      </c>
      <c r="AD837" s="0" t="s">
        <v>4003</v>
      </c>
      <c r="AE837" s="0" t="s">
        <v>6243</v>
      </c>
      <c r="AF837" s="0" t="s">
        <v>301</v>
      </c>
      <c r="AM837" s="0" t="s">
        <v>651</v>
      </c>
      <c r="AN837" s="0" t="s">
        <v>514</v>
      </c>
      <c r="AO837" s="0" t="s">
        <v>599</v>
      </c>
      <c r="AP837" s="0" t="s">
        <v>305</v>
      </c>
      <c r="AQ837" s="0" t="s">
        <v>1149</v>
      </c>
      <c r="AR837" s="0" t="s">
        <v>3402</v>
      </c>
      <c r="AS837" s="0">
        <v>24</v>
      </c>
      <c r="AT837" s="0">
        <v>56</v>
      </c>
      <c r="AU837" s="0">
        <v>84</v>
      </c>
      <c r="AV837" s="0" t="s">
        <v>332</v>
      </c>
      <c r="AX837" s="0" t="s">
        <v>514</v>
      </c>
      <c r="AY837" s="0" t="s">
        <v>335</v>
      </c>
      <c r="AZ837" s="0" t="s">
        <v>501</v>
      </c>
      <c r="BA837" s="0">
        <v>520</v>
      </c>
      <c r="BB837" s="0" t="s">
        <v>232</v>
      </c>
      <c r="BC837" s="0">
        <v>2</v>
      </c>
      <c r="BD837" s="0">
        <v>374043</v>
      </c>
      <c r="BE837" s="0">
        <v>134783</v>
      </c>
      <c r="BF837" s="0">
        <v>5</v>
      </c>
      <c r="BG837" s="0" t="s">
        <v>6351</v>
      </c>
      <c r="BI837" s="0">
        <v>1432</v>
      </c>
      <c r="BK837" s="0" t="s">
        <v>6352</v>
      </c>
    </row>
    <row r="838">
      <c r="A838" s="0">
        <v>5554</v>
      </c>
      <c r="B838" s="0" t="s">
        <v>6353</v>
      </c>
      <c r="C838" s="0" t="s">
        <v>579</v>
      </c>
      <c r="D838" s="0" t="s">
        <v>6239</v>
      </c>
      <c r="E838" s="0" t="s">
        <v>6354</v>
      </c>
      <c r="F838" s="0">
        <v>1</v>
      </c>
      <c r="G838" s="0" t="s">
        <v>293</v>
      </c>
      <c r="H838" s="0" t="s">
        <v>294</v>
      </c>
      <c r="I838" s="0" t="s">
        <v>5446</v>
      </c>
      <c r="J838" s="0" t="s">
        <v>581</v>
      </c>
      <c r="L838" s="0" t="s">
        <v>583</v>
      </c>
      <c r="P838" s="0" t="s">
        <v>343</v>
      </c>
      <c r="Q838" s="0" t="s">
        <v>343</v>
      </c>
      <c r="T838" s="0" t="s">
        <v>6355</v>
      </c>
      <c r="U838" s="0" t="s">
        <v>6356</v>
      </c>
      <c r="W838" s="0" t="s">
        <v>6239</v>
      </c>
      <c r="X838" s="0" t="s">
        <v>298</v>
      </c>
      <c r="Y838" s="0" t="s">
        <v>36</v>
      </c>
      <c r="Z838" s="0" t="s">
        <v>4002</v>
      </c>
      <c r="AA838" s="0" t="s">
        <v>151</v>
      </c>
      <c r="AB838" s="0" t="s">
        <v>300</v>
      </c>
      <c r="AD838" s="0" t="s">
        <v>4003</v>
      </c>
      <c r="AE838" s="0" t="s">
        <v>6243</v>
      </c>
      <c r="AF838" s="0" t="s">
        <v>301</v>
      </c>
      <c r="AM838" s="0" t="s">
        <v>6357</v>
      </c>
      <c r="AN838" s="0" t="s">
        <v>6357</v>
      </c>
      <c r="AO838" s="0" t="s">
        <v>6358</v>
      </c>
      <c r="AP838" s="0" t="s">
        <v>305</v>
      </c>
      <c r="AQ838" s="0" t="s">
        <v>883</v>
      </c>
      <c r="AR838" s="0" t="s">
        <v>307</v>
      </c>
      <c r="AS838" s="0">
        <v>297</v>
      </c>
      <c r="AT838" s="0">
        <v>621</v>
      </c>
      <c r="AU838" s="0">
        <v>723</v>
      </c>
      <c r="AV838" s="0" t="s">
        <v>977</v>
      </c>
      <c r="AW838" s="0" t="s">
        <v>332</v>
      </c>
      <c r="AX838" s="0" t="s">
        <v>2900</v>
      </c>
      <c r="AY838" s="0" t="s">
        <v>2900</v>
      </c>
      <c r="AZ838" s="0" t="s">
        <v>1302</v>
      </c>
      <c r="BA838" s="0">
        <v>520</v>
      </c>
      <c r="BB838" s="0" t="s">
        <v>232</v>
      </c>
      <c r="BC838" s="0">
        <v>2</v>
      </c>
      <c r="BD838" s="0">
        <v>374046</v>
      </c>
      <c r="BE838" s="0">
        <v>134783</v>
      </c>
      <c r="BF838" s="0">
        <v>5</v>
      </c>
      <c r="BG838" s="0" t="s">
        <v>6359</v>
      </c>
      <c r="BI838" s="0">
        <v>3386</v>
      </c>
      <c r="BK838" s="0" t="s">
        <v>6360</v>
      </c>
    </row>
    <row r="839">
      <c r="A839" s="0">
        <v>5542</v>
      </c>
      <c r="B839" s="0" t="s">
        <v>6361</v>
      </c>
      <c r="C839" s="0" t="s">
        <v>315</v>
      </c>
      <c r="D839" s="0" t="s">
        <v>6239</v>
      </c>
      <c r="E839" s="0" t="s">
        <v>6362</v>
      </c>
      <c r="F839" s="0">
        <v>1</v>
      </c>
      <c r="G839" s="0" t="s">
        <v>319</v>
      </c>
      <c r="H839" s="0" t="s">
        <v>398</v>
      </c>
      <c r="I839" s="0" t="s">
        <v>471</v>
      </c>
      <c r="J839" s="0" t="s">
        <v>594</v>
      </c>
      <c r="K839" s="0" t="s">
        <v>1190</v>
      </c>
      <c r="L839" s="0" t="s">
        <v>469</v>
      </c>
      <c r="P839" s="0" t="s">
        <v>323</v>
      </c>
      <c r="Q839" s="0" t="s">
        <v>323</v>
      </c>
      <c r="R839" s="0" t="s">
        <v>3998</v>
      </c>
      <c r="T839" s="0" t="s">
        <v>6363</v>
      </c>
      <c r="U839" s="0" t="s">
        <v>6364</v>
      </c>
      <c r="W839" s="0" t="s">
        <v>6239</v>
      </c>
      <c r="X839" s="0" t="s">
        <v>6242</v>
      </c>
      <c r="Y839" s="0" t="s">
        <v>36</v>
      </c>
      <c r="Z839" s="0" t="s">
        <v>4002</v>
      </c>
      <c r="AA839" s="0" t="s">
        <v>151</v>
      </c>
      <c r="AB839" s="0" t="s">
        <v>300</v>
      </c>
      <c r="AD839" s="0" t="s">
        <v>4003</v>
      </c>
      <c r="AE839" s="0" t="s">
        <v>6243</v>
      </c>
      <c r="AF839" s="0" t="s">
        <v>301</v>
      </c>
      <c r="AM839" s="0" t="s">
        <v>6365</v>
      </c>
      <c r="AN839" s="0" t="s">
        <v>6366</v>
      </c>
      <c r="AO839" s="0" t="s">
        <v>6367</v>
      </c>
      <c r="AP839" s="0" t="s">
        <v>305</v>
      </c>
      <c r="AQ839" s="0" t="s">
        <v>6368</v>
      </c>
      <c r="AR839" s="0" t="s">
        <v>6369</v>
      </c>
      <c r="AS839" s="0">
        <v>18</v>
      </c>
      <c r="AT839" s="0">
        <v>37</v>
      </c>
      <c r="AU839" s="0">
        <v>42</v>
      </c>
      <c r="AV839" s="0" t="s">
        <v>1048</v>
      </c>
      <c r="AW839" s="0" t="s">
        <v>308</v>
      </c>
      <c r="AX839" s="0" t="s">
        <v>6370</v>
      </c>
      <c r="AY839" s="0" t="s">
        <v>6371</v>
      </c>
      <c r="AZ839" s="0" t="s">
        <v>6372</v>
      </c>
      <c r="BA839" s="0">
        <v>520</v>
      </c>
      <c r="BB839" s="0" t="s">
        <v>232</v>
      </c>
      <c r="BC839" s="0">
        <v>2</v>
      </c>
      <c r="BD839" s="0">
        <v>374043</v>
      </c>
      <c r="BE839" s="0">
        <v>134783</v>
      </c>
      <c r="BF839" s="0">
        <v>3</v>
      </c>
      <c r="BG839" s="0" t="s">
        <v>6373</v>
      </c>
      <c r="BI839" s="0">
        <v>2760</v>
      </c>
      <c r="BK839" s="0" t="s">
        <v>6374</v>
      </c>
    </row>
    <row r="840">
      <c r="A840" s="0">
        <v>5556</v>
      </c>
      <c r="B840" s="0" t="s">
        <v>6375</v>
      </c>
      <c r="C840" s="0" t="s">
        <v>6376</v>
      </c>
      <c r="D840" s="0" t="s">
        <v>6239</v>
      </c>
      <c r="E840" s="0" t="s">
        <v>6377</v>
      </c>
      <c r="F840" s="0">
        <v>1</v>
      </c>
      <c r="G840" s="0" t="s">
        <v>319</v>
      </c>
      <c r="H840" s="0" t="s">
        <v>523</v>
      </c>
      <c r="I840" s="0" t="s">
        <v>1268</v>
      </c>
      <c r="J840" s="0" t="s">
        <v>594</v>
      </c>
      <c r="K840" s="0" t="s">
        <v>594</v>
      </c>
      <c r="L840" s="0" t="s">
        <v>5473</v>
      </c>
      <c r="P840" s="0" t="s">
        <v>343</v>
      </c>
      <c r="Q840" s="0" t="s">
        <v>343</v>
      </c>
      <c r="R840" s="0" t="s">
        <v>343</v>
      </c>
      <c r="T840" s="0" t="s">
        <v>6378</v>
      </c>
      <c r="U840" s="0" t="s">
        <v>6379</v>
      </c>
      <c r="W840" s="0" t="s">
        <v>6239</v>
      </c>
      <c r="X840" s="0" t="s">
        <v>347</v>
      </c>
      <c r="Y840" s="0" t="s">
        <v>36</v>
      </c>
      <c r="Z840" s="0" t="s">
        <v>4002</v>
      </c>
      <c r="AA840" s="0" t="s">
        <v>151</v>
      </c>
      <c r="AB840" s="0" t="s">
        <v>300</v>
      </c>
      <c r="AD840" s="0" t="s">
        <v>4003</v>
      </c>
      <c r="AE840" s="0" t="s">
        <v>6243</v>
      </c>
      <c r="AF840" s="0" t="s">
        <v>301</v>
      </c>
      <c r="AM840" s="0" t="s">
        <v>2749</v>
      </c>
      <c r="AN840" s="0" t="s">
        <v>372</v>
      </c>
      <c r="AO840" s="0" t="s">
        <v>503</v>
      </c>
      <c r="AP840" s="0" t="s">
        <v>305</v>
      </c>
      <c r="AQ840" s="0" t="s">
        <v>6380</v>
      </c>
      <c r="AR840" s="0" t="s">
        <v>6381</v>
      </c>
      <c r="AS840" s="0">
        <v>100</v>
      </c>
      <c r="AT840" s="0">
        <v>204</v>
      </c>
      <c r="AU840" s="0">
        <v>264</v>
      </c>
      <c r="AV840" s="0" t="s">
        <v>332</v>
      </c>
      <c r="AW840" s="0" t="s">
        <v>332</v>
      </c>
      <c r="AX840" s="0" t="s">
        <v>365</v>
      </c>
      <c r="AY840" s="0" t="s">
        <v>309</v>
      </c>
      <c r="AZ840" s="0" t="s">
        <v>739</v>
      </c>
      <c r="BA840" s="0">
        <v>520</v>
      </c>
      <c r="BB840" s="0" t="s">
        <v>232</v>
      </c>
      <c r="BC840" s="0">
        <v>2</v>
      </c>
      <c r="BD840" s="0">
        <v>374103</v>
      </c>
      <c r="BE840" s="0">
        <v>134783</v>
      </c>
      <c r="BF840" s="0">
        <v>4</v>
      </c>
      <c r="BG840" s="0" t="s">
        <v>6382</v>
      </c>
      <c r="BI840" s="0">
        <v>3508</v>
      </c>
      <c r="BK840" s="0" t="s">
        <v>6383</v>
      </c>
    </row>
    <row r="841">
      <c r="A841" s="0">
        <v>5552</v>
      </c>
      <c r="B841" s="0" t="s">
        <v>1757</v>
      </c>
      <c r="C841" s="0" t="s">
        <v>1139</v>
      </c>
      <c r="D841" s="0" t="s">
        <v>5285</v>
      </c>
      <c r="E841" s="0" t="s">
        <v>1758</v>
      </c>
      <c r="F841" s="0">
        <v>1</v>
      </c>
      <c r="G841" s="0" t="s">
        <v>293</v>
      </c>
      <c r="H841" s="0" t="s">
        <v>294</v>
      </c>
      <c r="I841" s="0" t="s">
        <v>295</v>
      </c>
      <c r="P841" s="0" t="s">
        <v>343</v>
      </c>
      <c r="Q841" s="0" t="s">
        <v>343</v>
      </c>
      <c r="U841" s="0" t="s">
        <v>6384</v>
      </c>
      <c r="X841" s="0" t="s">
        <v>298</v>
      </c>
      <c r="Y841" s="0" t="s">
        <v>87</v>
      </c>
      <c r="Z841" s="0" t="s">
        <v>6385</v>
      </c>
      <c r="AA841" s="0" t="s">
        <v>148</v>
      </c>
      <c r="AB841" s="0" t="s">
        <v>531</v>
      </c>
      <c r="AC841" s="0" t="s">
        <v>532</v>
      </c>
      <c r="AE841" s="0" t="s">
        <v>6386</v>
      </c>
      <c r="AF841" s="0" t="s">
        <v>301</v>
      </c>
      <c r="AP841" s="0" t="s">
        <v>305</v>
      </c>
      <c r="BA841" s="0">
        <v>521</v>
      </c>
      <c r="BB841" s="0" t="s">
        <v>232</v>
      </c>
      <c r="BC841" s="0">
        <v>2</v>
      </c>
      <c r="BD841" s="0">
        <v>38030</v>
      </c>
      <c r="BE841" s="0">
        <v>192</v>
      </c>
      <c r="BF841" s="0">
        <v>5</v>
      </c>
      <c r="BG841" s="0" t="s">
        <v>6387</v>
      </c>
      <c r="BI841" s="0">
        <v>1942</v>
      </c>
      <c r="BK841" s="0" t="s">
        <v>6388</v>
      </c>
    </row>
    <row r="842">
      <c r="A842" s="0">
        <v>5550</v>
      </c>
      <c r="B842" s="0" t="s">
        <v>1854</v>
      </c>
      <c r="C842" s="0" t="s">
        <v>1855</v>
      </c>
      <c r="D842" s="0" t="s">
        <v>5285</v>
      </c>
      <c r="E842" s="0" t="s">
        <v>1856</v>
      </c>
      <c r="F842" s="0">
        <v>2</v>
      </c>
      <c r="G842" s="0" t="s">
        <v>293</v>
      </c>
      <c r="H842" s="0" t="s">
        <v>294</v>
      </c>
      <c r="I842" s="0" t="s">
        <v>295</v>
      </c>
      <c r="K842" s="0" t="s">
        <v>400</v>
      </c>
      <c r="L842" s="0" t="s">
        <v>1916</v>
      </c>
      <c r="P842" s="0" t="s">
        <v>343</v>
      </c>
      <c r="Q842" s="0" t="s">
        <v>343</v>
      </c>
      <c r="U842" s="0" t="s">
        <v>6389</v>
      </c>
      <c r="X842" s="0" t="s">
        <v>298</v>
      </c>
      <c r="Y842" s="0" t="s">
        <v>87</v>
      </c>
      <c r="Z842" s="0" t="s">
        <v>6385</v>
      </c>
      <c r="AA842" s="0" t="s">
        <v>148</v>
      </c>
      <c r="AB842" s="0" t="s">
        <v>531</v>
      </c>
      <c r="AC842" s="0" t="s">
        <v>532</v>
      </c>
      <c r="AE842" s="0" t="s">
        <v>6386</v>
      </c>
      <c r="AF842" s="0" t="s">
        <v>301</v>
      </c>
      <c r="AP842" s="0" t="s">
        <v>305</v>
      </c>
      <c r="BA842" s="0">
        <v>521</v>
      </c>
      <c r="BB842" s="0" t="s">
        <v>232</v>
      </c>
      <c r="BC842" s="0">
        <v>2</v>
      </c>
      <c r="BD842" s="0">
        <v>28</v>
      </c>
      <c r="BE842" s="0">
        <v>192</v>
      </c>
      <c r="BF842" s="0">
        <v>5</v>
      </c>
      <c r="BG842" s="0" t="s">
        <v>6390</v>
      </c>
      <c r="BI842" s="0">
        <v>1433</v>
      </c>
      <c r="BK842" s="0" t="s">
        <v>6391</v>
      </c>
    </row>
    <row r="843">
      <c r="A843" s="0">
        <v>5551</v>
      </c>
      <c r="B843" s="0" t="s">
        <v>1860</v>
      </c>
      <c r="C843" s="0" t="s">
        <v>1855</v>
      </c>
      <c r="D843" s="0" t="s">
        <v>5285</v>
      </c>
      <c r="E843" s="0" t="s">
        <v>1861</v>
      </c>
      <c r="F843" s="0">
        <v>1</v>
      </c>
      <c r="G843" s="0" t="s">
        <v>293</v>
      </c>
      <c r="H843" s="0" t="s">
        <v>294</v>
      </c>
      <c r="I843" s="0" t="s">
        <v>295</v>
      </c>
      <c r="K843" s="0" t="s">
        <v>400</v>
      </c>
      <c r="L843" s="0" t="s">
        <v>1916</v>
      </c>
      <c r="P843" s="0" t="s">
        <v>343</v>
      </c>
      <c r="Q843" s="0" t="s">
        <v>343</v>
      </c>
      <c r="U843" s="0" t="s">
        <v>6392</v>
      </c>
      <c r="X843" s="0" t="s">
        <v>298</v>
      </c>
      <c r="Y843" s="0" t="s">
        <v>87</v>
      </c>
      <c r="Z843" s="0" t="s">
        <v>6385</v>
      </c>
      <c r="AA843" s="0" t="s">
        <v>148</v>
      </c>
      <c r="AB843" s="0" t="s">
        <v>531</v>
      </c>
      <c r="AC843" s="0" t="s">
        <v>532</v>
      </c>
      <c r="AE843" s="0" t="s">
        <v>6386</v>
      </c>
      <c r="AF843" s="0" t="s">
        <v>301</v>
      </c>
      <c r="AP843" s="0" t="s">
        <v>305</v>
      </c>
      <c r="BA843" s="0">
        <v>521</v>
      </c>
      <c r="BB843" s="0" t="s">
        <v>232</v>
      </c>
      <c r="BC843" s="0">
        <v>2</v>
      </c>
      <c r="BD843" s="0">
        <v>28</v>
      </c>
      <c r="BE843" s="0">
        <v>192</v>
      </c>
      <c r="BF843" s="0">
        <v>5</v>
      </c>
      <c r="BG843" s="0" t="s">
        <v>6393</v>
      </c>
      <c r="BI843" s="0">
        <v>1699</v>
      </c>
      <c r="BK843" s="0" t="s">
        <v>6394</v>
      </c>
    </row>
    <row r="844">
      <c r="A844" s="0">
        <v>5549</v>
      </c>
      <c r="B844" s="0" t="s">
        <v>547</v>
      </c>
      <c r="C844" s="0" t="s">
        <v>315</v>
      </c>
      <c r="D844" s="0" t="s">
        <v>5285</v>
      </c>
      <c r="E844" s="0" t="s">
        <v>548</v>
      </c>
      <c r="F844" s="0">
        <v>1</v>
      </c>
      <c r="G844" s="0" t="s">
        <v>293</v>
      </c>
      <c r="H844" s="0" t="s">
        <v>294</v>
      </c>
      <c r="I844" s="0" t="s">
        <v>295</v>
      </c>
      <c r="K844" s="0" t="s">
        <v>400</v>
      </c>
      <c r="L844" s="0" t="s">
        <v>2947</v>
      </c>
      <c r="P844" s="0" t="s">
        <v>343</v>
      </c>
      <c r="Q844" s="0" t="s">
        <v>343</v>
      </c>
      <c r="U844" s="0" t="s">
        <v>6395</v>
      </c>
      <c r="X844" s="0" t="s">
        <v>298</v>
      </c>
      <c r="Y844" s="0" t="s">
        <v>87</v>
      </c>
      <c r="Z844" s="0" t="s">
        <v>6385</v>
      </c>
      <c r="AA844" s="0" t="s">
        <v>148</v>
      </c>
      <c r="AB844" s="0" t="s">
        <v>531</v>
      </c>
      <c r="AC844" s="0" t="s">
        <v>532</v>
      </c>
      <c r="AE844" s="0" t="s">
        <v>6386</v>
      </c>
      <c r="AF844" s="0" t="s">
        <v>301</v>
      </c>
      <c r="AP844" s="0" t="s">
        <v>305</v>
      </c>
      <c r="BA844" s="0">
        <v>521</v>
      </c>
      <c r="BB844" s="0" t="s">
        <v>232</v>
      </c>
      <c r="BC844" s="0">
        <v>2</v>
      </c>
      <c r="BD844" s="0">
        <v>374043</v>
      </c>
      <c r="BE844" s="0">
        <v>192</v>
      </c>
      <c r="BF844" s="0">
        <v>5</v>
      </c>
      <c r="BG844" s="0" t="s">
        <v>6396</v>
      </c>
      <c r="BI844" s="0">
        <v>1128</v>
      </c>
      <c r="BK844" s="0" t="s">
        <v>6397</v>
      </c>
    </row>
    <row r="845">
      <c r="A845" s="0">
        <v>5547</v>
      </c>
      <c r="B845" s="0" t="s">
        <v>553</v>
      </c>
      <c r="C845" s="0" t="s">
        <v>315</v>
      </c>
      <c r="D845" s="0" t="s">
        <v>5285</v>
      </c>
      <c r="E845" s="0" t="s">
        <v>554</v>
      </c>
      <c r="F845" s="0">
        <v>1</v>
      </c>
      <c r="G845" s="0" t="s">
        <v>543</v>
      </c>
      <c r="H845" s="0" t="s">
        <v>1112</v>
      </c>
      <c r="I845" s="0" t="s">
        <v>4069</v>
      </c>
      <c r="K845" s="0" t="s">
        <v>400</v>
      </c>
      <c r="L845" s="0" t="s">
        <v>2947</v>
      </c>
      <c r="M845" s="0" t="s">
        <v>293</v>
      </c>
      <c r="N845" s="0" t="s">
        <v>294</v>
      </c>
      <c r="O845" s="0" t="s">
        <v>295</v>
      </c>
      <c r="P845" s="0" t="s">
        <v>323</v>
      </c>
      <c r="Q845" s="0" t="s">
        <v>323</v>
      </c>
      <c r="R845" s="0" t="s">
        <v>1783</v>
      </c>
      <c r="U845" s="0" t="s">
        <v>6398</v>
      </c>
      <c r="X845" s="0" t="s">
        <v>298</v>
      </c>
      <c r="Y845" s="0" t="s">
        <v>87</v>
      </c>
      <c r="Z845" s="0" t="s">
        <v>6385</v>
      </c>
      <c r="AA845" s="0" t="s">
        <v>148</v>
      </c>
      <c r="AB845" s="0" t="s">
        <v>531</v>
      </c>
      <c r="AC845" s="0" t="s">
        <v>532</v>
      </c>
      <c r="AE845" s="0" t="s">
        <v>6386</v>
      </c>
      <c r="AF845" s="0" t="s">
        <v>301</v>
      </c>
      <c r="AP845" s="0" t="s">
        <v>305</v>
      </c>
      <c r="BA845" s="0">
        <v>521</v>
      </c>
      <c r="BB845" s="0" t="s">
        <v>232</v>
      </c>
      <c r="BC845" s="0">
        <v>2</v>
      </c>
      <c r="BD845" s="0">
        <v>374043</v>
      </c>
      <c r="BE845" s="0">
        <v>192</v>
      </c>
      <c r="BF845" s="0">
        <v>5</v>
      </c>
      <c r="BG845" s="0" t="s">
        <v>6399</v>
      </c>
      <c r="BI845" s="0">
        <v>397</v>
      </c>
      <c r="BK845" s="0" t="s">
        <v>6400</v>
      </c>
    </row>
    <row r="846">
      <c r="A846" s="0">
        <v>5548</v>
      </c>
      <c r="B846" s="0" t="s">
        <v>6401</v>
      </c>
      <c r="C846" s="0" t="s">
        <v>315</v>
      </c>
      <c r="D846" s="0" t="s">
        <v>5285</v>
      </c>
      <c r="E846" s="0" t="s">
        <v>6402</v>
      </c>
      <c r="F846" s="0">
        <v>2</v>
      </c>
      <c r="G846" s="0" t="s">
        <v>543</v>
      </c>
      <c r="H846" s="0" t="s">
        <v>1112</v>
      </c>
      <c r="I846" s="0" t="s">
        <v>4069</v>
      </c>
      <c r="K846" s="0" t="s">
        <v>400</v>
      </c>
      <c r="L846" s="0" t="s">
        <v>2947</v>
      </c>
      <c r="P846" s="0" t="s">
        <v>323</v>
      </c>
      <c r="Q846" s="0" t="s">
        <v>323</v>
      </c>
      <c r="R846" s="0" t="s">
        <v>1783</v>
      </c>
      <c r="U846" s="0" t="s">
        <v>6403</v>
      </c>
      <c r="X846" s="0" t="s">
        <v>298</v>
      </c>
      <c r="Y846" s="0" t="s">
        <v>87</v>
      </c>
      <c r="Z846" s="0" t="s">
        <v>6385</v>
      </c>
      <c r="AA846" s="0" t="s">
        <v>148</v>
      </c>
      <c r="AB846" s="0" t="s">
        <v>531</v>
      </c>
      <c r="AC846" s="0" t="s">
        <v>532</v>
      </c>
      <c r="AE846" s="0" t="s">
        <v>6386</v>
      </c>
      <c r="AF846" s="0" t="s">
        <v>301</v>
      </c>
      <c r="AP846" s="0" t="s">
        <v>305</v>
      </c>
      <c r="BA846" s="0">
        <v>521</v>
      </c>
      <c r="BB846" s="0" t="s">
        <v>232</v>
      </c>
      <c r="BC846" s="0">
        <v>2</v>
      </c>
      <c r="BD846" s="0">
        <v>374043</v>
      </c>
      <c r="BE846" s="0">
        <v>192</v>
      </c>
      <c r="BF846" s="0">
        <v>5</v>
      </c>
      <c r="BG846" s="0" t="s">
        <v>6404</v>
      </c>
      <c r="BI846" s="0">
        <v>798</v>
      </c>
      <c r="BK846" s="0" t="s">
        <v>6405</v>
      </c>
    </row>
    <row r="847">
      <c r="A847" s="0">
        <v>5553</v>
      </c>
      <c r="B847" s="0" t="s">
        <v>1895</v>
      </c>
      <c r="C847" s="0" t="s">
        <v>1139</v>
      </c>
      <c r="D847" s="0" t="s">
        <v>5285</v>
      </c>
      <c r="E847" s="0" t="s">
        <v>1896</v>
      </c>
      <c r="F847" s="0">
        <v>1</v>
      </c>
      <c r="G847" s="0" t="s">
        <v>293</v>
      </c>
      <c r="H847" s="0" t="s">
        <v>294</v>
      </c>
      <c r="I847" s="0" t="s">
        <v>295</v>
      </c>
      <c r="P847" s="0" t="s">
        <v>343</v>
      </c>
      <c r="Q847" s="0" t="s">
        <v>343</v>
      </c>
      <c r="U847" s="0" t="s">
        <v>6406</v>
      </c>
      <c r="X847" s="0" t="s">
        <v>298</v>
      </c>
      <c r="Y847" s="0" t="s">
        <v>87</v>
      </c>
      <c r="Z847" s="0" t="s">
        <v>6385</v>
      </c>
      <c r="AA847" s="0" t="s">
        <v>148</v>
      </c>
      <c r="AB847" s="0" t="s">
        <v>531</v>
      </c>
      <c r="AC847" s="0" t="s">
        <v>532</v>
      </c>
      <c r="AE847" s="0" t="s">
        <v>6386</v>
      </c>
      <c r="AF847" s="0" t="s">
        <v>301</v>
      </c>
      <c r="AP847" s="0" t="s">
        <v>305</v>
      </c>
      <c r="BA847" s="0">
        <v>521</v>
      </c>
      <c r="BB847" s="0" t="s">
        <v>232</v>
      </c>
      <c r="BC847" s="0">
        <v>2</v>
      </c>
      <c r="BD847" s="0">
        <v>38030</v>
      </c>
      <c r="BE847" s="0">
        <v>192</v>
      </c>
      <c r="BF847" s="0">
        <v>5</v>
      </c>
      <c r="BG847" s="0" t="s">
        <v>6407</v>
      </c>
      <c r="BI847" s="0">
        <v>2173</v>
      </c>
      <c r="BK847" s="0" t="s">
        <v>6408</v>
      </c>
    </row>
    <row r="848">
      <c r="A848" s="0">
        <v>5555</v>
      </c>
      <c r="B848" s="0" t="s">
        <v>6409</v>
      </c>
      <c r="C848" s="0" t="s">
        <v>315</v>
      </c>
      <c r="D848" s="0" t="s">
        <v>5285</v>
      </c>
      <c r="E848" s="0" t="s">
        <v>6410</v>
      </c>
      <c r="F848" s="0">
        <v>1</v>
      </c>
      <c r="G848" s="0" t="s">
        <v>319</v>
      </c>
      <c r="H848" s="0" t="s">
        <v>398</v>
      </c>
      <c r="I848" s="0" t="s">
        <v>471</v>
      </c>
      <c r="J848" s="0" t="s">
        <v>508</v>
      </c>
      <c r="K848" s="0" t="s">
        <v>1190</v>
      </c>
      <c r="L848" s="0" t="s">
        <v>469</v>
      </c>
      <c r="P848" s="0" t="s">
        <v>1667</v>
      </c>
      <c r="Q848" s="0" t="s">
        <v>1686</v>
      </c>
      <c r="R848" s="0" t="s">
        <v>2007</v>
      </c>
      <c r="T848" s="0" t="s">
        <v>6411</v>
      </c>
      <c r="X848" s="0" t="s">
        <v>529</v>
      </c>
      <c r="Y848" s="0" t="s">
        <v>150</v>
      </c>
      <c r="Z848" s="0" t="s">
        <v>1919</v>
      </c>
      <c r="AA848" s="0" t="s">
        <v>149</v>
      </c>
      <c r="AB848" s="0" t="s">
        <v>300</v>
      </c>
      <c r="AC848" s="0" t="s">
        <v>571</v>
      </c>
      <c r="AF848" s="0" t="s">
        <v>1688</v>
      </c>
      <c r="AP848" s="0" t="s">
        <v>305</v>
      </c>
      <c r="BA848" s="0">
        <v>522</v>
      </c>
      <c r="BB848" s="0" t="s">
        <v>232</v>
      </c>
      <c r="BC848" s="0">
        <v>3</v>
      </c>
      <c r="BD848" s="0">
        <v>374043</v>
      </c>
      <c r="BE848" s="0">
        <v>142781</v>
      </c>
      <c r="BF848" s="0">
        <v>2</v>
      </c>
      <c r="BG848" s="0" t="s">
        <v>6412</v>
      </c>
      <c r="BI848" s="0">
        <v>396</v>
      </c>
      <c r="BK848" s="0" t="s">
        <v>6413</v>
      </c>
    </row>
    <row r="849">
      <c r="A849" s="0">
        <v>5644</v>
      </c>
      <c r="B849" s="0" t="s">
        <v>6414</v>
      </c>
      <c r="C849" s="0" t="s">
        <v>656</v>
      </c>
      <c r="D849" s="0" t="s">
        <v>6074</v>
      </c>
      <c r="E849" s="0" t="s">
        <v>6415</v>
      </c>
      <c r="F849" s="0">
        <v>1</v>
      </c>
      <c r="G849" s="0" t="s">
        <v>293</v>
      </c>
      <c r="H849" s="0" t="s">
        <v>294</v>
      </c>
      <c r="I849" s="0" t="s">
        <v>295</v>
      </c>
      <c r="U849" s="0" t="s">
        <v>6416</v>
      </c>
      <c r="W849" s="0" t="s">
        <v>6074</v>
      </c>
      <c r="X849" s="0" t="s">
        <v>298</v>
      </c>
      <c r="Y849" s="0" t="s">
        <v>138</v>
      </c>
      <c r="Z849" s="0" t="s">
        <v>6417</v>
      </c>
      <c r="AA849" s="0" t="s">
        <v>137</v>
      </c>
      <c r="AB849" s="0" t="s">
        <v>531</v>
      </c>
      <c r="AC849" s="0" t="s">
        <v>571</v>
      </c>
      <c r="AD849" s="0" t="s">
        <v>6418</v>
      </c>
      <c r="AE849" s="0" t="s">
        <v>6419</v>
      </c>
      <c r="AF849" s="0" t="s">
        <v>301</v>
      </c>
      <c r="AP849" s="0" t="s">
        <v>305</v>
      </c>
      <c r="BA849" s="0">
        <v>523</v>
      </c>
      <c r="BB849" s="0" t="s">
        <v>232</v>
      </c>
      <c r="BC849" s="0">
        <v>2</v>
      </c>
      <c r="BD849" s="0">
        <v>10</v>
      </c>
      <c r="BE849" s="0">
        <v>518933</v>
      </c>
      <c r="BF849" s="0">
        <v>5</v>
      </c>
      <c r="BG849" s="0" t="s">
        <v>6420</v>
      </c>
      <c r="BI849" s="0">
        <v>2587</v>
      </c>
      <c r="BK849" s="0" t="s">
        <v>6421</v>
      </c>
    </row>
    <row r="850">
      <c r="A850" s="0">
        <v>5569</v>
      </c>
      <c r="B850" s="0" t="s">
        <v>6422</v>
      </c>
      <c r="C850" s="0" t="s">
        <v>656</v>
      </c>
      <c r="D850" s="0" t="s">
        <v>6074</v>
      </c>
      <c r="E850" s="0" t="s">
        <v>6423</v>
      </c>
      <c r="F850" s="0">
        <v>1</v>
      </c>
      <c r="G850" s="0" t="s">
        <v>293</v>
      </c>
      <c r="H850" s="0" t="s">
        <v>294</v>
      </c>
      <c r="I850" s="0" t="s">
        <v>295</v>
      </c>
      <c r="J850" s="0" t="s">
        <v>555</v>
      </c>
      <c r="K850" s="0" t="s">
        <v>1112</v>
      </c>
      <c r="L850" s="0" t="s">
        <v>2947</v>
      </c>
      <c r="P850" s="0" t="s">
        <v>323</v>
      </c>
      <c r="Q850" s="0" t="s">
        <v>6424</v>
      </c>
      <c r="R850" s="0" t="s">
        <v>673</v>
      </c>
      <c r="U850" s="0" t="s">
        <v>6425</v>
      </c>
      <c r="W850" s="0" t="s">
        <v>6074</v>
      </c>
      <c r="X850" s="0" t="s">
        <v>298</v>
      </c>
      <c r="Y850" s="0" t="s">
        <v>138</v>
      </c>
      <c r="Z850" s="0" t="s">
        <v>6417</v>
      </c>
      <c r="AA850" s="0" t="s">
        <v>137</v>
      </c>
      <c r="AB850" s="0" t="s">
        <v>531</v>
      </c>
      <c r="AC850" s="0" t="s">
        <v>571</v>
      </c>
      <c r="AD850" s="0" t="s">
        <v>6418</v>
      </c>
      <c r="AE850" s="0" t="s">
        <v>6419</v>
      </c>
      <c r="AF850" s="0" t="s">
        <v>301</v>
      </c>
      <c r="AP850" s="0" t="s">
        <v>305</v>
      </c>
      <c r="BA850" s="0">
        <v>523</v>
      </c>
      <c r="BB850" s="0" t="s">
        <v>232</v>
      </c>
      <c r="BC850" s="0">
        <v>2</v>
      </c>
      <c r="BD850" s="0">
        <v>10</v>
      </c>
      <c r="BE850" s="0">
        <v>518933</v>
      </c>
      <c r="BF850" s="0">
        <v>5</v>
      </c>
      <c r="BG850" s="0" t="s">
        <v>6426</v>
      </c>
      <c r="BI850" s="0">
        <v>3254</v>
      </c>
      <c r="BK850" s="0" t="s">
        <v>6427</v>
      </c>
    </row>
    <row r="851">
      <c r="A851" s="0">
        <v>5567</v>
      </c>
      <c r="B851" s="0" t="s">
        <v>6428</v>
      </c>
      <c r="C851" s="0" t="s">
        <v>656</v>
      </c>
      <c r="D851" s="0" t="s">
        <v>6074</v>
      </c>
      <c r="E851" s="0" t="s">
        <v>6429</v>
      </c>
      <c r="F851" s="0">
        <v>1</v>
      </c>
      <c r="G851" s="0" t="s">
        <v>293</v>
      </c>
      <c r="H851" s="0" t="s">
        <v>294</v>
      </c>
      <c r="I851" s="0" t="s">
        <v>295</v>
      </c>
      <c r="J851" s="0" t="s">
        <v>555</v>
      </c>
      <c r="K851" s="0" t="s">
        <v>1112</v>
      </c>
      <c r="L851" s="0" t="s">
        <v>2947</v>
      </c>
      <c r="P851" s="0" t="s">
        <v>323</v>
      </c>
      <c r="Q851" s="0" t="s">
        <v>6430</v>
      </c>
      <c r="R851" s="0" t="s">
        <v>673</v>
      </c>
      <c r="U851" s="0" t="s">
        <v>6431</v>
      </c>
      <c r="W851" s="0" t="s">
        <v>6074</v>
      </c>
      <c r="X851" s="0" t="s">
        <v>298</v>
      </c>
      <c r="Y851" s="0" t="s">
        <v>138</v>
      </c>
      <c r="Z851" s="0" t="s">
        <v>6417</v>
      </c>
      <c r="AA851" s="0" t="s">
        <v>137</v>
      </c>
      <c r="AB851" s="0" t="s">
        <v>531</v>
      </c>
      <c r="AC851" s="0" t="s">
        <v>571</v>
      </c>
      <c r="AD851" s="0" t="s">
        <v>6418</v>
      </c>
      <c r="AE851" s="0" t="s">
        <v>6419</v>
      </c>
      <c r="AF851" s="0" t="s">
        <v>301</v>
      </c>
      <c r="AP851" s="0" t="s">
        <v>305</v>
      </c>
      <c r="BA851" s="0">
        <v>523</v>
      </c>
      <c r="BB851" s="0" t="s">
        <v>232</v>
      </c>
      <c r="BC851" s="0">
        <v>2</v>
      </c>
      <c r="BD851" s="0">
        <v>10</v>
      </c>
      <c r="BE851" s="0">
        <v>518933</v>
      </c>
      <c r="BF851" s="0">
        <v>5</v>
      </c>
      <c r="BG851" s="0" t="s">
        <v>6432</v>
      </c>
      <c r="BI851" s="0">
        <v>3104</v>
      </c>
      <c r="BK851" s="0" t="s">
        <v>6433</v>
      </c>
    </row>
    <row r="852">
      <c r="A852" s="0">
        <v>5641</v>
      </c>
      <c r="B852" s="0" t="s">
        <v>6434</v>
      </c>
      <c r="C852" s="0" t="s">
        <v>945</v>
      </c>
      <c r="D852" s="0" t="s">
        <v>6074</v>
      </c>
      <c r="E852" s="0" t="s">
        <v>6435</v>
      </c>
      <c r="F852" s="0">
        <v>1</v>
      </c>
      <c r="G852" s="0" t="s">
        <v>319</v>
      </c>
      <c r="H852" s="0" t="s">
        <v>658</v>
      </c>
      <c r="I852" s="0" t="s">
        <v>321</v>
      </c>
      <c r="J852" s="0" t="s">
        <v>594</v>
      </c>
      <c r="L852" s="0" t="s">
        <v>729</v>
      </c>
      <c r="P852" s="0" t="s">
        <v>323</v>
      </c>
      <c r="R852" s="0" t="s">
        <v>1791</v>
      </c>
      <c r="U852" s="0" t="s">
        <v>6436</v>
      </c>
      <c r="W852" s="0" t="s">
        <v>6074</v>
      </c>
      <c r="X852" s="0" t="s">
        <v>298</v>
      </c>
      <c r="Y852" s="0" t="s">
        <v>138</v>
      </c>
      <c r="Z852" s="0" t="s">
        <v>6417</v>
      </c>
      <c r="AA852" s="0" t="s">
        <v>137</v>
      </c>
      <c r="AB852" s="0" t="s">
        <v>531</v>
      </c>
      <c r="AC852" s="0" t="s">
        <v>571</v>
      </c>
      <c r="AD852" s="0" t="s">
        <v>6418</v>
      </c>
      <c r="AE852" s="0" t="s">
        <v>6419</v>
      </c>
      <c r="AF852" s="0" t="s">
        <v>301</v>
      </c>
      <c r="AP852" s="0" t="s">
        <v>305</v>
      </c>
      <c r="BA852" s="0">
        <v>523</v>
      </c>
      <c r="BB852" s="0" t="s">
        <v>232</v>
      </c>
      <c r="BC852" s="0">
        <v>2</v>
      </c>
      <c r="BD852" s="0">
        <v>14</v>
      </c>
      <c r="BE852" s="0">
        <v>518933</v>
      </c>
      <c r="BF852" s="0">
        <v>5</v>
      </c>
      <c r="BG852" s="0" t="s">
        <v>6437</v>
      </c>
      <c r="BI852" s="0">
        <v>1949</v>
      </c>
      <c r="BK852" s="0" t="s">
        <v>6438</v>
      </c>
    </row>
    <row r="853">
      <c r="A853" s="0">
        <v>5558</v>
      </c>
      <c r="B853" s="0" t="s">
        <v>6439</v>
      </c>
      <c r="C853" s="0" t="s">
        <v>315</v>
      </c>
      <c r="D853" s="0" t="s">
        <v>6074</v>
      </c>
      <c r="E853" s="0" t="s">
        <v>2954</v>
      </c>
      <c r="F853" s="0">
        <v>1</v>
      </c>
      <c r="G853" s="0" t="s">
        <v>319</v>
      </c>
      <c r="H853" s="0" t="s">
        <v>523</v>
      </c>
      <c r="I853" s="0" t="s">
        <v>524</v>
      </c>
      <c r="J853" s="0" t="s">
        <v>594</v>
      </c>
      <c r="L853" s="0" t="s">
        <v>6440</v>
      </c>
      <c r="N853" s="0" t="s">
        <v>400</v>
      </c>
      <c r="O853" s="0" t="s">
        <v>1133</v>
      </c>
      <c r="P853" s="0" t="s">
        <v>6441</v>
      </c>
      <c r="Q853" s="0" t="s">
        <v>343</v>
      </c>
      <c r="R853" s="0" t="s">
        <v>1783</v>
      </c>
      <c r="T853" s="0" t="s">
        <v>6442</v>
      </c>
      <c r="U853" s="0" t="s">
        <v>6443</v>
      </c>
      <c r="W853" s="0" t="s">
        <v>6074</v>
      </c>
      <c r="X853" s="0" t="s">
        <v>298</v>
      </c>
      <c r="Y853" s="0" t="s">
        <v>138</v>
      </c>
      <c r="Z853" s="0" t="s">
        <v>6417</v>
      </c>
      <c r="AA853" s="0" t="s">
        <v>137</v>
      </c>
      <c r="AB853" s="0" t="s">
        <v>531</v>
      </c>
      <c r="AC853" s="0" t="s">
        <v>571</v>
      </c>
      <c r="AD853" s="0" t="s">
        <v>6418</v>
      </c>
      <c r="AE853" s="0" t="s">
        <v>6419</v>
      </c>
      <c r="AF853" s="0" t="s">
        <v>301</v>
      </c>
      <c r="AP853" s="0" t="s">
        <v>305</v>
      </c>
      <c r="BA853" s="0">
        <v>523</v>
      </c>
      <c r="BB853" s="0" t="s">
        <v>232</v>
      </c>
      <c r="BC853" s="0">
        <v>2</v>
      </c>
      <c r="BD853" s="0">
        <v>374043</v>
      </c>
      <c r="BE853" s="0">
        <v>518933</v>
      </c>
      <c r="BF853" s="0">
        <v>5</v>
      </c>
      <c r="BG853" s="0" t="s">
        <v>6444</v>
      </c>
      <c r="BI853" s="0">
        <v>1439</v>
      </c>
      <c r="BK853" s="0" t="s">
        <v>6445</v>
      </c>
    </row>
    <row r="854">
      <c r="A854" s="0">
        <v>5642</v>
      </c>
      <c r="B854" s="0" t="s">
        <v>6446</v>
      </c>
      <c r="C854" s="0" t="s">
        <v>315</v>
      </c>
      <c r="D854" s="0" t="s">
        <v>6074</v>
      </c>
      <c r="E854" s="0" t="s">
        <v>6447</v>
      </c>
      <c r="F854" s="0">
        <v>1</v>
      </c>
      <c r="G854" s="0" t="s">
        <v>319</v>
      </c>
      <c r="H854" s="0" t="s">
        <v>1745</v>
      </c>
      <c r="I854" s="0" t="s">
        <v>417</v>
      </c>
      <c r="J854" s="0" t="s">
        <v>594</v>
      </c>
      <c r="L854" s="0" t="s">
        <v>1668</v>
      </c>
      <c r="P854" s="0" t="s">
        <v>323</v>
      </c>
      <c r="Q854" s="0" t="s">
        <v>343</v>
      </c>
      <c r="R854" s="0" t="s">
        <v>673</v>
      </c>
      <c r="U854" s="0" t="s">
        <v>6448</v>
      </c>
      <c r="W854" s="0" t="s">
        <v>6074</v>
      </c>
      <c r="X854" s="0" t="s">
        <v>298</v>
      </c>
      <c r="Y854" s="0" t="s">
        <v>138</v>
      </c>
      <c r="Z854" s="0" t="s">
        <v>6417</v>
      </c>
      <c r="AA854" s="0" t="s">
        <v>137</v>
      </c>
      <c r="AB854" s="0" t="s">
        <v>531</v>
      </c>
      <c r="AC854" s="0" t="s">
        <v>571</v>
      </c>
      <c r="AD854" s="0" t="s">
        <v>6418</v>
      </c>
      <c r="AE854" s="0" t="s">
        <v>6419</v>
      </c>
      <c r="AF854" s="0" t="s">
        <v>301</v>
      </c>
      <c r="AP854" s="0" t="s">
        <v>305</v>
      </c>
      <c r="BA854" s="0">
        <v>523</v>
      </c>
      <c r="BB854" s="0" t="s">
        <v>232</v>
      </c>
      <c r="BC854" s="0">
        <v>2</v>
      </c>
      <c r="BD854" s="0">
        <v>374043</v>
      </c>
      <c r="BE854" s="0">
        <v>518933</v>
      </c>
      <c r="BF854" s="0">
        <v>5</v>
      </c>
      <c r="BG854" s="0" t="s">
        <v>6449</v>
      </c>
      <c r="BI854" s="0">
        <v>1706</v>
      </c>
      <c r="BK854" s="0" t="s">
        <v>6450</v>
      </c>
    </row>
    <row r="855">
      <c r="A855" s="0">
        <v>5560</v>
      </c>
      <c r="B855" s="0" t="s">
        <v>1846</v>
      </c>
      <c r="C855" s="0" t="s">
        <v>315</v>
      </c>
      <c r="D855" s="0" t="s">
        <v>6074</v>
      </c>
      <c r="E855" s="0" t="s">
        <v>1681</v>
      </c>
      <c r="F855" s="0">
        <v>1</v>
      </c>
      <c r="G855" s="0" t="s">
        <v>319</v>
      </c>
      <c r="H855" s="0" t="s">
        <v>658</v>
      </c>
      <c r="I855" s="0" t="s">
        <v>1746</v>
      </c>
      <c r="J855" s="0" t="s">
        <v>594</v>
      </c>
      <c r="L855" s="0" t="s">
        <v>729</v>
      </c>
      <c r="P855" s="0" t="s">
        <v>323</v>
      </c>
      <c r="Q855" s="0" t="s">
        <v>323</v>
      </c>
      <c r="R855" s="0" t="s">
        <v>673</v>
      </c>
      <c r="U855" s="0" t="s">
        <v>6451</v>
      </c>
      <c r="W855" s="0" t="s">
        <v>6074</v>
      </c>
      <c r="X855" s="0" t="s">
        <v>298</v>
      </c>
      <c r="Y855" s="0" t="s">
        <v>138</v>
      </c>
      <c r="Z855" s="0" t="s">
        <v>6417</v>
      </c>
      <c r="AA855" s="0" t="s">
        <v>137</v>
      </c>
      <c r="AB855" s="0" t="s">
        <v>531</v>
      </c>
      <c r="AC855" s="0" t="s">
        <v>571</v>
      </c>
      <c r="AD855" s="0" t="s">
        <v>6418</v>
      </c>
      <c r="AE855" s="0" t="s">
        <v>6419</v>
      </c>
      <c r="AF855" s="0" t="s">
        <v>301</v>
      </c>
      <c r="AP855" s="0" t="s">
        <v>305</v>
      </c>
      <c r="BA855" s="0">
        <v>523</v>
      </c>
      <c r="BB855" s="0" t="s">
        <v>232</v>
      </c>
      <c r="BC855" s="0">
        <v>2</v>
      </c>
      <c r="BD855" s="0">
        <v>374043</v>
      </c>
      <c r="BE855" s="0">
        <v>518933</v>
      </c>
      <c r="BF855" s="0">
        <v>5</v>
      </c>
      <c r="BG855" s="0" t="s">
        <v>6452</v>
      </c>
      <c r="BI855" s="0">
        <v>408</v>
      </c>
      <c r="BK855" s="0" t="s">
        <v>6453</v>
      </c>
    </row>
    <row r="856">
      <c r="A856" s="0">
        <v>5643</v>
      </c>
      <c r="B856" s="0" t="s">
        <v>6454</v>
      </c>
      <c r="C856" s="0" t="s">
        <v>339</v>
      </c>
      <c r="D856" s="0" t="s">
        <v>6074</v>
      </c>
      <c r="E856" s="0" t="s">
        <v>6455</v>
      </c>
      <c r="F856" s="0">
        <v>1</v>
      </c>
      <c r="G856" s="0" t="s">
        <v>319</v>
      </c>
      <c r="H856" s="0" t="s">
        <v>523</v>
      </c>
      <c r="I856" s="0" t="s">
        <v>1268</v>
      </c>
      <c r="J856" s="0" t="s">
        <v>594</v>
      </c>
      <c r="L856" s="0" t="s">
        <v>1268</v>
      </c>
      <c r="P856" s="0" t="s">
        <v>323</v>
      </c>
      <c r="Q856" s="0" t="s">
        <v>323</v>
      </c>
      <c r="R856" s="0" t="s">
        <v>1783</v>
      </c>
      <c r="U856" s="0" t="s">
        <v>6456</v>
      </c>
      <c r="W856" s="0" t="s">
        <v>6074</v>
      </c>
      <c r="X856" s="0" t="s">
        <v>298</v>
      </c>
      <c r="Y856" s="0" t="s">
        <v>138</v>
      </c>
      <c r="Z856" s="0" t="s">
        <v>6417</v>
      </c>
      <c r="AA856" s="0" t="s">
        <v>137</v>
      </c>
      <c r="AB856" s="0" t="s">
        <v>531</v>
      </c>
      <c r="AC856" s="0" t="s">
        <v>571</v>
      </c>
      <c r="AD856" s="0" t="s">
        <v>6418</v>
      </c>
      <c r="AE856" s="0" t="s">
        <v>6419</v>
      </c>
      <c r="AF856" s="0" t="s">
        <v>301</v>
      </c>
      <c r="AP856" s="0" t="s">
        <v>305</v>
      </c>
      <c r="BA856" s="0">
        <v>523</v>
      </c>
      <c r="BB856" s="0" t="s">
        <v>232</v>
      </c>
      <c r="BC856" s="0">
        <v>2</v>
      </c>
      <c r="BD856" s="0">
        <v>8</v>
      </c>
      <c r="BE856" s="0">
        <v>518933</v>
      </c>
      <c r="BF856" s="0">
        <v>5</v>
      </c>
      <c r="BG856" s="0" t="s">
        <v>6457</v>
      </c>
      <c r="BI856" s="0">
        <v>2392</v>
      </c>
      <c r="BK856" s="0" t="s">
        <v>6458</v>
      </c>
    </row>
    <row r="857">
      <c r="A857" s="0">
        <v>5640</v>
      </c>
      <c r="B857" s="0" t="s">
        <v>6459</v>
      </c>
      <c r="C857" s="0" t="s">
        <v>945</v>
      </c>
      <c r="D857" s="0" t="s">
        <v>6074</v>
      </c>
      <c r="E857" s="0" t="s">
        <v>6460</v>
      </c>
      <c r="F857" s="0">
        <v>1</v>
      </c>
      <c r="G857" s="0" t="s">
        <v>319</v>
      </c>
      <c r="H857" s="0" t="s">
        <v>658</v>
      </c>
      <c r="I857" s="0" t="s">
        <v>1746</v>
      </c>
      <c r="J857" s="0" t="s">
        <v>594</v>
      </c>
      <c r="L857" s="0" t="s">
        <v>729</v>
      </c>
      <c r="P857" s="0" t="s">
        <v>323</v>
      </c>
      <c r="Q857" s="0" t="s">
        <v>323</v>
      </c>
      <c r="R857" s="0" t="s">
        <v>6461</v>
      </c>
      <c r="U857" s="0" t="s">
        <v>6462</v>
      </c>
      <c r="W857" s="0" t="s">
        <v>6074</v>
      </c>
      <c r="X857" s="0" t="s">
        <v>298</v>
      </c>
      <c r="Y857" s="0" t="s">
        <v>138</v>
      </c>
      <c r="Z857" s="0" t="s">
        <v>6417</v>
      </c>
      <c r="AA857" s="0" t="s">
        <v>137</v>
      </c>
      <c r="AB857" s="0" t="s">
        <v>531</v>
      </c>
      <c r="AC857" s="0" t="s">
        <v>571</v>
      </c>
      <c r="AD857" s="0" t="s">
        <v>6418</v>
      </c>
      <c r="AE857" s="0" t="s">
        <v>6419</v>
      </c>
      <c r="AF857" s="0" t="s">
        <v>301</v>
      </c>
      <c r="AP857" s="0" t="s">
        <v>305</v>
      </c>
      <c r="BA857" s="0">
        <v>523</v>
      </c>
      <c r="BB857" s="0" t="s">
        <v>232</v>
      </c>
      <c r="BC857" s="0">
        <v>2</v>
      </c>
      <c r="BD857" s="0">
        <v>14</v>
      </c>
      <c r="BE857" s="0">
        <v>518933</v>
      </c>
      <c r="BF857" s="0">
        <v>5</v>
      </c>
      <c r="BG857" s="0" t="s">
        <v>6463</v>
      </c>
      <c r="BI857" s="0">
        <v>2180</v>
      </c>
      <c r="BK857" s="0" t="s">
        <v>6464</v>
      </c>
    </row>
    <row r="858">
      <c r="A858" s="0">
        <v>5576</v>
      </c>
      <c r="B858" s="0" t="s">
        <v>6465</v>
      </c>
      <c r="C858" s="0" t="s">
        <v>290</v>
      </c>
      <c r="D858" s="0" t="s">
        <v>6466</v>
      </c>
      <c r="E858" s="0" t="s">
        <v>6467</v>
      </c>
      <c r="F858" s="0">
        <v>1</v>
      </c>
      <c r="G858" s="0" t="s">
        <v>293</v>
      </c>
      <c r="H858" s="0" t="s">
        <v>294</v>
      </c>
      <c r="I858" s="0" t="s">
        <v>295</v>
      </c>
      <c r="P858" s="0" t="s">
        <v>323</v>
      </c>
      <c r="Q858" s="0" t="s">
        <v>323</v>
      </c>
      <c r="R858" s="0" t="s">
        <v>1783</v>
      </c>
      <c r="W858" s="0" t="s">
        <v>6466</v>
      </c>
      <c r="X858" s="0" t="s">
        <v>529</v>
      </c>
      <c r="Y858" s="0" t="s">
        <v>146</v>
      </c>
      <c r="Z858" s="0" t="s">
        <v>853</v>
      </c>
      <c r="AA858" s="0" t="s">
        <v>145</v>
      </c>
      <c r="AB858" s="0" t="s">
        <v>531</v>
      </c>
      <c r="AE858" s="0" t="s">
        <v>6468</v>
      </c>
      <c r="AF858" s="0" t="s">
        <v>301</v>
      </c>
      <c r="AP858" s="0" t="s">
        <v>305</v>
      </c>
      <c r="BA858" s="0">
        <v>524</v>
      </c>
      <c r="BB858" s="0" t="s">
        <v>232</v>
      </c>
      <c r="BC858" s="0">
        <v>2</v>
      </c>
      <c r="BD858" s="0">
        <v>374053</v>
      </c>
      <c r="BE858" s="0">
        <v>58728</v>
      </c>
      <c r="BF858" s="0">
        <v>2</v>
      </c>
      <c r="BG858" s="0" t="s">
        <v>6469</v>
      </c>
      <c r="BI858" s="0">
        <v>400</v>
      </c>
      <c r="BK858" s="0" t="s">
        <v>6470</v>
      </c>
    </row>
    <row r="859">
      <c r="A859" s="0">
        <v>5735</v>
      </c>
      <c r="X859" s="0" t="s">
        <v>1116</v>
      </c>
      <c r="Y859" s="0" t="s">
        <v>123</v>
      </c>
      <c r="Z859" s="0" t="s">
        <v>6471</v>
      </c>
      <c r="AA859" s="0" t="s">
        <v>122</v>
      </c>
      <c r="AB859" s="0" t="s">
        <v>531</v>
      </c>
      <c r="AC859" s="0" t="s">
        <v>532</v>
      </c>
      <c r="AE859" s="0" t="s">
        <v>6472</v>
      </c>
      <c r="AF859" s="0" t="s">
        <v>301</v>
      </c>
      <c r="AP859" s="0" t="s">
        <v>305</v>
      </c>
      <c r="BA859" s="0">
        <v>525</v>
      </c>
      <c r="BB859" s="0" t="s">
        <v>232</v>
      </c>
      <c r="BC859" s="0">
        <v>2</v>
      </c>
      <c r="BE859" s="0">
        <v>329</v>
      </c>
      <c r="BF859" s="0">
        <v>1</v>
      </c>
      <c r="BG859" s="0" t="s">
        <v>6473</v>
      </c>
      <c r="BI859" s="0">
        <v>2222</v>
      </c>
      <c r="BK859" s="0" t="s">
        <v>6474</v>
      </c>
    </row>
    <row r="860">
      <c r="A860" s="0">
        <v>5591</v>
      </c>
      <c r="B860" s="0" t="s">
        <v>6475</v>
      </c>
      <c r="C860" s="0" t="s">
        <v>945</v>
      </c>
      <c r="D860" s="0" t="s">
        <v>6476</v>
      </c>
      <c r="E860" s="0" t="s">
        <v>6477</v>
      </c>
      <c r="F860" s="0">
        <v>2</v>
      </c>
      <c r="G860" s="0" t="s">
        <v>319</v>
      </c>
      <c r="H860" s="0" t="s">
        <v>470</v>
      </c>
      <c r="I860" s="0" t="s">
        <v>471</v>
      </c>
      <c r="J860" s="0" t="s">
        <v>594</v>
      </c>
      <c r="L860" s="0" t="s">
        <v>3204</v>
      </c>
      <c r="M860" s="0" t="s">
        <v>293</v>
      </c>
      <c r="N860" s="0" t="s">
        <v>294</v>
      </c>
      <c r="O860" s="0" t="s">
        <v>295</v>
      </c>
      <c r="P860" s="0" t="s">
        <v>323</v>
      </c>
      <c r="Q860" s="0" t="s">
        <v>343</v>
      </c>
      <c r="R860" s="0" t="s">
        <v>6478</v>
      </c>
      <c r="U860" s="0" t="s">
        <v>6479</v>
      </c>
      <c r="X860" s="0" t="s">
        <v>347</v>
      </c>
      <c r="Y860" s="0" t="s">
        <v>123</v>
      </c>
      <c r="Z860" s="0" t="s">
        <v>6471</v>
      </c>
      <c r="AA860" s="0" t="s">
        <v>122</v>
      </c>
      <c r="AB860" s="0" t="s">
        <v>531</v>
      </c>
      <c r="AC860" s="0" t="s">
        <v>532</v>
      </c>
      <c r="AE860" s="0" t="s">
        <v>6472</v>
      </c>
      <c r="AF860" s="0" t="s">
        <v>301</v>
      </c>
      <c r="AM860" s="0" t="s">
        <v>490</v>
      </c>
      <c r="AN860" s="0" t="s">
        <v>816</v>
      </c>
      <c r="AO860" s="0" t="s">
        <v>304</v>
      </c>
      <c r="AP860" s="0" t="s">
        <v>305</v>
      </c>
      <c r="AQ860" s="0" t="s">
        <v>1182</v>
      </c>
      <c r="AR860" s="0" t="s">
        <v>1287</v>
      </c>
      <c r="AS860" s="0">
        <v>84</v>
      </c>
      <c r="AT860" s="0">
        <v>180</v>
      </c>
      <c r="AU860" s="0">
        <v>192</v>
      </c>
      <c r="AV860" s="0" t="s">
        <v>332</v>
      </c>
      <c r="AX860" s="0" t="s">
        <v>816</v>
      </c>
      <c r="AY860" s="0" t="s">
        <v>391</v>
      </c>
      <c r="AZ860" s="0" t="s">
        <v>504</v>
      </c>
      <c r="BA860" s="0">
        <v>525</v>
      </c>
      <c r="BB860" s="0" t="s">
        <v>232</v>
      </c>
      <c r="BC860" s="0">
        <v>2</v>
      </c>
      <c r="BD860" s="0">
        <v>14</v>
      </c>
      <c r="BE860" s="0">
        <v>329</v>
      </c>
      <c r="BF860" s="0">
        <v>4</v>
      </c>
      <c r="BG860" s="0" t="s">
        <v>6480</v>
      </c>
      <c r="BI860" s="0">
        <v>804</v>
      </c>
      <c r="BK860" s="0" t="s">
        <v>6481</v>
      </c>
    </row>
    <row r="861">
      <c r="A861" s="0">
        <v>5594</v>
      </c>
      <c r="B861" s="0" t="s">
        <v>2486</v>
      </c>
      <c r="C861" s="0" t="s">
        <v>339</v>
      </c>
      <c r="D861" s="0" t="s">
        <v>6476</v>
      </c>
      <c r="E861" s="0" t="s">
        <v>2239</v>
      </c>
      <c r="F861" s="0">
        <v>1</v>
      </c>
      <c r="G861" s="0" t="s">
        <v>319</v>
      </c>
      <c r="H861" s="0" t="s">
        <v>523</v>
      </c>
      <c r="I861" s="0" t="s">
        <v>1268</v>
      </c>
      <c r="J861" s="0" t="s">
        <v>594</v>
      </c>
      <c r="L861" s="0" t="s">
        <v>1268</v>
      </c>
      <c r="P861" s="0" t="s">
        <v>323</v>
      </c>
      <c r="Q861" s="0" t="s">
        <v>343</v>
      </c>
      <c r="R861" s="0" t="s">
        <v>6478</v>
      </c>
      <c r="T861" s="0" t="s">
        <v>6482</v>
      </c>
      <c r="U861" s="0" t="s">
        <v>6483</v>
      </c>
      <c r="X861" s="0" t="s">
        <v>347</v>
      </c>
      <c r="Y861" s="0" t="s">
        <v>123</v>
      </c>
      <c r="Z861" s="0" t="s">
        <v>6471</v>
      </c>
      <c r="AA861" s="0" t="s">
        <v>122</v>
      </c>
      <c r="AB861" s="0" t="s">
        <v>531</v>
      </c>
      <c r="AC861" s="0" t="s">
        <v>532</v>
      </c>
      <c r="AE861" s="0" t="s">
        <v>6472</v>
      </c>
      <c r="AF861" s="0" t="s">
        <v>301</v>
      </c>
      <c r="AP861" s="0" t="s">
        <v>305</v>
      </c>
      <c r="BA861" s="0">
        <v>525</v>
      </c>
      <c r="BB861" s="0" t="s">
        <v>232</v>
      </c>
      <c r="BC861" s="0">
        <v>2</v>
      </c>
      <c r="BD861" s="0">
        <v>8</v>
      </c>
      <c r="BE861" s="0">
        <v>329</v>
      </c>
      <c r="BF861" s="0">
        <v>4</v>
      </c>
      <c r="BG861" s="0" t="s">
        <v>6484</v>
      </c>
      <c r="BI861" s="0">
        <v>1703</v>
      </c>
      <c r="BK861" s="0" t="s">
        <v>6485</v>
      </c>
    </row>
    <row r="862">
      <c r="A862" s="0">
        <v>5590</v>
      </c>
      <c r="B862" s="0" t="s">
        <v>6486</v>
      </c>
      <c r="C862" s="0" t="s">
        <v>315</v>
      </c>
      <c r="D862" s="0" t="s">
        <v>6476</v>
      </c>
      <c r="E862" s="0" t="s">
        <v>3279</v>
      </c>
      <c r="F862" s="0">
        <v>1</v>
      </c>
      <c r="G862" s="0" t="s">
        <v>319</v>
      </c>
      <c r="H862" s="0" t="s">
        <v>398</v>
      </c>
      <c r="I862" s="0" t="s">
        <v>471</v>
      </c>
      <c r="J862" s="0" t="s">
        <v>594</v>
      </c>
      <c r="L862" s="0" t="s">
        <v>497</v>
      </c>
      <c r="P862" s="0" t="s">
        <v>323</v>
      </c>
      <c r="Q862" s="0" t="s">
        <v>323</v>
      </c>
      <c r="R862" s="0" t="s">
        <v>6478</v>
      </c>
      <c r="U862" s="0" t="s">
        <v>6487</v>
      </c>
      <c r="X862" s="0" t="s">
        <v>347</v>
      </c>
      <c r="Y862" s="0" t="s">
        <v>123</v>
      </c>
      <c r="Z862" s="0" t="s">
        <v>6471</v>
      </c>
      <c r="AA862" s="0" t="s">
        <v>122</v>
      </c>
      <c r="AB862" s="0" t="s">
        <v>531</v>
      </c>
      <c r="AC862" s="0" t="s">
        <v>532</v>
      </c>
      <c r="AE862" s="0" t="s">
        <v>6472</v>
      </c>
      <c r="AF862" s="0" t="s">
        <v>301</v>
      </c>
      <c r="AP862" s="0" t="s">
        <v>305</v>
      </c>
      <c r="BA862" s="0">
        <v>525</v>
      </c>
      <c r="BB862" s="0" t="s">
        <v>232</v>
      </c>
      <c r="BC862" s="0">
        <v>2</v>
      </c>
      <c r="BD862" s="0">
        <v>374043</v>
      </c>
      <c r="BE862" s="0">
        <v>329</v>
      </c>
      <c r="BF862" s="0">
        <v>4</v>
      </c>
      <c r="BG862" s="0" t="s">
        <v>6488</v>
      </c>
      <c r="BI862" s="0">
        <v>405</v>
      </c>
      <c r="BK862" s="0" t="s">
        <v>6489</v>
      </c>
    </row>
    <row r="863">
      <c r="A863" s="0">
        <v>5592</v>
      </c>
      <c r="B863" s="0" t="s">
        <v>6490</v>
      </c>
      <c r="C863" s="0" t="s">
        <v>945</v>
      </c>
      <c r="D863" s="0" t="s">
        <v>6476</v>
      </c>
      <c r="E863" s="0" t="s">
        <v>6491</v>
      </c>
      <c r="F863" s="0">
        <v>1</v>
      </c>
      <c r="G863" s="0" t="s">
        <v>555</v>
      </c>
      <c r="H863" s="0" t="s">
        <v>1112</v>
      </c>
      <c r="I863" s="0" t="s">
        <v>2947</v>
      </c>
      <c r="J863" s="0" t="s">
        <v>594</v>
      </c>
      <c r="L863" s="0" t="s">
        <v>729</v>
      </c>
      <c r="N863" s="0" t="s">
        <v>400</v>
      </c>
      <c r="O863" s="0" t="s">
        <v>497</v>
      </c>
      <c r="P863" s="0" t="s">
        <v>323</v>
      </c>
      <c r="Q863" s="0" t="s">
        <v>343</v>
      </c>
      <c r="R863" s="0" t="s">
        <v>661</v>
      </c>
      <c r="T863" s="0" t="s">
        <v>6492</v>
      </c>
      <c r="U863" s="0" t="s">
        <v>6493</v>
      </c>
      <c r="X863" s="0" t="s">
        <v>347</v>
      </c>
      <c r="Y863" s="0" t="s">
        <v>123</v>
      </c>
      <c r="Z863" s="0" t="s">
        <v>6471</v>
      </c>
      <c r="AA863" s="0" t="s">
        <v>122</v>
      </c>
      <c r="AB863" s="0" t="s">
        <v>531</v>
      </c>
      <c r="AC863" s="0" t="s">
        <v>532</v>
      </c>
      <c r="AE863" s="0" t="s">
        <v>6472</v>
      </c>
      <c r="AF863" s="0" t="s">
        <v>301</v>
      </c>
      <c r="AM863" s="0" t="s">
        <v>6494</v>
      </c>
      <c r="AN863" s="0" t="s">
        <v>6495</v>
      </c>
      <c r="AO863" s="0" t="s">
        <v>6496</v>
      </c>
      <c r="AP863" s="0" t="s">
        <v>305</v>
      </c>
      <c r="AQ863" s="0" t="s">
        <v>6497</v>
      </c>
      <c r="AR863" s="0" t="s">
        <v>6498</v>
      </c>
      <c r="AS863" s="0">
        <v>27</v>
      </c>
      <c r="AT863" s="0">
        <v>64</v>
      </c>
      <c r="AU863" s="0">
        <v>54</v>
      </c>
      <c r="AV863" s="0" t="s">
        <v>3069</v>
      </c>
      <c r="AW863" s="0" t="s">
        <v>977</v>
      </c>
      <c r="AX863" s="0" t="s">
        <v>6499</v>
      </c>
      <c r="AY863" s="0" t="s">
        <v>6500</v>
      </c>
      <c r="AZ863" s="0" t="s">
        <v>6501</v>
      </c>
      <c r="BA863" s="0">
        <v>525</v>
      </c>
      <c r="BB863" s="0" t="s">
        <v>232</v>
      </c>
      <c r="BC863" s="0">
        <v>2</v>
      </c>
      <c r="BD863" s="0">
        <v>14</v>
      </c>
      <c r="BE863" s="0">
        <v>329</v>
      </c>
      <c r="BF863" s="0">
        <v>4</v>
      </c>
      <c r="BG863" s="0" t="s">
        <v>6502</v>
      </c>
      <c r="BI863" s="0">
        <v>1133</v>
      </c>
      <c r="BK863" s="0" t="s">
        <v>6503</v>
      </c>
    </row>
    <row r="864">
      <c r="A864" s="0">
        <v>5734</v>
      </c>
      <c r="B864" s="0" t="s">
        <v>6504</v>
      </c>
      <c r="C864" s="0" t="s">
        <v>1139</v>
      </c>
      <c r="D864" s="0" t="s">
        <v>6476</v>
      </c>
      <c r="E864" s="0" t="s">
        <v>6505</v>
      </c>
      <c r="F864" s="0">
        <v>1</v>
      </c>
      <c r="G864" s="0" t="s">
        <v>293</v>
      </c>
      <c r="H864" s="0" t="s">
        <v>294</v>
      </c>
      <c r="I864" s="0" t="s">
        <v>6506</v>
      </c>
      <c r="J864" s="0" t="s">
        <v>293</v>
      </c>
      <c r="K864" s="0" t="s">
        <v>294</v>
      </c>
      <c r="L864" s="0" t="s">
        <v>6507</v>
      </c>
      <c r="P864" s="0" t="s">
        <v>343</v>
      </c>
      <c r="Q864" s="0" t="s">
        <v>343</v>
      </c>
      <c r="T864" s="0" t="s">
        <v>6508</v>
      </c>
      <c r="U864" s="0" t="s">
        <v>6509</v>
      </c>
      <c r="X864" s="0" t="s">
        <v>347</v>
      </c>
      <c r="Y864" s="0" t="s">
        <v>123</v>
      </c>
      <c r="Z864" s="0" t="s">
        <v>6471</v>
      </c>
      <c r="AA864" s="0" t="s">
        <v>122</v>
      </c>
      <c r="AB864" s="0" t="s">
        <v>531</v>
      </c>
      <c r="AC864" s="0" t="s">
        <v>532</v>
      </c>
      <c r="AE864" s="0" t="s">
        <v>6472</v>
      </c>
      <c r="AF864" s="0" t="s">
        <v>301</v>
      </c>
      <c r="AM864" s="0" t="s">
        <v>746</v>
      </c>
      <c r="AN864" s="0" t="s">
        <v>599</v>
      </c>
      <c r="AO864" s="0" t="s">
        <v>391</v>
      </c>
      <c r="AP864" s="0" t="s">
        <v>305</v>
      </c>
      <c r="AQ864" s="0" t="s">
        <v>6510</v>
      </c>
      <c r="AR864" s="0" t="s">
        <v>1108</v>
      </c>
      <c r="AS864" s="0">
        <v>71</v>
      </c>
      <c r="AT864" s="0">
        <v>147</v>
      </c>
      <c r="AU864" s="0">
        <v>158</v>
      </c>
      <c r="AV864" s="0" t="s">
        <v>332</v>
      </c>
      <c r="AX864" s="0" t="s">
        <v>6511</v>
      </c>
      <c r="AY864" s="0" t="s">
        <v>1583</v>
      </c>
      <c r="AZ864" s="0" t="s">
        <v>3037</v>
      </c>
      <c r="BA864" s="0">
        <v>525</v>
      </c>
      <c r="BB864" s="0" t="s">
        <v>232</v>
      </c>
      <c r="BC864" s="0">
        <v>2</v>
      </c>
      <c r="BD864" s="0">
        <v>38030</v>
      </c>
      <c r="BE864" s="0">
        <v>329</v>
      </c>
      <c r="BF864" s="0">
        <v>4</v>
      </c>
      <c r="BG864" s="0" t="s">
        <v>6512</v>
      </c>
      <c r="BI864" s="0">
        <v>2178</v>
      </c>
      <c r="BK864" s="0" t="s">
        <v>6513</v>
      </c>
    </row>
    <row r="865">
      <c r="A865" s="0">
        <v>5733</v>
      </c>
      <c r="B865" s="0" t="s">
        <v>1950</v>
      </c>
      <c r="C865" s="0" t="s">
        <v>315</v>
      </c>
      <c r="D865" s="0" t="s">
        <v>6476</v>
      </c>
      <c r="E865" s="0" t="s">
        <v>1514</v>
      </c>
      <c r="F865" s="0">
        <v>1</v>
      </c>
      <c r="G865" s="0" t="s">
        <v>555</v>
      </c>
      <c r="H865" s="0" t="s">
        <v>1112</v>
      </c>
      <c r="I865" s="0" t="s">
        <v>6514</v>
      </c>
      <c r="J865" s="0" t="s">
        <v>293</v>
      </c>
      <c r="K865" s="0" t="s">
        <v>294</v>
      </c>
      <c r="L865" s="0" t="s">
        <v>295</v>
      </c>
      <c r="M865" s="0" t="s">
        <v>594</v>
      </c>
      <c r="O865" s="0" t="s">
        <v>497</v>
      </c>
      <c r="P865" s="0" t="s">
        <v>323</v>
      </c>
      <c r="Q865" s="0" t="s">
        <v>343</v>
      </c>
      <c r="R865" s="0" t="s">
        <v>6478</v>
      </c>
      <c r="U865" s="0" t="s">
        <v>6515</v>
      </c>
      <c r="X865" s="0" t="s">
        <v>347</v>
      </c>
      <c r="Y865" s="0" t="s">
        <v>123</v>
      </c>
      <c r="Z865" s="0" t="s">
        <v>6471</v>
      </c>
      <c r="AA865" s="0" t="s">
        <v>122</v>
      </c>
      <c r="AB865" s="0" t="s">
        <v>531</v>
      </c>
      <c r="AC865" s="0" t="s">
        <v>532</v>
      </c>
      <c r="AE865" s="0" t="s">
        <v>6472</v>
      </c>
      <c r="AF865" s="0" t="s">
        <v>301</v>
      </c>
      <c r="AP865" s="0" t="s">
        <v>305</v>
      </c>
      <c r="BA865" s="0">
        <v>525</v>
      </c>
      <c r="BB865" s="0" t="s">
        <v>232</v>
      </c>
      <c r="BC865" s="0">
        <v>2</v>
      </c>
      <c r="BD865" s="0">
        <v>374043</v>
      </c>
      <c r="BE865" s="0">
        <v>329</v>
      </c>
      <c r="BF865" s="0">
        <v>4</v>
      </c>
      <c r="BG865" s="0" t="s">
        <v>6516</v>
      </c>
      <c r="BI865" s="0">
        <v>1946</v>
      </c>
      <c r="BK865" s="0" t="s">
        <v>6517</v>
      </c>
    </row>
    <row r="866">
      <c r="A866" s="0">
        <v>5593</v>
      </c>
      <c r="B866" s="0" t="s">
        <v>1959</v>
      </c>
      <c r="C866" s="0" t="s">
        <v>315</v>
      </c>
      <c r="D866" s="0" t="s">
        <v>6476</v>
      </c>
      <c r="E866" s="0" t="s">
        <v>1961</v>
      </c>
      <c r="F866" s="0">
        <v>4</v>
      </c>
      <c r="G866" s="0" t="s">
        <v>555</v>
      </c>
      <c r="H866" s="0" t="s">
        <v>1112</v>
      </c>
      <c r="I866" s="0" t="s">
        <v>6514</v>
      </c>
      <c r="J866" s="0" t="s">
        <v>594</v>
      </c>
      <c r="L866" s="0" t="s">
        <v>497</v>
      </c>
      <c r="P866" s="0" t="s">
        <v>323</v>
      </c>
      <c r="Q866" s="0" t="s">
        <v>343</v>
      </c>
      <c r="R866" s="0" t="s">
        <v>6478</v>
      </c>
      <c r="U866" s="0" t="s">
        <v>6518</v>
      </c>
      <c r="X866" s="0" t="s">
        <v>347</v>
      </c>
      <c r="Y866" s="0" t="s">
        <v>123</v>
      </c>
      <c r="Z866" s="0" t="s">
        <v>6471</v>
      </c>
      <c r="AA866" s="0" t="s">
        <v>122</v>
      </c>
      <c r="AB866" s="0" t="s">
        <v>531</v>
      </c>
      <c r="AC866" s="0" t="s">
        <v>532</v>
      </c>
      <c r="AE866" s="0" t="s">
        <v>6472</v>
      </c>
      <c r="AF866" s="0" t="s">
        <v>301</v>
      </c>
      <c r="AP866" s="0" t="s">
        <v>305</v>
      </c>
      <c r="BA866" s="0">
        <v>525</v>
      </c>
      <c r="BB866" s="0" t="s">
        <v>232</v>
      </c>
      <c r="BC866" s="0">
        <v>2</v>
      </c>
      <c r="BD866" s="0">
        <v>374043</v>
      </c>
      <c r="BE866" s="0">
        <v>329</v>
      </c>
      <c r="BF866" s="0">
        <v>4</v>
      </c>
      <c r="BG866" s="0" t="s">
        <v>6519</v>
      </c>
      <c r="BI866" s="0">
        <v>1437</v>
      </c>
      <c r="BK866" s="0" t="s">
        <v>6520</v>
      </c>
    </row>
    <row r="867">
      <c r="A867" s="0">
        <v>5610</v>
      </c>
      <c r="C867" s="0" t="s">
        <v>315</v>
      </c>
      <c r="D867" s="0" t="s">
        <v>6466</v>
      </c>
      <c r="E867" s="0" t="s">
        <v>6521</v>
      </c>
      <c r="F867" s="0">
        <v>1</v>
      </c>
      <c r="G867" s="0" t="s">
        <v>319</v>
      </c>
      <c r="H867" s="0" t="s">
        <v>6522</v>
      </c>
      <c r="I867" s="0" t="s">
        <v>524</v>
      </c>
      <c r="J867" s="0" t="s">
        <v>293</v>
      </c>
      <c r="K867" s="0" t="s">
        <v>294</v>
      </c>
      <c r="L867" s="0" t="s">
        <v>6072</v>
      </c>
      <c r="M867" s="0" t="s">
        <v>594</v>
      </c>
      <c r="N867" s="0" t="s">
        <v>508</v>
      </c>
      <c r="O867" s="0" t="s">
        <v>729</v>
      </c>
      <c r="P867" s="0" t="s">
        <v>323</v>
      </c>
      <c r="Q867" s="0" t="s">
        <v>323</v>
      </c>
      <c r="R867" s="0" t="s">
        <v>526</v>
      </c>
      <c r="T867" s="0" t="s">
        <v>6523</v>
      </c>
      <c r="W867" s="0" t="s">
        <v>6524</v>
      </c>
      <c r="X867" s="0" t="s">
        <v>1116</v>
      </c>
      <c r="Y867" s="0" t="s">
        <v>42</v>
      </c>
      <c r="Z867" s="0" t="s">
        <v>2384</v>
      </c>
      <c r="AA867" s="0" t="s">
        <v>131</v>
      </c>
      <c r="AB867" s="0" t="s">
        <v>531</v>
      </c>
      <c r="AC867" s="0" t="s">
        <v>571</v>
      </c>
      <c r="AD867" s="0" t="s">
        <v>6525</v>
      </c>
      <c r="AE867" s="0" t="s">
        <v>6526</v>
      </c>
      <c r="AF867" s="0" t="s">
        <v>301</v>
      </c>
      <c r="AP867" s="0" t="s">
        <v>305</v>
      </c>
      <c r="BA867" s="0">
        <v>527</v>
      </c>
      <c r="BB867" s="0" t="s">
        <v>232</v>
      </c>
      <c r="BC867" s="0">
        <v>2</v>
      </c>
      <c r="BD867" s="0">
        <v>374043</v>
      </c>
      <c r="BE867" s="0">
        <v>70560</v>
      </c>
      <c r="BF867" s="0">
        <v>1</v>
      </c>
      <c r="BG867" s="0" t="s">
        <v>6527</v>
      </c>
      <c r="BI867" s="0">
        <v>2935</v>
      </c>
      <c r="BK867" s="0" t="s">
        <v>6528</v>
      </c>
    </row>
    <row r="868">
      <c r="A868" s="0">
        <v>5612</v>
      </c>
      <c r="B868" s="0" t="s">
        <v>6529</v>
      </c>
      <c r="C868" s="0" t="s">
        <v>315</v>
      </c>
      <c r="D868" s="0" t="s">
        <v>6466</v>
      </c>
      <c r="E868" s="0" t="s">
        <v>2572</v>
      </c>
      <c r="F868" s="0">
        <v>1</v>
      </c>
      <c r="G868" s="0" t="s">
        <v>319</v>
      </c>
      <c r="H868" s="0" t="s">
        <v>398</v>
      </c>
      <c r="I868" s="0" t="s">
        <v>6530</v>
      </c>
      <c r="J868" s="0" t="s">
        <v>594</v>
      </c>
      <c r="K868" s="0" t="s">
        <v>508</v>
      </c>
      <c r="L868" s="0" t="s">
        <v>1683</v>
      </c>
      <c r="P868" s="0" t="s">
        <v>323</v>
      </c>
      <c r="Q868" s="0" t="s">
        <v>323</v>
      </c>
      <c r="R868" s="0" t="s">
        <v>556</v>
      </c>
      <c r="T868" s="0" t="s">
        <v>6531</v>
      </c>
      <c r="W868" s="0" t="s">
        <v>6524</v>
      </c>
      <c r="X868" s="0" t="s">
        <v>1116</v>
      </c>
      <c r="Y868" s="0" t="s">
        <v>42</v>
      </c>
      <c r="Z868" s="0" t="s">
        <v>2384</v>
      </c>
      <c r="AA868" s="0" t="s">
        <v>131</v>
      </c>
      <c r="AB868" s="0" t="s">
        <v>531</v>
      </c>
      <c r="AC868" s="0" t="s">
        <v>571</v>
      </c>
      <c r="AD868" s="0" t="s">
        <v>6525</v>
      </c>
      <c r="AE868" s="0" t="s">
        <v>6526</v>
      </c>
      <c r="AF868" s="0" t="s">
        <v>301</v>
      </c>
      <c r="AP868" s="0" t="s">
        <v>305</v>
      </c>
      <c r="BA868" s="0">
        <v>527</v>
      </c>
      <c r="BB868" s="0" t="s">
        <v>232</v>
      </c>
      <c r="BC868" s="0">
        <v>2</v>
      </c>
      <c r="BD868" s="0">
        <v>374043</v>
      </c>
      <c r="BE868" s="0">
        <v>70560</v>
      </c>
      <c r="BF868" s="0">
        <v>1</v>
      </c>
      <c r="BG868" s="0" t="s">
        <v>6532</v>
      </c>
      <c r="BI868" s="0">
        <v>3251</v>
      </c>
      <c r="BK868" s="0" t="s">
        <v>6533</v>
      </c>
    </row>
    <row r="869">
      <c r="A869" s="0">
        <v>5603</v>
      </c>
      <c r="C869" s="0" t="s">
        <v>315</v>
      </c>
      <c r="D869" s="0" t="s">
        <v>6466</v>
      </c>
      <c r="E869" s="0" t="s">
        <v>6534</v>
      </c>
      <c r="F869" s="0">
        <v>1</v>
      </c>
      <c r="G869" s="0" t="s">
        <v>555</v>
      </c>
      <c r="H869" s="0" t="s">
        <v>6535</v>
      </c>
      <c r="I869" s="0" t="s">
        <v>549</v>
      </c>
      <c r="J869" s="0" t="s">
        <v>555</v>
      </c>
      <c r="K869" s="0" t="s">
        <v>470</v>
      </c>
      <c r="L869" s="0" t="s">
        <v>549</v>
      </c>
      <c r="M869" s="0" t="s">
        <v>594</v>
      </c>
      <c r="N869" s="0" t="s">
        <v>508</v>
      </c>
      <c r="O869" s="0" t="s">
        <v>705</v>
      </c>
      <c r="P869" s="0" t="s">
        <v>323</v>
      </c>
      <c r="Q869" s="0" t="s">
        <v>323</v>
      </c>
      <c r="R869" s="0" t="s">
        <v>661</v>
      </c>
      <c r="T869" s="0" t="s">
        <v>6536</v>
      </c>
      <c r="W869" s="0" t="s">
        <v>6524</v>
      </c>
      <c r="X869" s="0" t="s">
        <v>1116</v>
      </c>
      <c r="Y869" s="0" t="s">
        <v>42</v>
      </c>
      <c r="Z869" s="0" t="s">
        <v>2384</v>
      </c>
      <c r="AA869" s="0" t="s">
        <v>131</v>
      </c>
      <c r="AB869" s="0" t="s">
        <v>531</v>
      </c>
      <c r="AC869" s="0" t="s">
        <v>571</v>
      </c>
      <c r="AD869" s="0" t="s">
        <v>6525</v>
      </c>
      <c r="AE869" s="0" t="s">
        <v>6526</v>
      </c>
      <c r="AF869" s="0" t="s">
        <v>301</v>
      </c>
      <c r="AP869" s="0" t="s">
        <v>305</v>
      </c>
      <c r="BA869" s="0">
        <v>527</v>
      </c>
      <c r="BB869" s="0" t="s">
        <v>232</v>
      </c>
      <c r="BC869" s="0">
        <v>2</v>
      </c>
      <c r="BD869" s="0">
        <v>374043</v>
      </c>
      <c r="BE869" s="0">
        <v>70560</v>
      </c>
      <c r="BF869" s="0">
        <v>1</v>
      </c>
      <c r="BG869" s="0" t="s">
        <v>6537</v>
      </c>
      <c r="BI869" s="0">
        <v>1130</v>
      </c>
      <c r="BK869" s="0" t="s">
        <v>6538</v>
      </c>
    </row>
    <row r="870">
      <c r="A870" s="0">
        <v>5604</v>
      </c>
      <c r="C870" s="0" t="s">
        <v>315</v>
      </c>
      <c r="D870" s="0" t="s">
        <v>6539</v>
      </c>
      <c r="E870" s="0" t="s">
        <v>6540</v>
      </c>
      <c r="F870" s="0">
        <v>1</v>
      </c>
      <c r="G870" s="0" t="s">
        <v>555</v>
      </c>
      <c r="H870" s="0" t="s">
        <v>6541</v>
      </c>
      <c r="I870" s="0" t="s">
        <v>549</v>
      </c>
      <c r="J870" s="0" t="s">
        <v>555</v>
      </c>
      <c r="K870" s="0" t="s">
        <v>470</v>
      </c>
      <c r="L870" s="0" t="s">
        <v>549</v>
      </c>
      <c r="M870" s="0" t="s">
        <v>594</v>
      </c>
      <c r="N870" s="0" t="s">
        <v>508</v>
      </c>
      <c r="O870" s="0" t="s">
        <v>549</v>
      </c>
      <c r="P870" s="0" t="s">
        <v>323</v>
      </c>
      <c r="Q870" s="0" t="s">
        <v>323</v>
      </c>
      <c r="R870" s="0" t="s">
        <v>661</v>
      </c>
      <c r="T870" s="0" t="s">
        <v>6542</v>
      </c>
      <c r="U870" s="0" t="s">
        <v>6543</v>
      </c>
      <c r="W870" s="0" t="s">
        <v>6524</v>
      </c>
      <c r="X870" s="0" t="s">
        <v>298</v>
      </c>
      <c r="Y870" s="0" t="s">
        <v>42</v>
      </c>
      <c r="Z870" s="0" t="s">
        <v>2384</v>
      </c>
      <c r="AA870" s="0" t="s">
        <v>131</v>
      </c>
      <c r="AB870" s="0" t="s">
        <v>531</v>
      </c>
      <c r="AC870" s="0" t="s">
        <v>571</v>
      </c>
      <c r="AD870" s="0" t="s">
        <v>6525</v>
      </c>
      <c r="AE870" s="0" t="s">
        <v>6526</v>
      </c>
      <c r="AF870" s="0" t="s">
        <v>301</v>
      </c>
      <c r="AP870" s="0" t="s">
        <v>305</v>
      </c>
      <c r="BA870" s="0">
        <v>527</v>
      </c>
      <c r="BB870" s="0" t="s">
        <v>232</v>
      </c>
      <c r="BC870" s="0">
        <v>2</v>
      </c>
      <c r="BD870" s="0">
        <v>374043</v>
      </c>
      <c r="BE870" s="0">
        <v>70560</v>
      </c>
      <c r="BF870" s="0">
        <v>5</v>
      </c>
      <c r="BG870" s="0" t="s">
        <v>6544</v>
      </c>
      <c r="BI870" s="0">
        <v>1442</v>
      </c>
      <c r="BK870" s="0" t="s">
        <v>6545</v>
      </c>
    </row>
    <row r="871">
      <c r="A871" s="0">
        <v>5609</v>
      </c>
      <c r="B871" s="0" t="s">
        <v>6546</v>
      </c>
      <c r="C871" s="0" t="s">
        <v>315</v>
      </c>
      <c r="D871" s="0" t="s">
        <v>6466</v>
      </c>
      <c r="E871" s="0" t="s">
        <v>6547</v>
      </c>
      <c r="F871" s="0">
        <v>1</v>
      </c>
      <c r="G871" s="0" t="s">
        <v>319</v>
      </c>
      <c r="H871" s="0" t="s">
        <v>398</v>
      </c>
      <c r="I871" s="0" t="s">
        <v>6530</v>
      </c>
      <c r="J871" s="0" t="s">
        <v>594</v>
      </c>
      <c r="K871" s="0" t="s">
        <v>508</v>
      </c>
      <c r="L871" s="0" t="s">
        <v>4069</v>
      </c>
      <c r="P871" s="0" t="s">
        <v>323</v>
      </c>
      <c r="Q871" s="0" t="s">
        <v>323</v>
      </c>
      <c r="R871" s="0" t="s">
        <v>556</v>
      </c>
      <c r="T871" s="0" t="s">
        <v>6548</v>
      </c>
      <c r="W871" s="0" t="s">
        <v>6524</v>
      </c>
      <c r="X871" s="0" t="s">
        <v>1116</v>
      </c>
      <c r="Y871" s="0" t="s">
        <v>42</v>
      </c>
      <c r="Z871" s="0" t="s">
        <v>2384</v>
      </c>
      <c r="AA871" s="0" t="s">
        <v>131</v>
      </c>
      <c r="AB871" s="0" t="s">
        <v>531</v>
      </c>
      <c r="AC871" s="0" t="s">
        <v>571</v>
      </c>
      <c r="AD871" s="0" t="s">
        <v>6525</v>
      </c>
      <c r="AE871" s="0" t="s">
        <v>6526</v>
      </c>
      <c r="AF871" s="0" t="s">
        <v>301</v>
      </c>
      <c r="AP871" s="0" t="s">
        <v>305</v>
      </c>
      <c r="BA871" s="0">
        <v>527</v>
      </c>
      <c r="BB871" s="0" t="s">
        <v>232</v>
      </c>
      <c r="BC871" s="0">
        <v>2</v>
      </c>
      <c r="BD871" s="0">
        <v>374043</v>
      </c>
      <c r="BE871" s="0">
        <v>70560</v>
      </c>
      <c r="BF871" s="0">
        <v>1</v>
      </c>
      <c r="BG871" s="0" t="s">
        <v>6549</v>
      </c>
      <c r="BI871" s="0">
        <v>2762</v>
      </c>
      <c r="BK871" s="0" t="s">
        <v>6550</v>
      </c>
    </row>
    <row r="872">
      <c r="A872" s="0">
        <v>5613</v>
      </c>
      <c r="B872" s="0" t="s">
        <v>6551</v>
      </c>
      <c r="C872" s="0" t="s">
        <v>290</v>
      </c>
      <c r="D872" s="0" t="s">
        <v>6539</v>
      </c>
      <c r="E872" s="0" t="s">
        <v>6552</v>
      </c>
      <c r="F872" s="0">
        <v>1</v>
      </c>
      <c r="G872" s="0" t="s">
        <v>293</v>
      </c>
      <c r="H872" s="0" t="s">
        <v>294</v>
      </c>
      <c r="I872" s="0" t="s">
        <v>295</v>
      </c>
      <c r="J872" s="0" t="s">
        <v>555</v>
      </c>
      <c r="K872" s="0" t="s">
        <v>1112</v>
      </c>
      <c r="L872" s="0" t="s">
        <v>549</v>
      </c>
      <c r="P872" s="0" t="s">
        <v>343</v>
      </c>
      <c r="Q872" s="0" t="s">
        <v>343</v>
      </c>
      <c r="U872" s="0" t="s">
        <v>6553</v>
      </c>
      <c r="W872" s="0" t="s">
        <v>6524</v>
      </c>
      <c r="X872" s="0" t="s">
        <v>298</v>
      </c>
      <c r="Y872" s="0" t="s">
        <v>42</v>
      </c>
      <c r="Z872" s="0" t="s">
        <v>2384</v>
      </c>
      <c r="AA872" s="0" t="s">
        <v>131</v>
      </c>
      <c r="AB872" s="0" t="s">
        <v>531</v>
      </c>
      <c r="AC872" s="0" t="s">
        <v>571</v>
      </c>
      <c r="AD872" s="0" t="s">
        <v>6525</v>
      </c>
      <c r="AE872" s="0" t="s">
        <v>6526</v>
      </c>
      <c r="AF872" s="0" t="s">
        <v>301</v>
      </c>
      <c r="AP872" s="0" t="s">
        <v>305</v>
      </c>
      <c r="BA872" s="0">
        <v>527</v>
      </c>
      <c r="BB872" s="0" t="s">
        <v>232</v>
      </c>
      <c r="BC872" s="0">
        <v>2</v>
      </c>
      <c r="BD872" s="0">
        <v>374053</v>
      </c>
      <c r="BE872" s="0">
        <v>70560</v>
      </c>
      <c r="BF872" s="0">
        <v>5</v>
      </c>
      <c r="BG872" s="0" t="s">
        <v>6554</v>
      </c>
      <c r="BI872" s="0">
        <v>2589</v>
      </c>
      <c r="BK872" s="0" t="s">
        <v>6555</v>
      </c>
    </row>
    <row r="873">
      <c r="A873" s="0">
        <v>5611</v>
      </c>
      <c r="C873" s="0" t="s">
        <v>315</v>
      </c>
      <c r="D873" s="0" t="s">
        <v>6466</v>
      </c>
      <c r="E873" s="0" t="s">
        <v>6556</v>
      </c>
      <c r="F873" s="0">
        <v>1</v>
      </c>
      <c r="G873" s="0" t="s">
        <v>319</v>
      </c>
      <c r="H873" s="0" t="s">
        <v>6557</v>
      </c>
      <c r="I873" s="0" t="s">
        <v>948</v>
      </c>
      <c r="J873" s="0" t="s">
        <v>594</v>
      </c>
      <c r="K873" s="0" t="s">
        <v>508</v>
      </c>
      <c r="L873" s="0" t="s">
        <v>4069</v>
      </c>
      <c r="M873" s="0" t="s">
        <v>293</v>
      </c>
      <c r="N873" s="0" t="s">
        <v>294</v>
      </c>
      <c r="O873" s="0" t="s">
        <v>918</v>
      </c>
      <c r="P873" s="0" t="s">
        <v>323</v>
      </c>
      <c r="Q873" s="0" t="s">
        <v>323</v>
      </c>
      <c r="R873" s="0" t="s">
        <v>526</v>
      </c>
      <c r="T873" s="0" t="s">
        <v>6558</v>
      </c>
      <c r="W873" s="0" t="s">
        <v>6524</v>
      </c>
      <c r="X873" s="0" t="s">
        <v>1116</v>
      </c>
      <c r="Y873" s="0" t="s">
        <v>42</v>
      </c>
      <c r="Z873" s="0" t="s">
        <v>2384</v>
      </c>
      <c r="AA873" s="0" t="s">
        <v>131</v>
      </c>
      <c r="AB873" s="0" t="s">
        <v>531</v>
      </c>
      <c r="AC873" s="0" t="s">
        <v>571</v>
      </c>
      <c r="AD873" s="0" t="s">
        <v>6525</v>
      </c>
      <c r="AE873" s="0" t="s">
        <v>6526</v>
      </c>
      <c r="AF873" s="0" t="s">
        <v>301</v>
      </c>
      <c r="AP873" s="0" t="s">
        <v>305</v>
      </c>
      <c r="BA873" s="0">
        <v>527</v>
      </c>
      <c r="BB873" s="0" t="s">
        <v>232</v>
      </c>
      <c r="BC873" s="0">
        <v>2</v>
      </c>
      <c r="BD873" s="0">
        <v>374043</v>
      </c>
      <c r="BE873" s="0">
        <v>70560</v>
      </c>
      <c r="BF873" s="0">
        <v>1</v>
      </c>
      <c r="BG873" s="0" t="s">
        <v>6559</v>
      </c>
      <c r="BI873" s="0">
        <v>3100</v>
      </c>
      <c r="BK873" s="0" t="s">
        <v>6560</v>
      </c>
    </row>
    <row r="874">
      <c r="A874" s="0">
        <v>5608</v>
      </c>
      <c r="C874" s="0" t="s">
        <v>656</v>
      </c>
      <c r="D874" s="0" t="s">
        <v>6466</v>
      </c>
      <c r="E874" s="0" t="s">
        <v>6561</v>
      </c>
      <c r="F874" s="0">
        <v>2</v>
      </c>
      <c r="G874" s="0" t="s">
        <v>293</v>
      </c>
      <c r="H874" s="0" t="s">
        <v>294</v>
      </c>
      <c r="I874" s="0" t="s">
        <v>295</v>
      </c>
      <c r="J874" s="0" t="s">
        <v>555</v>
      </c>
      <c r="K874" s="0" t="s">
        <v>1112</v>
      </c>
      <c r="L874" s="0" t="s">
        <v>1204</v>
      </c>
      <c r="P874" s="0" t="s">
        <v>323</v>
      </c>
      <c r="Q874" s="0" t="s">
        <v>323</v>
      </c>
      <c r="R874" s="0" t="s">
        <v>1021</v>
      </c>
      <c r="T874" s="0" t="s">
        <v>6562</v>
      </c>
      <c r="W874" s="0" t="s">
        <v>6524</v>
      </c>
      <c r="X874" s="0" t="s">
        <v>1116</v>
      </c>
      <c r="Y874" s="0" t="s">
        <v>42</v>
      </c>
      <c r="Z874" s="0" t="s">
        <v>2384</v>
      </c>
      <c r="AA874" s="0" t="s">
        <v>131</v>
      </c>
      <c r="AB874" s="0" t="s">
        <v>531</v>
      </c>
      <c r="AC874" s="0" t="s">
        <v>571</v>
      </c>
      <c r="AD874" s="0" t="s">
        <v>6525</v>
      </c>
      <c r="AE874" s="0" t="s">
        <v>6526</v>
      </c>
      <c r="AF874" s="0" t="s">
        <v>301</v>
      </c>
      <c r="AP874" s="0" t="s">
        <v>305</v>
      </c>
      <c r="BA874" s="0">
        <v>527</v>
      </c>
      <c r="BB874" s="0" t="s">
        <v>232</v>
      </c>
      <c r="BC874" s="0">
        <v>2</v>
      </c>
      <c r="BD874" s="0">
        <v>10</v>
      </c>
      <c r="BE874" s="0">
        <v>70560</v>
      </c>
      <c r="BF874" s="0">
        <v>1</v>
      </c>
      <c r="BG874" s="0" t="s">
        <v>6563</v>
      </c>
      <c r="BI874" s="0">
        <v>2389</v>
      </c>
      <c r="BK874" s="0" t="s">
        <v>6564</v>
      </c>
    </row>
    <row r="875">
      <c r="A875" s="0">
        <v>5607</v>
      </c>
      <c r="C875" s="0" t="s">
        <v>656</v>
      </c>
      <c r="D875" s="0" t="s">
        <v>6466</v>
      </c>
      <c r="E875" s="0" t="s">
        <v>6565</v>
      </c>
      <c r="F875" s="0">
        <v>1</v>
      </c>
      <c r="G875" s="0" t="s">
        <v>293</v>
      </c>
      <c r="H875" s="0" t="s">
        <v>294</v>
      </c>
      <c r="I875" s="0" t="s">
        <v>295</v>
      </c>
      <c r="J875" s="0" t="s">
        <v>555</v>
      </c>
      <c r="K875" s="0" t="s">
        <v>1112</v>
      </c>
      <c r="L875" s="0" t="s">
        <v>1204</v>
      </c>
      <c r="P875" s="0" t="s">
        <v>323</v>
      </c>
      <c r="Q875" s="0" t="s">
        <v>323</v>
      </c>
      <c r="R875" s="0" t="s">
        <v>1021</v>
      </c>
      <c r="T875" s="0" t="s">
        <v>6566</v>
      </c>
      <c r="W875" s="0" t="s">
        <v>6524</v>
      </c>
      <c r="X875" s="0" t="s">
        <v>1116</v>
      </c>
      <c r="Y875" s="0" t="s">
        <v>42</v>
      </c>
      <c r="Z875" s="0" t="s">
        <v>2384</v>
      </c>
      <c r="AA875" s="0" t="s">
        <v>131</v>
      </c>
      <c r="AB875" s="0" t="s">
        <v>531</v>
      </c>
      <c r="AC875" s="0" t="s">
        <v>571</v>
      </c>
      <c r="AD875" s="0" t="s">
        <v>6525</v>
      </c>
      <c r="AE875" s="0" t="s">
        <v>6526</v>
      </c>
      <c r="AF875" s="0" t="s">
        <v>301</v>
      </c>
      <c r="AP875" s="0" t="s">
        <v>305</v>
      </c>
      <c r="BA875" s="0">
        <v>527</v>
      </c>
      <c r="BB875" s="0" t="s">
        <v>232</v>
      </c>
      <c r="BC875" s="0">
        <v>2</v>
      </c>
      <c r="BD875" s="0">
        <v>10</v>
      </c>
      <c r="BE875" s="0">
        <v>70560</v>
      </c>
      <c r="BF875" s="0">
        <v>1</v>
      </c>
      <c r="BG875" s="0" t="s">
        <v>6567</v>
      </c>
      <c r="BI875" s="0">
        <v>2175</v>
      </c>
      <c r="BK875" s="0" t="s">
        <v>6568</v>
      </c>
    </row>
    <row r="876">
      <c r="A876" s="0">
        <v>5606</v>
      </c>
      <c r="C876" s="0" t="s">
        <v>315</v>
      </c>
      <c r="D876" s="0" t="s">
        <v>6539</v>
      </c>
      <c r="E876" s="0" t="s">
        <v>6569</v>
      </c>
      <c r="F876" s="0">
        <v>1</v>
      </c>
      <c r="G876" s="0" t="s">
        <v>555</v>
      </c>
      <c r="H876" s="0" t="s">
        <v>1112</v>
      </c>
      <c r="I876" s="0" t="s">
        <v>549</v>
      </c>
      <c r="J876" s="0" t="s">
        <v>594</v>
      </c>
      <c r="K876" s="0" t="s">
        <v>508</v>
      </c>
      <c r="L876" s="0" t="s">
        <v>705</v>
      </c>
      <c r="P876" s="0" t="s">
        <v>343</v>
      </c>
      <c r="Q876" s="0" t="s">
        <v>343</v>
      </c>
      <c r="T876" s="0" t="s">
        <v>6570</v>
      </c>
      <c r="U876" s="0" t="s">
        <v>6571</v>
      </c>
      <c r="W876" s="0" t="s">
        <v>6524</v>
      </c>
      <c r="X876" s="0" t="s">
        <v>298</v>
      </c>
      <c r="Y876" s="0" t="s">
        <v>42</v>
      </c>
      <c r="Z876" s="0" t="s">
        <v>2384</v>
      </c>
      <c r="AA876" s="0" t="s">
        <v>131</v>
      </c>
      <c r="AB876" s="0" t="s">
        <v>531</v>
      </c>
      <c r="AC876" s="0" t="s">
        <v>571</v>
      </c>
      <c r="AD876" s="0" t="s">
        <v>6525</v>
      </c>
      <c r="AE876" s="0" t="s">
        <v>6526</v>
      </c>
      <c r="AF876" s="0" t="s">
        <v>301</v>
      </c>
      <c r="AP876" s="0" t="s">
        <v>305</v>
      </c>
      <c r="BA876" s="0">
        <v>527</v>
      </c>
      <c r="BB876" s="0" t="s">
        <v>232</v>
      </c>
      <c r="BC876" s="0">
        <v>2</v>
      </c>
      <c r="BD876" s="0">
        <v>374043</v>
      </c>
      <c r="BE876" s="0">
        <v>70560</v>
      </c>
      <c r="BF876" s="0">
        <v>5</v>
      </c>
      <c r="BG876" s="0" t="s">
        <v>6572</v>
      </c>
      <c r="BI876" s="0">
        <v>1952</v>
      </c>
      <c r="BK876" s="0" t="s">
        <v>6573</v>
      </c>
    </row>
    <row r="877">
      <c r="A877" s="0">
        <v>5605</v>
      </c>
      <c r="C877" s="0" t="s">
        <v>315</v>
      </c>
      <c r="D877" s="0" t="s">
        <v>6539</v>
      </c>
      <c r="E877" s="0" t="s">
        <v>6574</v>
      </c>
      <c r="F877" s="0">
        <v>1</v>
      </c>
      <c r="G877" s="0" t="s">
        <v>555</v>
      </c>
      <c r="H877" s="0" t="s">
        <v>1112</v>
      </c>
      <c r="I877" s="0" t="s">
        <v>549</v>
      </c>
      <c r="J877" s="0" t="s">
        <v>594</v>
      </c>
      <c r="K877" s="0" t="s">
        <v>508</v>
      </c>
      <c r="L877" s="0" t="s">
        <v>705</v>
      </c>
      <c r="P877" s="0" t="s">
        <v>343</v>
      </c>
      <c r="Q877" s="0" t="s">
        <v>343</v>
      </c>
      <c r="S877" s="0" t="s">
        <v>6575</v>
      </c>
      <c r="T877" s="0" t="s">
        <v>6570</v>
      </c>
      <c r="U877" s="0" t="s">
        <v>6576</v>
      </c>
      <c r="W877" s="0" t="s">
        <v>6524</v>
      </c>
      <c r="X877" s="0" t="s">
        <v>298</v>
      </c>
      <c r="Y877" s="0" t="s">
        <v>42</v>
      </c>
      <c r="Z877" s="0" t="s">
        <v>2384</v>
      </c>
      <c r="AA877" s="0" t="s">
        <v>131</v>
      </c>
      <c r="AB877" s="0" t="s">
        <v>531</v>
      </c>
      <c r="AC877" s="0" t="s">
        <v>571</v>
      </c>
      <c r="AD877" s="0" t="s">
        <v>6525</v>
      </c>
      <c r="AE877" s="0" t="s">
        <v>6526</v>
      </c>
      <c r="AF877" s="0" t="s">
        <v>301</v>
      </c>
      <c r="AP877" s="0" t="s">
        <v>305</v>
      </c>
      <c r="BA877" s="0">
        <v>527</v>
      </c>
      <c r="BB877" s="0" t="s">
        <v>232</v>
      </c>
      <c r="BC877" s="0">
        <v>2</v>
      </c>
      <c r="BD877" s="0">
        <v>374043</v>
      </c>
      <c r="BE877" s="0">
        <v>70560</v>
      </c>
      <c r="BF877" s="0">
        <v>5</v>
      </c>
      <c r="BG877" s="0" t="s">
        <v>6577</v>
      </c>
      <c r="BI877" s="0">
        <v>1709</v>
      </c>
      <c r="BK877" s="0" t="s">
        <v>6578</v>
      </c>
    </row>
    <row r="878">
      <c r="A878" s="0">
        <v>5601</v>
      </c>
      <c r="B878" s="0" t="s">
        <v>6579</v>
      </c>
      <c r="C878" s="0" t="s">
        <v>315</v>
      </c>
      <c r="D878" s="0" t="s">
        <v>6539</v>
      </c>
      <c r="E878" s="0" t="s">
        <v>6580</v>
      </c>
      <c r="F878" s="0">
        <v>1</v>
      </c>
      <c r="G878" s="0" t="s">
        <v>555</v>
      </c>
      <c r="H878" s="0" t="s">
        <v>1112</v>
      </c>
      <c r="I878" s="0" t="s">
        <v>549</v>
      </c>
      <c r="J878" s="0" t="s">
        <v>594</v>
      </c>
      <c r="K878" s="0" t="s">
        <v>508</v>
      </c>
      <c r="L878" s="0" t="s">
        <v>705</v>
      </c>
      <c r="P878" s="0" t="s">
        <v>323</v>
      </c>
      <c r="Q878" s="0" t="s">
        <v>343</v>
      </c>
      <c r="R878" s="0" t="s">
        <v>661</v>
      </c>
      <c r="T878" s="0" t="s">
        <v>6581</v>
      </c>
      <c r="U878" s="0" t="s">
        <v>6582</v>
      </c>
      <c r="W878" s="0" t="s">
        <v>6524</v>
      </c>
      <c r="X878" s="0" t="s">
        <v>298</v>
      </c>
      <c r="Y878" s="0" t="s">
        <v>42</v>
      </c>
      <c r="Z878" s="0" t="s">
        <v>2384</v>
      </c>
      <c r="AA878" s="0" t="s">
        <v>131</v>
      </c>
      <c r="AB878" s="0" t="s">
        <v>531</v>
      </c>
      <c r="AC878" s="0" t="s">
        <v>571</v>
      </c>
      <c r="AD878" s="0" t="s">
        <v>6525</v>
      </c>
      <c r="AE878" s="0" t="s">
        <v>6526</v>
      </c>
      <c r="AF878" s="0" t="s">
        <v>301</v>
      </c>
      <c r="AM878" s="0" t="s">
        <v>517</v>
      </c>
      <c r="AN878" s="0" t="s">
        <v>388</v>
      </c>
      <c r="AO878" s="0" t="s">
        <v>585</v>
      </c>
      <c r="AP878" s="0" t="s">
        <v>305</v>
      </c>
      <c r="BA878" s="0">
        <v>527</v>
      </c>
      <c r="BB878" s="0" t="s">
        <v>232</v>
      </c>
      <c r="BC878" s="0">
        <v>2</v>
      </c>
      <c r="BD878" s="0">
        <v>374043</v>
      </c>
      <c r="BE878" s="0">
        <v>70560</v>
      </c>
      <c r="BF878" s="0">
        <v>5</v>
      </c>
      <c r="BG878" s="0" t="s">
        <v>6583</v>
      </c>
      <c r="BI878" s="0">
        <v>413</v>
      </c>
      <c r="BK878" s="0" t="s">
        <v>6584</v>
      </c>
    </row>
    <row r="879">
      <c r="A879" s="0">
        <v>5602</v>
      </c>
      <c r="B879" s="0" t="s">
        <v>6579</v>
      </c>
      <c r="C879" s="0" t="s">
        <v>315</v>
      </c>
      <c r="D879" s="0" t="s">
        <v>6466</v>
      </c>
      <c r="E879" s="0" t="s">
        <v>6580</v>
      </c>
      <c r="F879" s="0">
        <v>2</v>
      </c>
      <c r="G879" s="0" t="s">
        <v>555</v>
      </c>
      <c r="H879" s="0" t="s">
        <v>1112</v>
      </c>
      <c r="I879" s="0" t="s">
        <v>1204</v>
      </c>
      <c r="J879" s="0" t="s">
        <v>594</v>
      </c>
      <c r="K879" s="0" t="s">
        <v>508</v>
      </c>
      <c r="L879" s="0" t="s">
        <v>1204</v>
      </c>
      <c r="P879" s="0" t="s">
        <v>323</v>
      </c>
      <c r="Q879" s="0" t="s">
        <v>343</v>
      </c>
      <c r="R879" s="0" t="s">
        <v>1021</v>
      </c>
      <c r="T879" s="0" t="s">
        <v>6581</v>
      </c>
      <c r="W879" s="0" t="s">
        <v>6524</v>
      </c>
      <c r="X879" s="0" t="s">
        <v>1116</v>
      </c>
      <c r="Y879" s="0" t="s">
        <v>42</v>
      </c>
      <c r="Z879" s="0" t="s">
        <v>2384</v>
      </c>
      <c r="AA879" s="0" t="s">
        <v>131</v>
      </c>
      <c r="AB879" s="0" t="s">
        <v>531</v>
      </c>
      <c r="AC879" s="0" t="s">
        <v>571</v>
      </c>
      <c r="AD879" s="0" t="s">
        <v>6525</v>
      </c>
      <c r="AE879" s="0" t="s">
        <v>6526</v>
      </c>
      <c r="AF879" s="0" t="s">
        <v>301</v>
      </c>
      <c r="AM879" s="0" t="s">
        <v>517</v>
      </c>
      <c r="AN879" s="0" t="s">
        <v>388</v>
      </c>
      <c r="AO879" s="0" t="s">
        <v>585</v>
      </c>
      <c r="AP879" s="0" t="s">
        <v>305</v>
      </c>
      <c r="BA879" s="0">
        <v>527</v>
      </c>
      <c r="BB879" s="0" t="s">
        <v>232</v>
      </c>
      <c r="BC879" s="0">
        <v>2</v>
      </c>
      <c r="BD879" s="0">
        <v>374043</v>
      </c>
      <c r="BE879" s="0">
        <v>70560</v>
      </c>
      <c r="BF879" s="0">
        <v>1</v>
      </c>
      <c r="BG879" s="0" t="s">
        <v>6585</v>
      </c>
      <c r="BI879" s="0">
        <v>800</v>
      </c>
      <c r="BK879" s="0" t="s">
        <v>6586</v>
      </c>
    </row>
    <row r="880">
      <c r="A880" s="0">
        <v>5617</v>
      </c>
      <c r="B880" s="0" t="s">
        <v>6587</v>
      </c>
      <c r="E880" s="0" t="s">
        <v>6588</v>
      </c>
      <c r="F880" s="0">
        <v>2</v>
      </c>
      <c r="G880" s="0" t="s">
        <v>555</v>
      </c>
      <c r="H880" s="0" t="s">
        <v>1020</v>
      </c>
      <c r="I880" s="0" t="s">
        <v>1189</v>
      </c>
      <c r="J880" s="0" t="s">
        <v>293</v>
      </c>
      <c r="K880" s="0" t="s">
        <v>294</v>
      </c>
      <c r="L880" s="0" t="s">
        <v>295</v>
      </c>
      <c r="M880" s="0" t="s">
        <v>594</v>
      </c>
      <c r="O880" s="0" t="s">
        <v>1189</v>
      </c>
      <c r="P880" s="0" t="s">
        <v>6589</v>
      </c>
      <c r="Q880" s="0" t="s">
        <v>6590</v>
      </c>
      <c r="R880" s="0" t="s">
        <v>6591</v>
      </c>
      <c r="T880" s="0" t="s">
        <v>6592</v>
      </c>
      <c r="W880" s="0" t="s">
        <v>6593</v>
      </c>
      <c r="X880" s="0" t="s">
        <v>1116</v>
      </c>
      <c r="Y880" s="0" t="s">
        <v>75</v>
      </c>
      <c r="Z880" s="0" t="s">
        <v>1195</v>
      </c>
      <c r="AA880" s="0" t="s">
        <v>127</v>
      </c>
      <c r="AB880" s="0" t="s">
        <v>3740</v>
      </c>
      <c r="AD880" s="0" t="s">
        <v>6594</v>
      </c>
      <c r="AE880" s="0" t="s">
        <v>6595</v>
      </c>
      <c r="AF880" s="0" t="s">
        <v>301</v>
      </c>
      <c r="AP880" s="0" t="s">
        <v>305</v>
      </c>
      <c r="BA880" s="0">
        <v>528</v>
      </c>
      <c r="BB880" s="0" t="s">
        <v>232</v>
      </c>
      <c r="BC880" s="0">
        <v>2</v>
      </c>
      <c r="BE880" s="0">
        <v>90875</v>
      </c>
      <c r="BF880" s="0">
        <v>1</v>
      </c>
      <c r="BG880" s="0" t="s">
        <v>6596</v>
      </c>
      <c r="BI880" s="0">
        <v>866</v>
      </c>
      <c r="BK880" s="0" t="s">
        <v>6597</v>
      </c>
    </row>
    <row r="881">
      <c r="A881" s="0">
        <v>5616</v>
      </c>
      <c r="B881" s="0" t="s">
        <v>6598</v>
      </c>
      <c r="E881" s="0" t="s">
        <v>6599</v>
      </c>
      <c r="F881" s="0">
        <v>2</v>
      </c>
      <c r="G881" s="0" t="s">
        <v>555</v>
      </c>
      <c r="H881" s="0" t="s">
        <v>1020</v>
      </c>
      <c r="I881" s="0" t="s">
        <v>1189</v>
      </c>
      <c r="J881" s="0" t="s">
        <v>293</v>
      </c>
      <c r="K881" s="0" t="s">
        <v>294</v>
      </c>
      <c r="L881" s="0" t="s">
        <v>295</v>
      </c>
      <c r="M881" s="0" t="s">
        <v>594</v>
      </c>
      <c r="O881" s="0" t="s">
        <v>1189</v>
      </c>
      <c r="P881" s="0" t="s">
        <v>6589</v>
      </c>
      <c r="Q881" s="0" t="s">
        <v>6600</v>
      </c>
      <c r="R881" s="0" t="s">
        <v>6591</v>
      </c>
      <c r="T881" s="0" t="s">
        <v>6601</v>
      </c>
      <c r="W881" s="0" t="s">
        <v>6593</v>
      </c>
      <c r="X881" s="0" t="s">
        <v>1116</v>
      </c>
      <c r="Y881" s="0" t="s">
        <v>75</v>
      </c>
      <c r="Z881" s="0" t="s">
        <v>1195</v>
      </c>
      <c r="AA881" s="0" t="s">
        <v>127</v>
      </c>
      <c r="AB881" s="0" t="s">
        <v>3740</v>
      </c>
      <c r="AD881" s="0" t="s">
        <v>6594</v>
      </c>
      <c r="AE881" s="0" t="s">
        <v>6595</v>
      </c>
      <c r="AF881" s="0" t="s">
        <v>301</v>
      </c>
      <c r="AP881" s="0" t="s">
        <v>305</v>
      </c>
      <c r="BA881" s="0">
        <v>528</v>
      </c>
      <c r="BB881" s="0" t="s">
        <v>232</v>
      </c>
      <c r="BC881" s="0">
        <v>2</v>
      </c>
      <c r="BE881" s="0">
        <v>90875</v>
      </c>
      <c r="BF881" s="0">
        <v>1</v>
      </c>
      <c r="BG881" s="0" t="s">
        <v>6602</v>
      </c>
      <c r="BI881" s="0">
        <v>507</v>
      </c>
      <c r="BK881" s="0" t="s">
        <v>6603</v>
      </c>
    </row>
    <row r="882">
      <c r="A882" s="0">
        <v>5853</v>
      </c>
      <c r="B882" s="0" t="s">
        <v>6604</v>
      </c>
      <c r="E882" s="0" t="s">
        <v>6605</v>
      </c>
      <c r="F882" s="0">
        <v>2</v>
      </c>
      <c r="G882" s="0" t="s">
        <v>6606</v>
      </c>
      <c r="H882" s="0" t="s">
        <v>6606</v>
      </c>
      <c r="I882" s="0" t="s">
        <v>1189</v>
      </c>
      <c r="J882" s="0" t="s">
        <v>555</v>
      </c>
      <c r="K882" s="0" t="s">
        <v>1020</v>
      </c>
      <c r="L882" s="0" t="s">
        <v>1189</v>
      </c>
      <c r="P882" s="0" t="s">
        <v>343</v>
      </c>
      <c r="Q882" s="0" t="s">
        <v>343</v>
      </c>
      <c r="T882" s="0" t="s">
        <v>6607</v>
      </c>
      <c r="W882" s="0" t="s">
        <v>6593</v>
      </c>
      <c r="X882" s="0" t="s">
        <v>1116</v>
      </c>
      <c r="Y882" s="0" t="s">
        <v>75</v>
      </c>
      <c r="Z882" s="0" t="s">
        <v>1195</v>
      </c>
      <c r="AA882" s="0" t="s">
        <v>127</v>
      </c>
      <c r="AB882" s="0" t="s">
        <v>3740</v>
      </c>
      <c r="AD882" s="0" t="s">
        <v>6594</v>
      </c>
      <c r="AE882" s="0" t="s">
        <v>6595</v>
      </c>
      <c r="AF882" s="0" t="s">
        <v>301</v>
      </c>
      <c r="AP882" s="0" t="s">
        <v>305</v>
      </c>
      <c r="BA882" s="0">
        <v>528</v>
      </c>
      <c r="BB882" s="0" t="s">
        <v>232</v>
      </c>
      <c r="BC882" s="0">
        <v>2</v>
      </c>
      <c r="BE882" s="0">
        <v>90875</v>
      </c>
      <c r="BF882" s="0">
        <v>1</v>
      </c>
      <c r="BG882" s="0" t="s">
        <v>6608</v>
      </c>
      <c r="BI882" s="0">
        <v>4478</v>
      </c>
      <c r="BK882" s="0" t="s">
        <v>6609</v>
      </c>
    </row>
    <row r="883">
      <c r="A883" s="0">
        <v>5626</v>
      </c>
      <c r="B883" s="0" t="s">
        <v>6610</v>
      </c>
      <c r="E883" s="0" t="s">
        <v>6611</v>
      </c>
      <c r="F883" s="0">
        <v>2</v>
      </c>
      <c r="G883" s="0" t="s">
        <v>293</v>
      </c>
      <c r="H883" s="0" t="s">
        <v>294</v>
      </c>
      <c r="I883" s="0" t="s">
        <v>295</v>
      </c>
      <c r="P883" s="0" t="s">
        <v>323</v>
      </c>
      <c r="Q883" s="0" t="s">
        <v>343</v>
      </c>
      <c r="R883" s="0" t="s">
        <v>6612</v>
      </c>
      <c r="T883" s="0" t="s">
        <v>6613</v>
      </c>
      <c r="W883" s="0" t="s">
        <v>6593</v>
      </c>
      <c r="X883" s="0" t="s">
        <v>1116</v>
      </c>
      <c r="Y883" s="0" t="s">
        <v>75</v>
      </c>
      <c r="Z883" s="0" t="s">
        <v>1195</v>
      </c>
      <c r="AA883" s="0" t="s">
        <v>127</v>
      </c>
      <c r="AB883" s="0" t="s">
        <v>3740</v>
      </c>
      <c r="AD883" s="0" t="s">
        <v>6594</v>
      </c>
      <c r="AE883" s="0" t="s">
        <v>6595</v>
      </c>
      <c r="AF883" s="0" t="s">
        <v>301</v>
      </c>
      <c r="AP883" s="0" t="s">
        <v>305</v>
      </c>
      <c r="BA883" s="0">
        <v>528</v>
      </c>
      <c r="BB883" s="0" t="s">
        <v>232</v>
      </c>
      <c r="BC883" s="0">
        <v>2</v>
      </c>
      <c r="BE883" s="0">
        <v>90875</v>
      </c>
      <c r="BF883" s="0">
        <v>1</v>
      </c>
      <c r="BG883" s="0" t="s">
        <v>6614</v>
      </c>
      <c r="BI883" s="0">
        <v>2973</v>
      </c>
      <c r="BK883" s="0" t="s">
        <v>6615</v>
      </c>
    </row>
    <row r="884">
      <c r="A884" s="0">
        <v>5829</v>
      </c>
      <c r="B884" s="0" t="s">
        <v>6616</v>
      </c>
      <c r="E884" s="0" t="s">
        <v>6617</v>
      </c>
      <c r="F884" s="0">
        <v>2</v>
      </c>
      <c r="G884" s="0" t="s">
        <v>293</v>
      </c>
      <c r="H884" s="0" t="s">
        <v>294</v>
      </c>
      <c r="I884" s="0" t="s">
        <v>295</v>
      </c>
      <c r="P884" s="0" t="s">
        <v>6618</v>
      </c>
      <c r="Q884" s="0" t="s">
        <v>343</v>
      </c>
      <c r="R884" s="0" t="s">
        <v>6619</v>
      </c>
      <c r="T884" s="0" t="s">
        <v>6620</v>
      </c>
      <c r="W884" s="0" t="s">
        <v>6593</v>
      </c>
      <c r="X884" s="0" t="s">
        <v>1116</v>
      </c>
      <c r="Y884" s="0" t="s">
        <v>75</v>
      </c>
      <c r="Z884" s="0" t="s">
        <v>1195</v>
      </c>
      <c r="AA884" s="0" t="s">
        <v>127</v>
      </c>
      <c r="AB884" s="0" t="s">
        <v>3740</v>
      </c>
      <c r="AD884" s="0" t="s">
        <v>6594</v>
      </c>
      <c r="AE884" s="0" t="s">
        <v>6595</v>
      </c>
      <c r="AF884" s="0" t="s">
        <v>301</v>
      </c>
      <c r="AP884" s="0" t="s">
        <v>305</v>
      </c>
      <c r="BA884" s="0">
        <v>528</v>
      </c>
      <c r="BB884" s="0" t="s">
        <v>232</v>
      </c>
      <c r="BC884" s="0">
        <v>2</v>
      </c>
      <c r="BE884" s="0">
        <v>90875</v>
      </c>
      <c r="BF884" s="0">
        <v>1</v>
      </c>
      <c r="BG884" s="0" t="s">
        <v>6621</v>
      </c>
      <c r="BI884" s="0">
        <v>3141</v>
      </c>
      <c r="BK884" s="0" t="s">
        <v>6622</v>
      </c>
    </row>
    <row r="885">
      <c r="A885" s="0">
        <v>5836</v>
      </c>
      <c r="B885" s="0" t="s">
        <v>6623</v>
      </c>
      <c r="E885" s="0" t="s">
        <v>6624</v>
      </c>
      <c r="F885" s="0">
        <v>2</v>
      </c>
      <c r="G885" s="0" t="s">
        <v>581</v>
      </c>
      <c r="H885" s="0" t="s">
        <v>581</v>
      </c>
      <c r="I885" s="0" t="s">
        <v>583</v>
      </c>
      <c r="J885" s="0" t="s">
        <v>293</v>
      </c>
      <c r="K885" s="0" t="s">
        <v>294</v>
      </c>
      <c r="L885" s="0" t="s">
        <v>295</v>
      </c>
      <c r="P885" s="0" t="s">
        <v>343</v>
      </c>
      <c r="Q885" s="0" t="s">
        <v>343</v>
      </c>
      <c r="T885" s="0" t="s">
        <v>6625</v>
      </c>
      <c r="W885" s="0" t="s">
        <v>6593</v>
      </c>
      <c r="X885" s="0" t="s">
        <v>1116</v>
      </c>
      <c r="Y885" s="0" t="s">
        <v>75</v>
      </c>
      <c r="Z885" s="0" t="s">
        <v>1195</v>
      </c>
      <c r="AA885" s="0" t="s">
        <v>127</v>
      </c>
      <c r="AB885" s="0" t="s">
        <v>3740</v>
      </c>
      <c r="AD885" s="0" t="s">
        <v>6594</v>
      </c>
      <c r="AE885" s="0" t="s">
        <v>6595</v>
      </c>
      <c r="AF885" s="0" t="s">
        <v>301</v>
      </c>
      <c r="AP885" s="0" t="s">
        <v>305</v>
      </c>
      <c r="BA885" s="0">
        <v>528</v>
      </c>
      <c r="BB885" s="0" t="s">
        <v>232</v>
      </c>
      <c r="BC885" s="0">
        <v>2</v>
      </c>
      <c r="BE885" s="0">
        <v>90875</v>
      </c>
      <c r="BF885" s="0">
        <v>1</v>
      </c>
      <c r="BG885" s="0" t="s">
        <v>6626</v>
      </c>
      <c r="BI885" s="0">
        <v>3939</v>
      </c>
      <c r="BK885" s="0" t="s">
        <v>6627</v>
      </c>
    </row>
    <row r="886">
      <c r="A886" s="0">
        <v>5620</v>
      </c>
      <c r="B886" s="0" t="s">
        <v>6628</v>
      </c>
      <c r="E886" s="0" t="s">
        <v>6629</v>
      </c>
      <c r="F886" s="0">
        <v>2</v>
      </c>
      <c r="G886" s="0" t="s">
        <v>293</v>
      </c>
      <c r="H886" s="0" t="s">
        <v>294</v>
      </c>
      <c r="I886" s="0" t="s">
        <v>295</v>
      </c>
      <c r="P886" s="0" t="s">
        <v>6589</v>
      </c>
      <c r="Q886" s="0" t="s">
        <v>6589</v>
      </c>
      <c r="R886" s="0" t="s">
        <v>4585</v>
      </c>
      <c r="T886" s="0" t="s">
        <v>6630</v>
      </c>
      <c r="W886" s="0" t="s">
        <v>6593</v>
      </c>
      <c r="X886" s="0" t="s">
        <v>1116</v>
      </c>
      <c r="Y886" s="0" t="s">
        <v>75</v>
      </c>
      <c r="Z886" s="0" t="s">
        <v>1195</v>
      </c>
      <c r="AA886" s="0" t="s">
        <v>127</v>
      </c>
      <c r="AB886" s="0" t="s">
        <v>3740</v>
      </c>
      <c r="AD886" s="0" t="s">
        <v>6594</v>
      </c>
      <c r="AE886" s="0" t="s">
        <v>6595</v>
      </c>
      <c r="AF886" s="0" t="s">
        <v>301</v>
      </c>
      <c r="AP886" s="0" t="s">
        <v>305</v>
      </c>
      <c r="BA886" s="0">
        <v>528</v>
      </c>
      <c r="BB886" s="0" t="s">
        <v>232</v>
      </c>
      <c r="BC886" s="0">
        <v>2</v>
      </c>
      <c r="BE886" s="0">
        <v>90875</v>
      </c>
      <c r="BF886" s="0">
        <v>1</v>
      </c>
      <c r="BG886" s="0" t="s">
        <v>6631</v>
      </c>
      <c r="BI886" s="0">
        <v>1753</v>
      </c>
      <c r="BK886" s="0" t="s">
        <v>6632</v>
      </c>
    </row>
    <row r="887">
      <c r="A887" s="0">
        <v>5621</v>
      </c>
      <c r="B887" s="0" t="s">
        <v>6633</v>
      </c>
      <c r="E887" s="0" t="s">
        <v>6634</v>
      </c>
      <c r="F887" s="0">
        <v>2</v>
      </c>
      <c r="G887" s="0" t="s">
        <v>319</v>
      </c>
      <c r="H887" s="0" t="s">
        <v>483</v>
      </c>
      <c r="I887" s="0" t="s">
        <v>6635</v>
      </c>
      <c r="J887" s="0" t="s">
        <v>293</v>
      </c>
      <c r="K887" s="0" t="s">
        <v>294</v>
      </c>
      <c r="L887" s="0" t="s">
        <v>295</v>
      </c>
      <c r="P887" s="0" t="s">
        <v>343</v>
      </c>
      <c r="Q887" s="0" t="s">
        <v>343</v>
      </c>
      <c r="T887" s="0" t="s">
        <v>6636</v>
      </c>
      <c r="W887" s="0" t="s">
        <v>6593</v>
      </c>
      <c r="X887" s="0" t="s">
        <v>1116</v>
      </c>
      <c r="Y887" s="0" t="s">
        <v>75</v>
      </c>
      <c r="Z887" s="0" t="s">
        <v>1195</v>
      </c>
      <c r="AA887" s="0" t="s">
        <v>127</v>
      </c>
      <c r="AB887" s="0" t="s">
        <v>3740</v>
      </c>
      <c r="AD887" s="0" t="s">
        <v>6594</v>
      </c>
      <c r="AE887" s="0" t="s">
        <v>6595</v>
      </c>
      <c r="AF887" s="0" t="s">
        <v>301</v>
      </c>
      <c r="AP887" s="0" t="s">
        <v>305</v>
      </c>
      <c r="BA887" s="0">
        <v>528</v>
      </c>
      <c r="BB887" s="0" t="s">
        <v>232</v>
      </c>
      <c r="BC887" s="0">
        <v>2</v>
      </c>
      <c r="BE887" s="0">
        <v>90875</v>
      </c>
      <c r="BF887" s="0">
        <v>1</v>
      </c>
      <c r="BG887" s="0" t="s">
        <v>6637</v>
      </c>
      <c r="BI887" s="0">
        <v>1992</v>
      </c>
      <c r="BK887" s="0" t="s">
        <v>6638</v>
      </c>
    </row>
    <row r="888">
      <c r="A888" s="0">
        <v>5622</v>
      </c>
      <c r="B888" s="0" t="s">
        <v>6639</v>
      </c>
      <c r="E888" s="0" t="s">
        <v>6640</v>
      </c>
      <c r="F888" s="0">
        <v>2</v>
      </c>
      <c r="G888" s="0" t="s">
        <v>293</v>
      </c>
      <c r="H888" s="0" t="s">
        <v>294</v>
      </c>
      <c r="I888" s="0" t="s">
        <v>918</v>
      </c>
      <c r="P888" s="0" t="s">
        <v>6589</v>
      </c>
      <c r="Q888" s="0" t="s">
        <v>6589</v>
      </c>
      <c r="R888" s="0" t="s">
        <v>1791</v>
      </c>
      <c r="T888" s="0" t="s">
        <v>6641</v>
      </c>
      <c r="W888" s="0" t="s">
        <v>6593</v>
      </c>
      <c r="X888" s="0" t="s">
        <v>1116</v>
      </c>
      <c r="Y888" s="0" t="s">
        <v>75</v>
      </c>
      <c r="Z888" s="0" t="s">
        <v>1195</v>
      </c>
      <c r="AA888" s="0" t="s">
        <v>127</v>
      </c>
      <c r="AB888" s="0" t="s">
        <v>3740</v>
      </c>
      <c r="AD888" s="0" t="s">
        <v>6594</v>
      </c>
      <c r="AE888" s="0" t="s">
        <v>6595</v>
      </c>
      <c r="AF888" s="0" t="s">
        <v>301</v>
      </c>
      <c r="AP888" s="0" t="s">
        <v>305</v>
      </c>
      <c r="BA888" s="0">
        <v>528</v>
      </c>
      <c r="BB888" s="0" t="s">
        <v>232</v>
      </c>
      <c r="BC888" s="0">
        <v>2</v>
      </c>
      <c r="BE888" s="0">
        <v>90875</v>
      </c>
      <c r="BF888" s="0">
        <v>1</v>
      </c>
      <c r="BG888" s="0" t="s">
        <v>6642</v>
      </c>
      <c r="BI888" s="0">
        <v>2218</v>
      </c>
      <c r="BK888" s="0" t="s">
        <v>6643</v>
      </c>
    </row>
    <row r="889">
      <c r="A889" s="0">
        <v>5624</v>
      </c>
      <c r="B889" s="0" t="s">
        <v>6644</v>
      </c>
      <c r="E889" s="0" t="s">
        <v>6645</v>
      </c>
      <c r="F889" s="0">
        <v>2</v>
      </c>
      <c r="G889" s="0" t="s">
        <v>555</v>
      </c>
      <c r="H889" s="0" t="s">
        <v>1112</v>
      </c>
      <c r="I889" s="0" t="s">
        <v>4748</v>
      </c>
      <c r="J889" s="0" t="s">
        <v>293</v>
      </c>
      <c r="K889" s="0" t="s">
        <v>294</v>
      </c>
      <c r="L889" s="0" t="s">
        <v>295</v>
      </c>
      <c r="M889" s="0" t="s">
        <v>594</v>
      </c>
      <c r="O889" s="0" t="s">
        <v>1932</v>
      </c>
      <c r="P889" s="0" t="s">
        <v>6589</v>
      </c>
      <c r="Q889" s="0" t="s">
        <v>6646</v>
      </c>
      <c r="R889" s="0" t="s">
        <v>1541</v>
      </c>
      <c r="T889" s="0" t="s">
        <v>6647</v>
      </c>
      <c r="W889" s="0" t="s">
        <v>6593</v>
      </c>
      <c r="X889" s="0" t="s">
        <v>1116</v>
      </c>
      <c r="Y889" s="0" t="s">
        <v>75</v>
      </c>
      <c r="Z889" s="0" t="s">
        <v>1195</v>
      </c>
      <c r="AA889" s="0" t="s">
        <v>127</v>
      </c>
      <c r="AB889" s="0" t="s">
        <v>3740</v>
      </c>
      <c r="AD889" s="0" t="s">
        <v>6594</v>
      </c>
      <c r="AE889" s="0" t="s">
        <v>6595</v>
      </c>
      <c r="AF889" s="0" t="s">
        <v>301</v>
      </c>
      <c r="AP889" s="0" t="s">
        <v>305</v>
      </c>
      <c r="BA889" s="0">
        <v>528</v>
      </c>
      <c r="BB889" s="0" t="s">
        <v>232</v>
      </c>
      <c r="BC889" s="0">
        <v>2</v>
      </c>
      <c r="BE889" s="0">
        <v>90875</v>
      </c>
      <c r="BF889" s="0">
        <v>1</v>
      </c>
      <c r="BG889" s="0" t="s">
        <v>6648</v>
      </c>
      <c r="BI889" s="0">
        <v>2630</v>
      </c>
      <c r="BK889" s="0" t="s">
        <v>6649</v>
      </c>
    </row>
    <row r="890">
      <c r="A890" s="0">
        <v>5623</v>
      </c>
      <c r="B890" s="0" t="s">
        <v>6650</v>
      </c>
      <c r="E890" s="0" t="s">
        <v>6651</v>
      </c>
      <c r="F890" s="0">
        <v>2</v>
      </c>
      <c r="G890" s="0" t="s">
        <v>555</v>
      </c>
      <c r="H890" s="0" t="s">
        <v>1112</v>
      </c>
      <c r="I890" s="0" t="s">
        <v>4748</v>
      </c>
      <c r="J890" s="0" t="s">
        <v>293</v>
      </c>
      <c r="K890" s="0" t="s">
        <v>294</v>
      </c>
      <c r="L890" s="0" t="s">
        <v>295</v>
      </c>
      <c r="M890" s="0" t="s">
        <v>594</v>
      </c>
      <c r="O890" s="0" t="s">
        <v>1932</v>
      </c>
      <c r="P890" s="0" t="s">
        <v>6589</v>
      </c>
      <c r="Q890" s="0" t="s">
        <v>6652</v>
      </c>
      <c r="R890" s="0" t="s">
        <v>1572</v>
      </c>
      <c r="T890" s="0" t="s">
        <v>6653</v>
      </c>
      <c r="W890" s="0" t="s">
        <v>6593</v>
      </c>
      <c r="X890" s="0" t="s">
        <v>1116</v>
      </c>
      <c r="Y890" s="0" t="s">
        <v>75</v>
      </c>
      <c r="Z890" s="0" t="s">
        <v>1195</v>
      </c>
      <c r="AA890" s="0" t="s">
        <v>127</v>
      </c>
      <c r="AB890" s="0" t="s">
        <v>3740</v>
      </c>
      <c r="AD890" s="0" t="s">
        <v>6594</v>
      </c>
      <c r="AE890" s="0" t="s">
        <v>6595</v>
      </c>
      <c r="AF890" s="0" t="s">
        <v>301</v>
      </c>
      <c r="AP890" s="0" t="s">
        <v>305</v>
      </c>
      <c r="BA890" s="0">
        <v>528</v>
      </c>
      <c r="BB890" s="0" t="s">
        <v>232</v>
      </c>
      <c r="BC890" s="0">
        <v>2</v>
      </c>
      <c r="BE890" s="0">
        <v>90875</v>
      </c>
      <c r="BF890" s="0">
        <v>1</v>
      </c>
      <c r="BG890" s="0" t="s">
        <v>6654</v>
      </c>
      <c r="BI890" s="0">
        <v>2422</v>
      </c>
      <c r="BK890" s="0" t="s">
        <v>6655</v>
      </c>
    </row>
    <row r="891">
      <c r="A891" s="0">
        <v>5625</v>
      </c>
      <c r="B891" s="0" t="s">
        <v>6656</v>
      </c>
      <c r="E891" s="0" t="s">
        <v>6657</v>
      </c>
      <c r="F891" s="0">
        <v>2</v>
      </c>
      <c r="G891" s="0" t="s">
        <v>555</v>
      </c>
      <c r="H891" s="0" t="s">
        <v>1112</v>
      </c>
      <c r="I891" s="0" t="s">
        <v>4748</v>
      </c>
      <c r="J891" s="0" t="s">
        <v>293</v>
      </c>
      <c r="K891" s="0" t="s">
        <v>294</v>
      </c>
      <c r="L891" s="0" t="s">
        <v>295</v>
      </c>
      <c r="M891" s="0" t="s">
        <v>594</v>
      </c>
      <c r="O891" s="0" t="s">
        <v>1932</v>
      </c>
      <c r="P891" s="0" t="s">
        <v>6589</v>
      </c>
      <c r="Q891" s="0" t="s">
        <v>6658</v>
      </c>
      <c r="R891" s="0" t="s">
        <v>1572</v>
      </c>
      <c r="T891" s="0" t="s">
        <v>6659</v>
      </c>
      <c r="W891" s="0" t="s">
        <v>6593</v>
      </c>
      <c r="X891" s="0" t="s">
        <v>1116</v>
      </c>
      <c r="Y891" s="0" t="s">
        <v>75</v>
      </c>
      <c r="Z891" s="0" t="s">
        <v>1195</v>
      </c>
      <c r="AA891" s="0" t="s">
        <v>127</v>
      </c>
      <c r="AB891" s="0" t="s">
        <v>3740</v>
      </c>
      <c r="AD891" s="0" t="s">
        <v>6594</v>
      </c>
      <c r="AE891" s="0" t="s">
        <v>6595</v>
      </c>
      <c r="AF891" s="0" t="s">
        <v>301</v>
      </c>
      <c r="AP891" s="0" t="s">
        <v>305</v>
      </c>
      <c r="BA891" s="0">
        <v>528</v>
      </c>
      <c r="BB891" s="0" t="s">
        <v>232</v>
      </c>
      <c r="BC891" s="0">
        <v>2</v>
      </c>
      <c r="BE891" s="0">
        <v>90875</v>
      </c>
      <c r="BF891" s="0">
        <v>1</v>
      </c>
      <c r="BG891" s="0" t="s">
        <v>6660</v>
      </c>
      <c r="BI891" s="0">
        <v>2807</v>
      </c>
      <c r="BK891" s="0" t="s">
        <v>6661</v>
      </c>
    </row>
    <row r="892">
      <c r="A892" s="0">
        <v>5619</v>
      </c>
      <c r="B892" s="0" t="s">
        <v>6662</v>
      </c>
      <c r="E892" s="0" t="s">
        <v>6663</v>
      </c>
      <c r="F892" s="0">
        <v>2</v>
      </c>
      <c r="G892" s="0" t="s">
        <v>293</v>
      </c>
      <c r="H892" s="0" t="s">
        <v>294</v>
      </c>
      <c r="I892" s="0" t="s">
        <v>295</v>
      </c>
      <c r="P892" s="0" t="s">
        <v>343</v>
      </c>
      <c r="Q892" s="0" t="s">
        <v>343</v>
      </c>
      <c r="T892" s="0" t="s">
        <v>6664</v>
      </c>
      <c r="W892" s="0" t="s">
        <v>6593</v>
      </c>
      <c r="X892" s="0" t="s">
        <v>1116</v>
      </c>
      <c r="Y892" s="0" t="s">
        <v>75</v>
      </c>
      <c r="Z892" s="0" t="s">
        <v>1195</v>
      </c>
      <c r="AA892" s="0" t="s">
        <v>127</v>
      </c>
      <c r="AB892" s="0" t="s">
        <v>3740</v>
      </c>
      <c r="AD892" s="0" t="s">
        <v>6594</v>
      </c>
      <c r="AE892" s="0" t="s">
        <v>6595</v>
      </c>
      <c r="AF892" s="0" t="s">
        <v>301</v>
      </c>
      <c r="AP892" s="0" t="s">
        <v>305</v>
      </c>
      <c r="BA892" s="0">
        <v>528</v>
      </c>
      <c r="BB892" s="0" t="s">
        <v>232</v>
      </c>
      <c r="BC892" s="0">
        <v>2</v>
      </c>
      <c r="BE892" s="0">
        <v>90875</v>
      </c>
      <c r="BF892" s="0">
        <v>1</v>
      </c>
      <c r="BG892" s="0" t="s">
        <v>6665</v>
      </c>
      <c r="BI892" s="0">
        <v>1502</v>
      </c>
      <c r="BK892" s="0" t="s">
        <v>6666</v>
      </c>
    </row>
    <row r="893">
      <c r="A893" s="0">
        <v>5843</v>
      </c>
      <c r="B893" s="0" t="s">
        <v>6667</v>
      </c>
      <c r="E893" s="0" t="s">
        <v>6668</v>
      </c>
      <c r="F893" s="0">
        <v>3</v>
      </c>
      <c r="G893" s="0" t="s">
        <v>319</v>
      </c>
      <c r="H893" s="0" t="s">
        <v>523</v>
      </c>
      <c r="I893" s="0" t="s">
        <v>1268</v>
      </c>
      <c r="J893" s="0" t="s">
        <v>594</v>
      </c>
      <c r="L893" s="0" t="s">
        <v>1268</v>
      </c>
      <c r="P893" s="0" t="s">
        <v>6589</v>
      </c>
      <c r="Q893" s="0" t="s">
        <v>343</v>
      </c>
      <c r="R893" s="0" t="s">
        <v>4585</v>
      </c>
      <c r="T893" s="0" t="s">
        <v>6669</v>
      </c>
      <c r="W893" s="0" t="s">
        <v>6593</v>
      </c>
      <c r="X893" s="0" t="s">
        <v>1116</v>
      </c>
      <c r="Y893" s="0" t="s">
        <v>75</v>
      </c>
      <c r="Z893" s="0" t="s">
        <v>1195</v>
      </c>
      <c r="AA893" s="0" t="s">
        <v>127</v>
      </c>
      <c r="AB893" s="0" t="s">
        <v>3740</v>
      </c>
      <c r="AD893" s="0" t="s">
        <v>6594</v>
      </c>
      <c r="AE893" s="0" t="s">
        <v>6595</v>
      </c>
      <c r="AF893" s="0" t="s">
        <v>301</v>
      </c>
      <c r="AP893" s="0" t="s">
        <v>305</v>
      </c>
      <c r="BA893" s="0">
        <v>528</v>
      </c>
      <c r="BB893" s="0" t="s">
        <v>232</v>
      </c>
      <c r="BC893" s="0">
        <v>2</v>
      </c>
      <c r="BE893" s="0">
        <v>90875</v>
      </c>
      <c r="BF893" s="0">
        <v>1</v>
      </c>
      <c r="BG893" s="0" t="s">
        <v>6670</v>
      </c>
      <c r="BI893" s="0">
        <v>4422</v>
      </c>
      <c r="BK893" s="0" t="s">
        <v>6671</v>
      </c>
    </row>
    <row r="894">
      <c r="A894" s="0">
        <v>5842</v>
      </c>
      <c r="B894" s="0" t="s">
        <v>6672</v>
      </c>
      <c r="E894" s="0" t="s">
        <v>6673</v>
      </c>
      <c r="F894" s="0">
        <v>3</v>
      </c>
      <c r="G894" s="0" t="s">
        <v>319</v>
      </c>
      <c r="H894" s="0" t="s">
        <v>523</v>
      </c>
      <c r="I894" s="0" t="s">
        <v>1268</v>
      </c>
      <c r="J894" s="0" t="s">
        <v>594</v>
      </c>
      <c r="L894" s="0" t="s">
        <v>1268</v>
      </c>
      <c r="P894" s="0" t="s">
        <v>6589</v>
      </c>
      <c r="Q894" s="0" t="s">
        <v>343</v>
      </c>
      <c r="R894" s="0" t="s">
        <v>4585</v>
      </c>
      <c r="T894" s="0" t="s">
        <v>6669</v>
      </c>
      <c r="W894" s="0" t="s">
        <v>6593</v>
      </c>
      <c r="X894" s="0" t="s">
        <v>1116</v>
      </c>
      <c r="Y894" s="0" t="s">
        <v>75</v>
      </c>
      <c r="Z894" s="0" t="s">
        <v>1195</v>
      </c>
      <c r="AA894" s="0" t="s">
        <v>127</v>
      </c>
      <c r="AB894" s="0" t="s">
        <v>3740</v>
      </c>
      <c r="AD894" s="0" t="s">
        <v>6594</v>
      </c>
      <c r="AE894" s="0" t="s">
        <v>6595</v>
      </c>
      <c r="AF894" s="0" t="s">
        <v>301</v>
      </c>
      <c r="AP894" s="0" t="s">
        <v>305</v>
      </c>
      <c r="BA894" s="0">
        <v>528</v>
      </c>
      <c r="BB894" s="0" t="s">
        <v>232</v>
      </c>
      <c r="BC894" s="0">
        <v>2</v>
      </c>
      <c r="BE894" s="0">
        <v>90875</v>
      </c>
      <c r="BF894" s="0">
        <v>1</v>
      </c>
      <c r="BG894" s="0" t="s">
        <v>6674</v>
      </c>
      <c r="BI894" s="0">
        <v>4365</v>
      </c>
      <c r="BK894" s="0" t="s">
        <v>6675</v>
      </c>
    </row>
    <row r="895">
      <c r="A895" s="0">
        <v>5832</v>
      </c>
      <c r="B895" s="0" t="s">
        <v>6676</v>
      </c>
      <c r="E895" s="0" t="s">
        <v>6677</v>
      </c>
      <c r="F895" s="0">
        <v>2</v>
      </c>
      <c r="G895" s="0" t="s">
        <v>319</v>
      </c>
      <c r="H895" s="0" t="s">
        <v>398</v>
      </c>
      <c r="I895" s="0" t="s">
        <v>471</v>
      </c>
      <c r="J895" s="0" t="s">
        <v>594</v>
      </c>
      <c r="K895" s="0" t="s">
        <v>1190</v>
      </c>
      <c r="L895" s="0" t="s">
        <v>469</v>
      </c>
      <c r="P895" s="0" t="s">
        <v>323</v>
      </c>
      <c r="Q895" s="0" t="s">
        <v>323</v>
      </c>
      <c r="R895" s="0" t="s">
        <v>1791</v>
      </c>
      <c r="T895" s="0" t="s">
        <v>6678</v>
      </c>
      <c r="W895" s="0" t="s">
        <v>6593</v>
      </c>
      <c r="X895" s="0" t="s">
        <v>1116</v>
      </c>
      <c r="Y895" s="0" t="s">
        <v>75</v>
      </c>
      <c r="Z895" s="0" t="s">
        <v>1195</v>
      </c>
      <c r="AA895" s="0" t="s">
        <v>127</v>
      </c>
      <c r="AB895" s="0" t="s">
        <v>3740</v>
      </c>
      <c r="AD895" s="0" t="s">
        <v>6594</v>
      </c>
      <c r="AE895" s="0" t="s">
        <v>6595</v>
      </c>
      <c r="AF895" s="0" t="s">
        <v>301</v>
      </c>
      <c r="AP895" s="0" t="s">
        <v>305</v>
      </c>
      <c r="BA895" s="0">
        <v>528</v>
      </c>
      <c r="BB895" s="0" t="s">
        <v>232</v>
      </c>
      <c r="BC895" s="0">
        <v>2</v>
      </c>
      <c r="BE895" s="0">
        <v>90875</v>
      </c>
      <c r="BF895" s="0">
        <v>1</v>
      </c>
      <c r="BG895" s="0" t="s">
        <v>6679</v>
      </c>
      <c r="BI895" s="0">
        <v>3539</v>
      </c>
      <c r="BK895" s="0" t="s">
        <v>6680</v>
      </c>
    </row>
    <row r="896">
      <c r="A896" s="0">
        <v>5833</v>
      </c>
      <c r="B896" s="0" t="s">
        <v>6681</v>
      </c>
      <c r="E896" s="0" t="s">
        <v>6682</v>
      </c>
      <c r="F896" s="0">
        <v>2</v>
      </c>
      <c r="G896" s="0" t="s">
        <v>319</v>
      </c>
      <c r="H896" s="0" t="s">
        <v>398</v>
      </c>
      <c r="I896" s="0" t="s">
        <v>471</v>
      </c>
      <c r="J896" s="0" t="s">
        <v>594</v>
      </c>
      <c r="K896" s="0" t="s">
        <v>1190</v>
      </c>
      <c r="L896" s="0" t="s">
        <v>469</v>
      </c>
      <c r="P896" s="0" t="s">
        <v>323</v>
      </c>
      <c r="Q896" s="0" t="s">
        <v>323</v>
      </c>
      <c r="R896" s="0" t="s">
        <v>1791</v>
      </c>
      <c r="T896" s="0" t="s">
        <v>6678</v>
      </c>
      <c r="W896" s="0" t="s">
        <v>6593</v>
      </c>
      <c r="X896" s="0" t="s">
        <v>1116</v>
      </c>
      <c r="Y896" s="0" t="s">
        <v>75</v>
      </c>
      <c r="Z896" s="0" t="s">
        <v>1195</v>
      </c>
      <c r="AA896" s="0" t="s">
        <v>127</v>
      </c>
      <c r="AB896" s="0" t="s">
        <v>3740</v>
      </c>
      <c r="AD896" s="0" t="s">
        <v>6594</v>
      </c>
      <c r="AE896" s="0" t="s">
        <v>6595</v>
      </c>
      <c r="AF896" s="0" t="s">
        <v>301</v>
      </c>
      <c r="AP896" s="0" t="s">
        <v>305</v>
      </c>
      <c r="BA896" s="0">
        <v>528</v>
      </c>
      <c r="BB896" s="0" t="s">
        <v>232</v>
      </c>
      <c r="BC896" s="0">
        <v>2</v>
      </c>
      <c r="BE896" s="0">
        <v>90875</v>
      </c>
      <c r="BF896" s="0">
        <v>1</v>
      </c>
      <c r="BG896" s="0" t="s">
        <v>6683</v>
      </c>
      <c r="BI896" s="0">
        <v>3657</v>
      </c>
      <c r="BK896" s="0" t="s">
        <v>6684</v>
      </c>
    </row>
    <row r="897">
      <c r="A897" s="0">
        <v>5839</v>
      </c>
      <c r="B897" s="0" t="s">
        <v>6685</v>
      </c>
      <c r="E897" s="0" t="s">
        <v>6686</v>
      </c>
      <c r="F897" s="0">
        <v>3</v>
      </c>
      <c r="G897" s="0" t="s">
        <v>555</v>
      </c>
      <c r="H897" s="0" t="s">
        <v>1112</v>
      </c>
      <c r="I897" s="0" t="s">
        <v>1204</v>
      </c>
      <c r="J897" s="0" t="s">
        <v>293</v>
      </c>
      <c r="K897" s="0" t="s">
        <v>294</v>
      </c>
      <c r="L897" s="0" t="s">
        <v>918</v>
      </c>
      <c r="P897" s="0" t="s">
        <v>323</v>
      </c>
      <c r="Q897" s="0" t="s">
        <v>343</v>
      </c>
      <c r="R897" s="0" t="s">
        <v>6612</v>
      </c>
      <c r="T897" s="0" t="s">
        <v>6687</v>
      </c>
      <c r="W897" s="0" t="s">
        <v>6593</v>
      </c>
      <c r="X897" s="0" t="s">
        <v>1116</v>
      </c>
      <c r="Y897" s="0" t="s">
        <v>75</v>
      </c>
      <c r="Z897" s="0" t="s">
        <v>1195</v>
      </c>
      <c r="AA897" s="0" t="s">
        <v>127</v>
      </c>
      <c r="AB897" s="0" t="s">
        <v>3740</v>
      </c>
      <c r="AD897" s="0" t="s">
        <v>6594</v>
      </c>
      <c r="AE897" s="0" t="s">
        <v>6595</v>
      </c>
      <c r="AF897" s="0" t="s">
        <v>301</v>
      </c>
      <c r="AP897" s="0" t="s">
        <v>305</v>
      </c>
      <c r="BA897" s="0">
        <v>528</v>
      </c>
      <c r="BB897" s="0" t="s">
        <v>232</v>
      </c>
      <c r="BC897" s="0">
        <v>2</v>
      </c>
      <c r="BE897" s="0">
        <v>90875</v>
      </c>
      <c r="BF897" s="0">
        <v>1</v>
      </c>
      <c r="BG897" s="0" t="s">
        <v>6688</v>
      </c>
      <c r="BI897" s="0">
        <v>4179</v>
      </c>
      <c r="BK897" s="0" t="s">
        <v>6689</v>
      </c>
    </row>
    <row r="898">
      <c r="A898" s="0">
        <v>5838</v>
      </c>
      <c r="B898" s="0" t="s">
        <v>6690</v>
      </c>
      <c r="E898" s="0" t="s">
        <v>6691</v>
      </c>
      <c r="F898" s="0">
        <v>2</v>
      </c>
      <c r="G898" s="0" t="s">
        <v>555</v>
      </c>
      <c r="H898" s="0" t="s">
        <v>1112</v>
      </c>
      <c r="I898" s="0" t="s">
        <v>1204</v>
      </c>
      <c r="J898" s="0" t="s">
        <v>293</v>
      </c>
      <c r="K898" s="0" t="s">
        <v>294</v>
      </c>
      <c r="L898" s="0" t="s">
        <v>918</v>
      </c>
      <c r="P898" s="0" t="s">
        <v>323</v>
      </c>
      <c r="Q898" s="0" t="s">
        <v>343</v>
      </c>
      <c r="R898" s="0" t="s">
        <v>6612</v>
      </c>
      <c r="T898" s="0" t="s">
        <v>6692</v>
      </c>
      <c r="W898" s="0" t="s">
        <v>6593</v>
      </c>
      <c r="X898" s="0" t="s">
        <v>1116</v>
      </c>
      <c r="Y898" s="0" t="s">
        <v>75</v>
      </c>
      <c r="Z898" s="0" t="s">
        <v>1195</v>
      </c>
      <c r="AA898" s="0" t="s">
        <v>127</v>
      </c>
      <c r="AB898" s="0" t="s">
        <v>3740</v>
      </c>
      <c r="AD898" s="0" t="s">
        <v>6594</v>
      </c>
      <c r="AE898" s="0" t="s">
        <v>6595</v>
      </c>
      <c r="AF898" s="0" t="s">
        <v>301</v>
      </c>
      <c r="AP898" s="0" t="s">
        <v>305</v>
      </c>
      <c r="BA898" s="0">
        <v>528</v>
      </c>
      <c r="BB898" s="0" t="s">
        <v>232</v>
      </c>
      <c r="BC898" s="0">
        <v>2</v>
      </c>
      <c r="BE898" s="0">
        <v>90875</v>
      </c>
      <c r="BF898" s="0">
        <v>1</v>
      </c>
      <c r="BG898" s="0" t="s">
        <v>6693</v>
      </c>
      <c r="BI898" s="0">
        <v>4098</v>
      </c>
      <c r="BK898" s="0" t="s">
        <v>6694</v>
      </c>
    </row>
    <row r="899">
      <c r="A899" s="0">
        <v>5837</v>
      </c>
      <c r="B899" s="0" t="s">
        <v>6695</v>
      </c>
      <c r="E899" s="0" t="s">
        <v>6696</v>
      </c>
      <c r="F899" s="0">
        <v>2</v>
      </c>
      <c r="G899" s="0" t="s">
        <v>555</v>
      </c>
      <c r="H899" s="0" t="s">
        <v>1112</v>
      </c>
      <c r="I899" s="0" t="s">
        <v>1204</v>
      </c>
      <c r="J899" s="0" t="s">
        <v>293</v>
      </c>
      <c r="K899" s="0" t="s">
        <v>294</v>
      </c>
      <c r="L899" s="0" t="s">
        <v>918</v>
      </c>
      <c r="P899" s="0" t="s">
        <v>323</v>
      </c>
      <c r="Q899" s="0" t="s">
        <v>343</v>
      </c>
      <c r="R899" s="0" t="s">
        <v>6612</v>
      </c>
      <c r="T899" s="0" t="s">
        <v>6697</v>
      </c>
      <c r="W899" s="0" t="s">
        <v>6593</v>
      </c>
      <c r="X899" s="0" t="s">
        <v>1116</v>
      </c>
      <c r="Y899" s="0" t="s">
        <v>75</v>
      </c>
      <c r="Z899" s="0" t="s">
        <v>1195</v>
      </c>
      <c r="AA899" s="0" t="s">
        <v>127</v>
      </c>
      <c r="AB899" s="0" t="s">
        <v>3740</v>
      </c>
      <c r="AD899" s="0" t="s">
        <v>6594</v>
      </c>
      <c r="AE899" s="0" t="s">
        <v>6595</v>
      </c>
      <c r="AF899" s="0" t="s">
        <v>301</v>
      </c>
      <c r="AP899" s="0" t="s">
        <v>305</v>
      </c>
      <c r="BA899" s="0">
        <v>528</v>
      </c>
      <c r="BB899" s="0" t="s">
        <v>232</v>
      </c>
      <c r="BC899" s="0">
        <v>2</v>
      </c>
      <c r="BE899" s="0">
        <v>90875</v>
      </c>
      <c r="BF899" s="0">
        <v>1</v>
      </c>
      <c r="BG899" s="0" t="s">
        <v>6698</v>
      </c>
      <c r="BI899" s="0">
        <v>4015</v>
      </c>
      <c r="BK899" s="0" t="s">
        <v>6699</v>
      </c>
    </row>
    <row r="900">
      <c r="A900" s="0">
        <v>5840</v>
      </c>
      <c r="B900" s="0" t="s">
        <v>6700</v>
      </c>
      <c r="E900" s="0" t="s">
        <v>6701</v>
      </c>
      <c r="F900" s="0">
        <v>3</v>
      </c>
      <c r="G900" s="0" t="s">
        <v>293</v>
      </c>
      <c r="H900" s="0" t="s">
        <v>294</v>
      </c>
      <c r="I900" s="0" t="s">
        <v>295</v>
      </c>
      <c r="P900" s="0" t="s">
        <v>6702</v>
      </c>
      <c r="Q900" s="0" t="s">
        <v>323</v>
      </c>
      <c r="R900" s="0" t="s">
        <v>1142</v>
      </c>
      <c r="T900" s="0" t="s">
        <v>6703</v>
      </c>
      <c r="W900" s="0" t="s">
        <v>6593</v>
      </c>
      <c r="X900" s="0" t="s">
        <v>1116</v>
      </c>
      <c r="Y900" s="0" t="s">
        <v>75</v>
      </c>
      <c r="Z900" s="0" t="s">
        <v>1195</v>
      </c>
      <c r="AA900" s="0" t="s">
        <v>127</v>
      </c>
      <c r="AB900" s="0" t="s">
        <v>3740</v>
      </c>
      <c r="AD900" s="0" t="s">
        <v>6594</v>
      </c>
      <c r="AE900" s="0" t="s">
        <v>6595</v>
      </c>
      <c r="AF900" s="0" t="s">
        <v>301</v>
      </c>
      <c r="AP900" s="0" t="s">
        <v>305</v>
      </c>
      <c r="BA900" s="0">
        <v>528</v>
      </c>
      <c r="BB900" s="0" t="s">
        <v>232</v>
      </c>
      <c r="BC900" s="0">
        <v>2</v>
      </c>
      <c r="BE900" s="0">
        <v>90875</v>
      </c>
      <c r="BF900" s="0">
        <v>1</v>
      </c>
      <c r="BG900" s="0" t="s">
        <v>6704</v>
      </c>
      <c r="BI900" s="0">
        <v>4245</v>
      </c>
      <c r="BK900" s="0" t="s">
        <v>6705</v>
      </c>
    </row>
    <row r="901">
      <c r="A901" s="0">
        <v>5834</v>
      </c>
      <c r="B901" s="0" t="s">
        <v>6706</v>
      </c>
      <c r="E901" s="0" t="s">
        <v>6707</v>
      </c>
      <c r="F901" s="0">
        <v>3</v>
      </c>
      <c r="G901" s="0" t="s">
        <v>581</v>
      </c>
      <c r="H901" s="0" t="s">
        <v>581</v>
      </c>
      <c r="I901" s="0" t="s">
        <v>583</v>
      </c>
      <c r="J901" s="0" t="s">
        <v>293</v>
      </c>
      <c r="K901" s="0" t="s">
        <v>294</v>
      </c>
      <c r="L901" s="0" t="s">
        <v>295</v>
      </c>
      <c r="P901" s="0" t="s">
        <v>343</v>
      </c>
      <c r="Q901" s="0" t="s">
        <v>343</v>
      </c>
      <c r="T901" s="0" t="s">
        <v>6708</v>
      </c>
      <c r="W901" s="0" t="s">
        <v>6593</v>
      </c>
      <c r="X901" s="0" t="s">
        <v>1116</v>
      </c>
      <c r="Y901" s="0" t="s">
        <v>75</v>
      </c>
      <c r="Z901" s="0" t="s">
        <v>1195</v>
      </c>
      <c r="AA901" s="0" t="s">
        <v>127</v>
      </c>
      <c r="AB901" s="0" t="s">
        <v>3740</v>
      </c>
      <c r="AD901" s="0" t="s">
        <v>6594</v>
      </c>
      <c r="AE901" s="0" t="s">
        <v>6595</v>
      </c>
      <c r="AF901" s="0" t="s">
        <v>301</v>
      </c>
      <c r="AP901" s="0" t="s">
        <v>305</v>
      </c>
      <c r="BA901" s="0">
        <v>528</v>
      </c>
      <c r="BB901" s="0" t="s">
        <v>232</v>
      </c>
      <c r="BC901" s="0">
        <v>2</v>
      </c>
      <c r="BE901" s="0">
        <v>90875</v>
      </c>
      <c r="BF901" s="0">
        <v>1</v>
      </c>
      <c r="BG901" s="0" t="s">
        <v>6709</v>
      </c>
      <c r="BI901" s="0">
        <v>3758</v>
      </c>
      <c r="BK901" s="0" t="s">
        <v>6710</v>
      </c>
    </row>
    <row r="902">
      <c r="A902" s="0">
        <v>5841</v>
      </c>
      <c r="B902" s="0" t="s">
        <v>6711</v>
      </c>
      <c r="E902" s="0" t="s">
        <v>6712</v>
      </c>
      <c r="F902" s="0">
        <v>2</v>
      </c>
      <c r="G902" s="0" t="s">
        <v>293</v>
      </c>
      <c r="H902" s="0" t="s">
        <v>294</v>
      </c>
      <c r="I902" s="0" t="s">
        <v>295</v>
      </c>
      <c r="P902" s="0" t="s">
        <v>343</v>
      </c>
      <c r="Q902" s="0" t="s">
        <v>343</v>
      </c>
      <c r="T902" s="0" t="s">
        <v>6713</v>
      </c>
      <c r="W902" s="0" t="s">
        <v>6593</v>
      </c>
      <c r="X902" s="0" t="s">
        <v>1116</v>
      </c>
      <c r="Y902" s="0" t="s">
        <v>75</v>
      </c>
      <c r="Z902" s="0" t="s">
        <v>1195</v>
      </c>
      <c r="AA902" s="0" t="s">
        <v>127</v>
      </c>
      <c r="AB902" s="0" t="s">
        <v>3740</v>
      </c>
      <c r="AD902" s="0" t="s">
        <v>6594</v>
      </c>
      <c r="AE902" s="0" t="s">
        <v>6595</v>
      </c>
      <c r="AF902" s="0" t="s">
        <v>301</v>
      </c>
      <c r="AP902" s="0" t="s">
        <v>305</v>
      </c>
      <c r="BA902" s="0">
        <v>528</v>
      </c>
      <c r="BB902" s="0" t="s">
        <v>232</v>
      </c>
      <c r="BC902" s="0">
        <v>2</v>
      </c>
      <c r="BE902" s="0">
        <v>90875</v>
      </c>
      <c r="BF902" s="0">
        <v>1</v>
      </c>
      <c r="BG902" s="0" t="s">
        <v>6714</v>
      </c>
      <c r="BI902" s="0">
        <v>4313</v>
      </c>
      <c r="BK902" s="0" t="s">
        <v>6715</v>
      </c>
    </row>
    <row r="903">
      <c r="A903" s="0">
        <v>5835</v>
      </c>
      <c r="B903" s="0" t="s">
        <v>6716</v>
      </c>
      <c r="E903" s="0" t="s">
        <v>6717</v>
      </c>
      <c r="F903" s="0">
        <v>2</v>
      </c>
      <c r="G903" s="0" t="s">
        <v>581</v>
      </c>
      <c r="H903" s="0" t="s">
        <v>581</v>
      </c>
      <c r="I903" s="0" t="s">
        <v>583</v>
      </c>
      <c r="J903" s="0" t="s">
        <v>293</v>
      </c>
      <c r="P903" s="0" t="s">
        <v>343</v>
      </c>
      <c r="Q903" s="0" t="s">
        <v>343</v>
      </c>
      <c r="T903" s="0" t="s">
        <v>6718</v>
      </c>
      <c r="W903" s="0" t="s">
        <v>6593</v>
      </c>
      <c r="X903" s="0" t="s">
        <v>1116</v>
      </c>
      <c r="Y903" s="0" t="s">
        <v>75</v>
      </c>
      <c r="Z903" s="0" t="s">
        <v>1195</v>
      </c>
      <c r="AA903" s="0" t="s">
        <v>127</v>
      </c>
      <c r="AB903" s="0" t="s">
        <v>3740</v>
      </c>
      <c r="AD903" s="0" t="s">
        <v>6594</v>
      </c>
      <c r="AE903" s="0" t="s">
        <v>6595</v>
      </c>
      <c r="AF903" s="0" t="s">
        <v>301</v>
      </c>
      <c r="AP903" s="0" t="s">
        <v>305</v>
      </c>
      <c r="BA903" s="0">
        <v>528</v>
      </c>
      <c r="BB903" s="0" t="s">
        <v>232</v>
      </c>
      <c r="BC903" s="0">
        <v>2</v>
      </c>
      <c r="BE903" s="0">
        <v>90875</v>
      </c>
      <c r="BF903" s="0">
        <v>1</v>
      </c>
      <c r="BG903" s="0" t="s">
        <v>6719</v>
      </c>
      <c r="BI903" s="0">
        <v>3853</v>
      </c>
      <c r="BK903" s="0" t="s">
        <v>6720</v>
      </c>
    </row>
    <row r="904">
      <c r="A904" s="0">
        <v>5615</v>
      </c>
      <c r="B904" s="0" t="s">
        <v>6721</v>
      </c>
      <c r="E904" s="0" t="s">
        <v>6722</v>
      </c>
      <c r="F904" s="0">
        <v>2</v>
      </c>
      <c r="G904" s="0" t="s">
        <v>555</v>
      </c>
      <c r="H904" s="0" t="s">
        <v>1020</v>
      </c>
      <c r="I904" s="0" t="s">
        <v>1189</v>
      </c>
      <c r="J904" s="0" t="s">
        <v>293</v>
      </c>
      <c r="K904" s="0" t="s">
        <v>294</v>
      </c>
      <c r="L904" s="0" t="s">
        <v>295</v>
      </c>
      <c r="M904" s="0" t="s">
        <v>508</v>
      </c>
      <c r="O904" s="0" t="s">
        <v>1189</v>
      </c>
      <c r="P904" s="0" t="s">
        <v>1089</v>
      </c>
      <c r="Q904" s="0" t="s">
        <v>343</v>
      </c>
      <c r="R904" s="0" t="s">
        <v>6591</v>
      </c>
      <c r="T904" s="0" t="s">
        <v>6723</v>
      </c>
      <c r="W904" s="0" t="s">
        <v>6593</v>
      </c>
      <c r="X904" s="0" t="s">
        <v>1116</v>
      </c>
      <c r="Y904" s="0" t="s">
        <v>75</v>
      </c>
      <c r="Z904" s="0" t="s">
        <v>1195</v>
      </c>
      <c r="AA904" s="0" t="s">
        <v>127</v>
      </c>
      <c r="AB904" s="0" t="s">
        <v>3740</v>
      </c>
      <c r="AD904" s="0" t="s">
        <v>6594</v>
      </c>
      <c r="AE904" s="0" t="s">
        <v>6595</v>
      </c>
      <c r="AF904" s="0" t="s">
        <v>301</v>
      </c>
      <c r="AP904" s="0" t="s">
        <v>305</v>
      </c>
      <c r="BA904" s="0">
        <v>528</v>
      </c>
      <c r="BB904" s="0" t="s">
        <v>232</v>
      </c>
      <c r="BC904" s="0">
        <v>2</v>
      </c>
      <c r="BE904" s="0">
        <v>90875</v>
      </c>
      <c r="BF904" s="0">
        <v>1</v>
      </c>
      <c r="BG904" s="0" t="s">
        <v>6724</v>
      </c>
      <c r="BI904" s="0">
        <v>44</v>
      </c>
      <c r="BK904" s="0" t="s">
        <v>6725</v>
      </c>
    </row>
    <row r="905">
      <c r="A905" s="0">
        <v>5830</v>
      </c>
      <c r="B905" s="0" t="s">
        <v>6726</v>
      </c>
      <c r="E905" s="0" t="s">
        <v>6727</v>
      </c>
      <c r="F905" s="0">
        <v>2</v>
      </c>
      <c r="G905" s="0" t="s">
        <v>555</v>
      </c>
      <c r="H905" s="0" t="s">
        <v>1112</v>
      </c>
      <c r="I905" s="0" t="s">
        <v>549</v>
      </c>
      <c r="J905" s="0" t="s">
        <v>293</v>
      </c>
      <c r="K905" s="0" t="s">
        <v>294</v>
      </c>
      <c r="L905" s="0" t="s">
        <v>918</v>
      </c>
      <c r="P905" s="0" t="s">
        <v>323</v>
      </c>
      <c r="Q905" s="0" t="s">
        <v>323</v>
      </c>
      <c r="R905" s="0" t="s">
        <v>661</v>
      </c>
      <c r="T905" s="0" t="s">
        <v>6728</v>
      </c>
      <c r="W905" s="0" t="s">
        <v>6593</v>
      </c>
      <c r="X905" s="0" t="s">
        <v>1116</v>
      </c>
      <c r="Y905" s="0" t="s">
        <v>75</v>
      </c>
      <c r="Z905" s="0" t="s">
        <v>1195</v>
      </c>
      <c r="AA905" s="0" t="s">
        <v>127</v>
      </c>
      <c r="AB905" s="0" t="s">
        <v>3740</v>
      </c>
      <c r="AD905" s="0" t="s">
        <v>6594</v>
      </c>
      <c r="AE905" s="0" t="s">
        <v>6595</v>
      </c>
      <c r="AF905" s="0" t="s">
        <v>301</v>
      </c>
      <c r="AP905" s="0" t="s">
        <v>305</v>
      </c>
      <c r="BA905" s="0">
        <v>528</v>
      </c>
      <c r="BB905" s="0" t="s">
        <v>232</v>
      </c>
      <c r="BC905" s="0">
        <v>2</v>
      </c>
      <c r="BE905" s="0">
        <v>90875</v>
      </c>
      <c r="BF905" s="0">
        <v>1</v>
      </c>
      <c r="BG905" s="0" t="s">
        <v>6729</v>
      </c>
      <c r="BI905" s="0">
        <v>3290</v>
      </c>
      <c r="BK905" s="0" t="s">
        <v>6730</v>
      </c>
    </row>
    <row r="906">
      <c r="A906" s="0">
        <v>5831</v>
      </c>
      <c r="B906" s="0" t="s">
        <v>6731</v>
      </c>
      <c r="E906" s="0" t="s">
        <v>6732</v>
      </c>
      <c r="F906" s="0">
        <v>2</v>
      </c>
      <c r="G906" s="0" t="s">
        <v>555</v>
      </c>
      <c r="H906" s="0" t="s">
        <v>1112</v>
      </c>
      <c r="I906" s="0" t="s">
        <v>549</v>
      </c>
      <c r="J906" s="0" t="s">
        <v>293</v>
      </c>
      <c r="K906" s="0" t="s">
        <v>294</v>
      </c>
      <c r="L906" s="0" t="s">
        <v>918</v>
      </c>
      <c r="P906" s="0" t="s">
        <v>323</v>
      </c>
      <c r="Q906" s="0" t="s">
        <v>323</v>
      </c>
      <c r="R906" s="0" t="s">
        <v>661</v>
      </c>
      <c r="T906" s="0" t="s">
        <v>6733</v>
      </c>
      <c r="W906" s="0" t="s">
        <v>6593</v>
      </c>
      <c r="X906" s="0" t="s">
        <v>1116</v>
      </c>
      <c r="Y906" s="0" t="s">
        <v>75</v>
      </c>
      <c r="Z906" s="0" t="s">
        <v>1195</v>
      </c>
      <c r="AA906" s="0" t="s">
        <v>127</v>
      </c>
      <c r="AB906" s="0" t="s">
        <v>3740</v>
      </c>
      <c r="AD906" s="0" t="s">
        <v>6594</v>
      </c>
      <c r="AE906" s="0" t="s">
        <v>6595</v>
      </c>
      <c r="AF906" s="0" t="s">
        <v>301</v>
      </c>
      <c r="AP906" s="0" t="s">
        <v>305</v>
      </c>
      <c r="BA906" s="0">
        <v>528</v>
      </c>
      <c r="BB906" s="0" t="s">
        <v>232</v>
      </c>
      <c r="BC906" s="0">
        <v>2</v>
      </c>
      <c r="BE906" s="0">
        <v>90875</v>
      </c>
      <c r="BF906" s="0">
        <v>1</v>
      </c>
      <c r="BG906" s="0" t="s">
        <v>6734</v>
      </c>
      <c r="BI906" s="0">
        <v>3422</v>
      </c>
      <c r="BK906" s="0" t="s">
        <v>6735</v>
      </c>
    </row>
    <row r="907">
      <c r="A907" s="0">
        <v>5618</v>
      </c>
      <c r="B907" s="0" t="s">
        <v>6736</v>
      </c>
      <c r="E907" s="0" t="s">
        <v>6737</v>
      </c>
      <c r="F907" s="0">
        <v>2</v>
      </c>
      <c r="G907" s="0" t="s">
        <v>555</v>
      </c>
      <c r="H907" s="0" t="s">
        <v>1112</v>
      </c>
      <c r="I907" s="0" t="s">
        <v>549</v>
      </c>
      <c r="J907" s="0" t="s">
        <v>293</v>
      </c>
      <c r="K907" s="0" t="s">
        <v>294</v>
      </c>
      <c r="L907" s="0" t="s">
        <v>295</v>
      </c>
      <c r="M907" s="0" t="s">
        <v>594</v>
      </c>
      <c r="O907" s="0" t="s">
        <v>469</v>
      </c>
      <c r="P907" s="0" t="s">
        <v>6589</v>
      </c>
      <c r="Q907" s="0" t="s">
        <v>6589</v>
      </c>
      <c r="R907" s="0" t="s">
        <v>4585</v>
      </c>
      <c r="T907" s="0" t="s">
        <v>6738</v>
      </c>
      <c r="W907" s="0" t="s">
        <v>6593</v>
      </c>
      <c r="X907" s="0" t="s">
        <v>1116</v>
      </c>
      <c r="Y907" s="0" t="s">
        <v>75</v>
      </c>
      <c r="Z907" s="0" t="s">
        <v>1195</v>
      </c>
      <c r="AA907" s="0" t="s">
        <v>127</v>
      </c>
      <c r="AB907" s="0" t="s">
        <v>3740</v>
      </c>
      <c r="AD907" s="0" t="s">
        <v>6594</v>
      </c>
      <c r="AE907" s="0" t="s">
        <v>6595</v>
      </c>
      <c r="AF907" s="0" t="s">
        <v>301</v>
      </c>
      <c r="AP907" s="0" t="s">
        <v>305</v>
      </c>
      <c r="BA907" s="0">
        <v>528</v>
      </c>
      <c r="BB907" s="0" t="s">
        <v>232</v>
      </c>
      <c r="BC907" s="0">
        <v>2</v>
      </c>
      <c r="BE907" s="0">
        <v>90875</v>
      </c>
      <c r="BF907" s="0">
        <v>1</v>
      </c>
      <c r="BG907" s="0" t="s">
        <v>6739</v>
      </c>
      <c r="BI907" s="0">
        <v>1212</v>
      </c>
      <c r="BK907" s="0" t="s">
        <v>6740</v>
      </c>
    </row>
    <row r="908">
      <c r="A908" s="0">
        <v>5854</v>
      </c>
      <c r="B908" s="0" t="s">
        <v>6741</v>
      </c>
      <c r="E908" s="0" t="s">
        <v>6742</v>
      </c>
      <c r="F908" s="0">
        <v>2</v>
      </c>
      <c r="G908" s="0" t="s">
        <v>543</v>
      </c>
      <c r="H908" s="0" t="s">
        <v>1112</v>
      </c>
      <c r="I908" s="0" t="s">
        <v>1189</v>
      </c>
      <c r="J908" s="0" t="s">
        <v>293</v>
      </c>
      <c r="K908" s="0" t="s">
        <v>294</v>
      </c>
      <c r="L908" s="0" t="s">
        <v>295</v>
      </c>
      <c r="P908" s="0" t="s">
        <v>323</v>
      </c>
      <c r="Q908" s="0" t="s">
        <v>343</v>
      </c>
      <c r="R908" s="0" t="s">
        <v>6591</v>
      </c>
      <c r="T908" s="0" t="s">
        <v>6743</v>
      </c>
      <c r="W908" s="0" t="s">
        <v>6593</v>
      </c>
      <c r="X908" s="0" t="s">
        <v>1116</v>
      </c>
      <c r="Y908" s="0" t="s">
        <v>75</v>
      </c>
      <c r="Z908" s="0" t="s">
        <v>1195</v>
      </c>
      <c r="AA908" s="0" t="s">
        <v>127</v>
      </c>
      <c r="AB908" s="0" t="s">
        <v>3740</v>
      </c>
      <c r="AD908" s="0" t="s">
        <v>6594</v>
      </c>
      <c r="AE908" s="0" t="s">
        <v>6595</v>
      </c>
      <c r="AF908" s="0" t="s">
        <v>301</v>
      </c>
      <c r="AP908" s="0" t="s">
        <v>305</v>
      </c>
      <c r="BA908" s="0">
        <v>528</v>
      </c>
      <c r="BB908" s="0" t="s">
        <v>232</v>
      </c>
      <c r="BC908" s="0">
        <v>2</v>
      </c>
      <c r="BE908" s="0">
        <v>90875</v>
      </c>
      <c r="BF908" s="0">
        <v>1</v>
      </c>
      <c r="BG908" s="0" t="s">
        <v>6744</v>
      </c>
      <c r="BI908" s="0">
        <v>4530</v>
      </c>
      <c r="BK908" s="0" t="s">
        <v>6745</v>
      </c>
    </row>
    <row r="909">
      <c r="A909" s="0">
        <v>5633</v>
      </c>
      <c r="B909" s="0" t="s">
        <v>6746</v>
      </c>
      <c r="C909" s="0" t="s">
        <v>656</v>
      </c>
      <c r="D909" s="0" t="s">
        <v>2383</v>
      </c>
      <c r="E909" s="0" t="s">
        <v>6747</v>
      </c>
      <c r="F909" s="0">
        <v>1</v>
      </c>
      <c r="G909" s="0" t="s">
        <v>293</v>
      </c>
      <c r="H909" s="0" t="s">
        <v>294</v>
      </c>
      <c r="I909" s="0" t="s">
        <v>295</v>
      </c>
      <c r="T909" s="0" t="s">
        <v>6748</v>
      </c>
      <c r="U909" s="0" t="s">
        <v>6749</v>
      </c>
      <c r="W909" s="0" t="s">
        <v>6750</v>
      </c>
      <c r="X909" s="0" t="s">
        <v>298</v>
      </c>
      <c r="Y909" s="0" t="s">
        <v>142</v>
      </c>
      <c r="Z909" s="0" t="s">
        <v>2844</v>
      </c>
      <c r="AA909" s="0" t="s">
        <v>141</v>
      </c>
      <c r="AB909" s="0" t="s">
        <v>531</v>
      </c>
      <c r="AC909" s="0" t="s">
        <v>532</v>
      </c>
      <c r="AD909" s="0" t="s">
        <v>6751</v>
      </c>
      <c r="AE909" s="0" t="s">
        <v>6752</v>
      </c>
      <c r="AF909" s="0" t="s">
        <v>301</v>
      </c>
      <c r="AP909" s="0" t="s">
        <v>305</v>
      </c>
      <c r="BA909" s="0">
        <v>529</v>
      </c>
      <c r="BB909" s="0" t="s">
        <v>232</v>
      </c>
      <c r="BC909" s="0">
        <v>2</v>
      </c>
      <c r="BD909" s="0">
        <v>10</v>
      </c>
      <c r="BE909" s="0">
        <v>2562</v>
      </c>
      <c r="BF909" s="0">
        <v>5</v>
      </c>
      <c r="BG909" s="0" t="s">
        <v>6753</v>
      </c>
      <c r="BI909" s="0">
        <v>2179</v>
      </c>
      <c r="BK909" s="0" t="s">
        <v>6754</v>
      </c>
    </row>
    <row r="910">
      <c r="A910" s="0">
        <v>5627</v>
      </c>
      <c r="B910" s="0" t="s">
        <v>6755</v>
      </c>
      <c r="C910" s="0" t="s">
        <v>656</v>
      </c>
      <c r="D910" s="0" t="s">
        <v>2383</v>
      </c>
      <c r="E910" s="0" t="s">
        <v>6756</v>
      </c>
      <c r="F910" s="0">
        <v>1</v>
      </c>
      <c r="G910" s="0" t="s">
        <v>293</v>
      </c>
      <c r="H910" s="0" t="s">
        <v>294</v>
      </c>
      <c r="I910" s="0" t="s">
        <v>295</v>
      </c>
      <c r="P910" s="0" t="s">
        <v>323</v>
      </c>
      <c r="Q910" s="0" t="s">
        <v>323</v>
      </c>
      <c r="R910" s="0" t="s">
        <v>1783</v>
      </c>
      <c r="T910" s="0" t="s">
        <v>6757</v>
      </c>
      <c r="U910" s="0" t="s">
        <v>6758</v>
      </c>
      <c r="W910" s="0" t="s">
        <v>6750</v>
      </c>
      <c r="X910" s="0" t="s">
        <v>298</v>
      </c>
      <c r="Y910" s="0" t="s">
        <v>142</v>
      </c>
      <c r="Z910" s="0" t="s">
        <v>2844</v>
      </c>
      <c r="AA910" s="0" t="s">
        <v>141</v>
      </c>
      <c r="AB910" s="0" t="s">
        <v>531</v>
      </c>
      <c r="AC910" s="0" t="s">
        <v>532</v>
      </c>
      <c r="AD910" s="0" t="s">
        <v>6751</v>
      </c>
      <c r="AE910" s="0" t="s">
        <v>6752</v>
      </c>
      <c r="AF910" s="0" t="s">
        <v>301</v>
      </c>
      <c r="AP910" s="0" t="s">
        <v>305</v>
      </c>
      <c r="BA910" s="0">
        <v>529</v>
      </c>
      <c r="BB910" s="0" t="s">
        <v>232</v>
      </c>
      <c r="BC910" s="0">
        <v>2</v>
      </c>
      <c r="BD910" s="0">
        <v>10</v>
      </c>
      <c r="BE910" s="0">
        <v>2562</v>
      </c>
      <c r="BF910" s="0">
        <v>5</v>
      </c>
      <c r="BG910" s="0" t="s">
        <v>6759</v>
      </c>
      <c r="BI910" s="0">
        <v>406</v>
      </c>
      <c r="BK910" s="0" t="s">
        <v>6760</v>
      </c>
    </row>
    <row r="911">
      <c r="A911" s="0">
        <v>5632</v>
      </c>
      <c r="B911" s="0" t="s">
        <v>6761</v>
      </c>
      <c r="C911" s="0" t="s">
        <v>290</v>
      </c>
      <c r="D911" s="0" t="s">
        <v>2383</v>
      </c>
      <c r="E911" s="0" t="s">
        <v>6762</v>
      </c>
      <c r="F911" s="0">
        <v>2</v>
      </c>
      <c r="G911" s="0" t="s">
        <v>293</v>
      </c>
      <c r="H911" s="0" t="s">
        <v>294</v>
      </c>
      <c r="I911" s="0" t="s">
        <v>295</v>
      </c>
      <c r="J911" s="0" t="s">
        <v>555</v>
      </c>
      <c r="K911" s="0" t="s">
        <v>2414</v>
      </c>
      <c r="L911" s="0" t="s">
        <v>549</v>
      </c>
      <c r="T911" s="0" t="s">
        <v>6763</v>
      </c>
      <c r="U911" s="0" t="s">
        <v>6764</v>
      </c>
      <c r="W911" s="0" t="s">
        <v>6750</v>
      </c>
      <c r="X911" s="0" t="s">
        <v>298</v>
      </c>
      <c r="Y911" s="0" t="s">
        <v>142</v>
      </c>
      <c r="Z911" s="0" t="s">
        <v>2844</v>
      </c>
      <c r="AA911" s="0" t="s">
        <v>141</v>
      </c>
      <c r="AB911" s="0" t="s">
        <v>531</v>
      </c>
      <c r="AC911" s="0" t="s">
        <v>532</v>
      </c>
      <c r="AD911" s="0" t="s">
        <v>6751</v>
      </c>
      <c r="AE911" s="0" t="s">
        <v>6752</v>
      </c>
      <c r="AF911" s="0" t="s">
        <v>301</v>
      </c>
      <c r="AP911" s="0" t="s">
        <v>305</v>
      </c>
      <c r="BA911" s="0">
        <v>529</v>
      </c>
      <c r="BB911" s="0" t="s">
        <v>232</v>
      </c>
      <c r="BC911" s="0">
        <v>2</v>
      </c>
      <c r="BD911" s="0">
        <v>374053</v>
      </c>
      <c r="BE911" s="0">
        <v>2562</v>
      </c>
      <c r="BF911" s="0">
        <v>5</v>
      </c>
      <c r="BG911" s="0" t="s">
        <v>6765</v>
      </c>
      <c r="BI911" s="0">
        <v>1947</v>
      </c>
      <c r="BK911" s="0" t="s">
        <v>6766</v>
      </c>
    </row>
    <row r="912">
      <c r="A912" s="0">
        <v>5629</v>
      </c>
      <c r="B912" s="0" t="s">
        <v>6767</v>
      </c>
      <c r="C912" s="0" t="s">
        <v>290</v>
      </c>
      <c r="D912" s="0" t="s">
        <v>2383</v>
      </c>
      <c r="E912" s="0" t="s">
        <v>6768</v>
      </c>
      <c r="F912" s="0">
        <v>1</v>
      </c>
      <c r="G912" s="0" t="s">
        <v>293</v>
      </c>
      <c r="H912" s="0" t="s">
        <v>294</v>
      </c>
      <c r="I912" s="0" t="s">
        <v>295</v>
      </c>
      <c r="T912" s="0" t="s">
        <v>6769</v>
      </c>
      <c r="U912" s="0" t="s">
        <v>6770</v>
      </c>
      <c r="W912" s="0" t="s">
        <v>6750</v>
      </c>
      <c r="X912" s="0" t="s">
        <v>298</v>
      </c>
      <c r="Y912" s="0" t="s">
        <v>142</v>
      </c>
      <c r="Z912" s="0" t="s">
        <v>2844</v>
      </c>
      <c r="AA912" s="0" t="s">
        <v>141</v>
      </c>
      <c r="AB912" s="0" t="s">
        <v>531</v>
      </c>
      <c r="AC912" s="0" t="s">
        <v>532</v>
      </c>
      <c r="AD912" s="0" t="s">
        <v>6751</v>
      </c>
      <c r="AE912" s="0" t="s">
        <v>6752</v>
      </c>
      <c r="AF912" s="0" t="s">
        <v>301</v>
      </c>
      <c r="AP912" s="0" t="s">
        <v>305</v>
      </c>
      <c r="BA912" s="0">
        <v>529</v>
      </c>
      <c r="BB912" s="0" t="s">
        <v>232</v>
      </c>
      <c r="BC912" s="0">
        <v>2</v>
      </c>
      <c r="BD912" s="0">
        <v>374053</v>
      </c>
      <c r="BE912" s="0">
        <v>2562</v>
      </c>
      <c r="BF912" s="0">
        <v>5</v>
      </c>
      <c r="BG912" s="0" t="s">
        <v>6771</v>
      </c>
      <c r="BI912" s="0">
        <v>1135</v>
      </c>
      <c r="BK912" s="0" t="s">
        <v>6772</v>
      </c>
    </row>
    <row r="913">
      <c r="A913" s="0">
        <v>5628</v>
      </c>
      <c r="B913" s="0" t="s">
        <v>6773</v>
      </c>
      <c r="C913" s="0" t="s">
        <v>290</v>
      </c>
      <c r="D913" s="0" t="s">
        <v>2383</v>
      </c>
      <c r="E913" s="0" t="s">
        <v>6774</v>
      </c>
      <c r="F913" s="0">
        <v>3</v>
      </c>
      <c r="G913" s="0" t="s">
        <v>293</v>
      </c>
      <c r="H913" s="0" t="s">
        <v>294</v>
      </c>
      <c r="I913" s="0" t="s">
        <v>295</v>
      </c>
      <c r="T913" s="0" t="s">
        <v>6775</v>
      </c>
      <c r="U913" s="0" t="s">
        <v>6776</v>
      </c>
      <c r="W913" s="0" t="s">
        <v>6750</v>
      </c>
      <c r="X913" s="0" t="s">
        <v>298</v>
      </c>
      <c r="Y913" s="0" t="s">
        <v>142</v>
      </c>
      <c r="Z913" s="0" t="s">
        <v>2844</v>
      </c>
      <c r="AA913" s="0" t="s">
        <v>141</v>
      </c>
      <c r="AB913" s="0" t="s">
        <v>531</v>
      </c>
      <c r="AC913" s="0" t="s">
        <v>532</v>
      </c>
      <c r="AD913" s="0" t="s">
        <v>6751</v>
      </c>
      <c r="AE913" s="0" t="s">
        <v>6752</v>
      </c>
      <c r="AF913" s="0" t="s">
        <v>301</v>
      </c>
      <c r="AP913" s="0" t="s">
        <v>305</v>
      </c>
      <c r="BA913" s="0">
        <v>529</v>
      </c>
      <c r="BB913" s="0" t="s">
        <v>232</v>
      </c>
      <c r="BC913" s="0">
        <v>2</v>
      </c>
      <c r="BD913" s="0">
        <v>374053</v>
      </c>
      <c r="BE913" s="0">
        <v>2562</v>
      </c>
      <c r="BF913" s="0">
        <v>5</v>
      </c>
      <c r="BG913" s="0" t="s">
        <v>6777</v>
      </c>
      <c r="BI913" s="0">
        <v>805</v>
      </c>
      <c r="BK913" s="0" t="s">
        <v>6778</v>
      </c>
    </row>
    <row r="914">
      <c r="A914" s="0">
        <v>5631</v>
      </c>
      <c r="B914" s="0" t="s">
        <v>6779</v>
      </c>
      <c r="C914" s="0" t="s">
        <v>290</v>
      </c>
      <c r="D914" s="0" t="s">
        <v>2383</v>
      </c>
      <c r="E914" s="0" t="s">
        <v>6780</v>
      </c>
      <c r="F914" s="0">
        <v>4</v>
      </c>
      <c r="G914" s="0" t="s">
        <v>293</v>
      </c>
      <c r="H914" s="0" t="s">
        <v>294</v>
      </c>
      <c r="I914" s="0" t="s">
        <v>295</v>
      </c>
      <c r="J914" s="0" t="s">
        <v>555</v>
      </c>
      <c r="K914" s="0" t="s">
        <v>618</v>
      </c>
      <c r="L914" s="0" t="s">
        <v>549</v>
      </c>
      <c r="T914" s="0" t="s">
        <v>6769</v>
      </c>
      <c r="U914" s="0" t="s">
        <v>6781</v>
      </c>
      <c r="W914" s="0" t="s">
        <v>6750</v>
      </c>
      <c r="X914" s="0" t="s">
        <v>298</v>
      </c>
      <c r="Y914" s="0" t="s">
        <v>142</v>
      </c>
      <c r="Z914" s="0" t="s">
        <v>2844</v>
      </c>
      <c r="AA914" s="0" t="s">
        <v>141</v>
      </c>
      <c r="AB914" s="0" t="s">
        <v>531</v>
      </c>
      <c r="AC914" s="0" t="s">
        <v>532</v>
      </c>
      <c r="AD914" s="0" t="s">
        <v>6751</v>
      </c>
      <c r="AE914" s="0" t="s">
        <v>6752</v>
      </c>
      <c r="AF914" s="0" t="s">
        <v>301</v>
      </c>
      <c r="AP914" s="0" t="s">
        <v>305</v>
      </c>
      <c r="BA914" s="0">
        <v>529</v>
      </c>
      <c r="BB914" s="0" t="s">
        <v>232</v>
      </c>
      <c r="BC914" s="0">
        <v>2</v>
      </c>
      <c r="BD914" s="0">
        <v>374053</v>
      </c>
      <c r="BE914" s="0">
        <v>2562</v>
      </c>
      <c r="BF914" s="0">
        <v>5</v>
      </c>
      <c r="BG914" s="0" t="s">
        <v>6782</v>
      </c>
      <c r="BI914" s="0">
        <v>1705</v>
      </c>
      <c r="BK914" s="0" t="s">
        <v>6783</v>
      </c>
    </row>
    <row r="915">
      <c r="A915" s="0">
        <v>5639</v>
      </c>
      <c r="B915" s="0" t="s">
        <v>6685</v>
      </c>
      <c r="C915" s="0" t="s">
        <v>5861</v>
      </c>
      <c r="D915" s="0" t="s">
        <v>6784</v>
      </c>
      <c r="E915" s="0" t="s">
        <v>6686</v>
      </c>
      <c r="F915" s="0">
        <v>1</v>
      </c>
      <c r="G915" s="0" t="s">
        <v>555</v>
      </c>
      <c r="H915" s="0" t="s">
        <v>1112</v>
      </c>
      <c r="I915" s="0" t="s">
        <v>1204</v>
      </c>
      <c r="J915" s="0" t="s">
        <v>293</v>
      </c>
      <c r="K915" s="0" t="s">
        <v>294</v>
      </c>
      <c r="L915" s="0" t="s">
        <v>918</v>
      </c>
      <c r="P915" s="0" t="s">
        <v>323</v>
      </c>
      <c r="Q915" s="0" t="s">
        <v>343</v>
      </c>
      <c r="R915" s="0" t="s">
        <v>6612</v>
      </c>
      <c r="T915" s="0" t="s">
        <v>6785</v>
      </c>
      <c r="U915" s="0" t="s">
        <v>6786</v>
      </c>
      <c r="W915" s="0" t="s">
        <v>6476</v>
      </c>
      <c r="X915" s="0" t="s">
        <v>347</v>
      </c>
      <c r="Y915" s="0" t="s">
        <v>75</v>
      </c>
      <c r="Z915" s="0" t="s">
        <v>1195</v>
      </c>
      <c r="AA915" s="0" t="s">
        <v>143</v>
      </c>
      <c r="AB915" s="0" t="s">
        <v>531</v>
      </c>
      <c r="AC915" s="0" t="s">
        <v>571</v>
      </c>
      <c r="AD915" s="0" t="s">
        <v>2465</v>
      </c>
      <c r="AE915" s="0" t="s">
        <v>6787</v>
      </c>
      <c r="AF915" s="0" t="s">
        <v>301</v>
      </c>
      <c r="AP915" s="0" t="s">
        <v>305</v>
      </c>
      <c r="BA915" s="0">
        <v>530</v>
      </c>
      <c r="BB915" s="0" t="s">
        <v>232</v>
      </c>
      <c r="BC915" s="0">
        <v>2</v>
      </c>
      <c r="BD915" s="0">
        <v>21</v>
      </c>
      <c r="BE915" s="0">
        <v>90875</v>
      </c>
      <c r="BF915" s="0">
        <v>4</v>
      </c>
      <c r="BG915" s="0" t="s">
        <v>6788</v>
      </c>
      <c r="BI915" s="0">
        <v>404</v>
      </c>
      <c r="BK915" s="0" t="s">
        <v>6789</v>
      </c>
    </row>
    <row r="916">
      <c r="A916" s="0">
        <v>5847</v>
      </c>
      <c r="B916" s="0" t="s">
        <v>6790</v>
      </c>
      <c r="C916" s="0" t="s">
        <v>579</v>
      </c>
      <c r="D916" s="0" t="s">
        <v>6791</v>
      </c>
      <c r="E916" s="0" t="s">
        <v>6792</v>
      </c>
      <c r="F916" s="0">
        <v>1</v>
      </c>
      <c r="G916" s="0" t="s">
        <v>581</v>
      </c>
      <c r="H916" s="0" t="s">
        <v>581</v>
      </c>
      <c r="I916" s="0" t="s">
        <v>583</v>
      </c>
      <c r="J916" s="0" t="s">
        <v>293</v>
      </c>
      <c r="K916" s="0" t="s">
        <v>294</v>
      </c>
      <c r="L916" s="0" t="s">
        <v>295</v>
      </c>
      <c r="P916" s="0" t="s">
        <v>343</v>
      </c>
      <c r="Q916" s="0" t="s">
        <v>343</v>
      </c>
      <c r="T916" s="0" t="s">
        <v>6793</v>
      </c>
      <c r="U916" s="0" t="s">
        <v>6794</v>
      </c>
      <c r="W916" s="0" t="s">
        <v>6476</v>
      </c>
      <c r="X916" s="0" t="s">
        <v>347</v>
      </c>
      <c r="Y916" s="0" t="s">
        <v>75</v>
      </c>
      <c r="Z916" s="0" t="s">
        <v>1195</v>
      </c>
      <c r="AA916" s="0" t="s">
        <v>143</v>
      </c>
      <c r="AB916" s="0" t="s">
        <v>531</v>
      </c>
      <c r="AC916" s="0" t="s">
        <v>571</v>
      </c>
      <c r="AD916" s="0" t="s">
        <v>2465</v>
      </c>
      <c r="AE916" s="0" t="s">
        <v>6787</v>
      </c>
      <c r="AF916" s="0" t="s">
        <v>301</v>
      </c>
      <c r="AP916" s="0" t="s">
        <v>305</v>
      </c>
      <c r="BA916" s="0">
        <v>530</v>
      </c>
      <c r="BB916" s="0" t="s">
        <v>232</v>
      </c>
      <c r="BC916" s="0">
        <v>2</v>
      </c>
      <c r="BD916" s="0">
        <v>374046</v>
      </c>
      <c r="BE916" s="0">
        <v>90875</v>
      </c>
      <c r="BF916" s="0">
        <v>4</v>
      </c>
      <c r="BG916" s="0" t="s">
        <v>6795</v>
      </c>
      <c r="BI916" s="0">
        <v>1140</v>
      </c>
      <c r="BK916" s="0" t="s">
        <v>6796</v>
      </c>
    </row>
    <row r="917">
      <c r="A917" s="0">
        <v>5848</v>
      </c>
      <c r="B917" s="0" t="s">
        <v>6716</v>
      </c>
      <c r="C917" s="0" t="s">
        <v>579</v>
      </c>
      <c r="D917" s="0" t="s">
        <v>6791</v>
      </c>
      <c r="E917" s="0" t="s">
        <v>6717</v>
      </c>
      <c r="F917" s="0">
        <v>1</v>
      </c>
      <c r="G917" s="0" t="s">
        <v>581</v>
      </c>
      <c r="H917" s="0" t="s">
        <v>581</v>
      </c>
      <c r="I917" s="0" t="s">
        <v>583</v>
      </c>
      <c r="J917" s="0" t="s">
        <v>293</v>
      </c>
      <c r="K917" s="0" t="s">
        <v>294</v>
      </c>
      <c r="L917" s="0" t="s">
        <v>295</v>
      </c>
      <c r="P917" s="0" t="s">
        <v>343</v>
      </c>
      <c r="Q917" s="0" t="s">
        <v>343</v>
      </c>
      <c r="T917" s="0" t="s">
        <v>6797</v>
      </c>
      <c r="U917" s="0" t="s">
        <v>6798</v>
      </c>
      <c r="W917" s="0" t="s">
        <v>6476</v>
      </c>
      <c r="X917" s="0" t="s">
        <v>347</v>
      </c>
      <c r="Y917" s="0" t="s">
        <v>75</v>
      </c>
      <c r="Z917" s="0" t="s">
        <v>1195</v>
      </c>
      <c r="AA917" s="0" t="s">
        <v>143</v>
      </c>
      <c r="AB917" s="0" t="s">
        <v>531</v>
      </c>
      <c r="AC917" s="0" t="s">
        <v>571</v>
      </c>
      <c r="AD917" s="0" t="s">
        <v>2465</v>
      </c>
      <c r="AE917" s="0" t="s">
        <v>6787</v>
      </c>
      <c r="AF917" s="0" t="s">
        <v>301</v>
      </c>
      <c r="AP917" s="0" t="s">
        <v>305</v>
      </c>
      <c r="BA917" s="0">
        <v>530</v>
      </c>
      <c r="BB917" s="0" t="s">
        <v>232</v>
      </c>
      <c r="BC917" s="0">
        <v>2</v>
      </c>
      <c r="BD917" s="0">
        <v>374046</v>
      </c>
      <c r="BE917" s="0">
        <v>90875</v>
      </c>
      <c r="BF917" s="0">
        <v>4</v>
      </c>
      <c r="BG917" s="0" t="s">
        <v>6799</v>
      </c>
      <c r="BI917" s="0">
        <v>1444</v>
      </c>
      <c r="BK917" s="0" t="s">
        <v>6800</v>
      </c>
    </row>
    <row r="918">
      <c r="A918" s="0">
        <v>5650</v>
      </c>
      <c r="B918" s="0" t="s">
        <v>6801</v>
      </c>
      <c r="C918" s="0" t="s">
        <v>315</v>
      </c>
      <c r="D918" s="0" t="s">
        <v>6784</v>
      </c>
      <c r="E918" s="0" t="s">
        <v>6802</v>
      </c>
      <c r="F918" s="0">
        <v>1</v>
      </c>
      <c r="G918" s="0" t="s">
        <v>1590</v>
      </c>
      <c r="H918" s="0" t="s">
        <v>1590</v>
      </c>
      <c r="I918" s="0" t="s">
        <v>6803</v>
      </c>
      <c r="P918" s="0" t="s">
        <v>4192</v>
      </c>
      <c r="Q918" s="0" t="s">
        <v>343</v>
      </c>
      <c r="R918" s="0" t="s">
        <v>6591</v>
      </c>
      <c r="T918" s="0" t="s">
        <v>6804</v>
      </c>
      <c r="U918" s="0" t="s">
        <v>6805</v>
      </c>
      <c r="W918" s="0" t="s">
        <v>6476</v>
      </c>
      <c r="X918" s="0" t="s">
        <v>347</v>
      </c>
      <c r="Y918" s="0" t="s">
        <v>75</v>
      </c>
      <c r="Z918" s="0" t="s">
        <v>1195</v>
      </c>
      <c r="AA918" s="0" t="s">
        <v>143</v>
      </c>
      <c r="AB918" s="0" t="s">
        <v>531</v>
      </c>
      <c r="AC918" s="0" t="s">
        <v>571</v>
      </c>
      <c r="AD918" s="0" t="s">
        <v>2465</v>
      </c>
      <c r="AE918" s="0" t="s">
        <v>6787</v>
      </c>
      <c r="AF918" s="0" t="s">
        <v>301</v>
      </c>
      <c r="AP918" s="0" t="s">
        <v>305</v>
      </c>
      <c r="BA918" s="0">
        <v>530</v>
      </c>
      <c r="BB918" s="0" t="s">
        <v>232</v>
      </c>
      <c r="BC918" s="0">
        <v>2</v>
      </c>
      <c r="BD918" s="0">
        <v>374043</v>
      </c>
      <c r="BE918" s="0">
        <v>90875</v>
      </c>
      <c r="BF918" s="0">
        <v>4</v>
      </c>
      <c r="BG918" s="0" t="s">
        <v>6806</v>
      </c>
      <c r="BI918" s="0">
        <v>803</v>
      </c>
      <c r="BK918" s="0" t="s">
        <v>6807</v>
      </c>
    </row>
    <row r="919">
      <c r="A919" s="0">
        <v>5645</v>
      </c>
      <c r="B919" s="0" t="s">
        <v>6808</v>
      </c>
      <c r="C919" s="0" t="s">
        <v>290</v>
      </c>
      <c r="D919" s="0" t="s">
        <v>6094</v>
      </c>
      <c r="E919" s="0" t="s">
        <v>6809</v>
      </c>
      <c r="F919" s="0">
        <v>1</v>
      </c>
      <c r="G919" s="0" t="s">
        <v>293</v>
      </c>
      <c r="H919" s="0" t="s">
        <v>294</v>
      </c>
      <c r="I919" s="0" t="s">
        <v>295</v>
      </c>
      <c r="J919" s="0" t="s">
        <v>555</v>
      </c>
      <c r="K919" s="0" t="s">
        <v>1020</v>
      </c>
      <c r="L919" s="0" t="s">
        <v>549</v>
      </c>
      <c r="P919" s="0" t="s">
        <v>343</v>
      </c>
      <c r="Q919" s="0" t="s">
        <v>343</v>
      </c>
      <c r="T919" s="0" t="s">
        <v>6810</v>
      </c>
      <c r="U919" s="0" t="s">
        <v>6811</v>
      </c>
      <c r="X919" s="0" t="s">
        <v>298</v>
      </c>
      <c r="Y919" s="0" t="s">
        <v>89</v>
      </c>
      <c r="Z919" s="0" t="s">
        <v>6095</v>
      </c>
      <c r="AA919" s="0" t="s">
        <v>134</v>
      </c>
      <c r="AB919" s="0" t="s">
        <v>300</v>
      </c>
      <c r="AF919" s="0" t="s">
        <v>301</v>
      </c>
      <c r="AP919" s="0" t="s">
        <v>305</v>
      </c>
      <c r="BA919" s="0">
        <v>531</v>
      </c>
      <c r="BB919" s="0" t="s">
        <v>232</v>
      </c>
      <c r="BC919" s="0">
        <v>2</v>
      </c>
      <c r="BD919" s="0">
        <v>374053</v>
      </c>
      <c r="BE919" s="0">
        <v>519537</v>
      </c>
      <c r="BF919" s="0">
        <v>5</v>
      </c>
      <c r="BG919" s="0" t="s">
        <v>6812</v>
      </c>
      <c r="BI919" s="0">
        <v>409</v>
      </c>
      <c r="BK919" s="0" t="s">
        <v>6813</v>
      </c>
    </row>
    <row r="920">
      <c r="A920" s="0">
        <v>5648</v>
      </c>
      <c r="B920" s="0" t="s">
        <v>6814</v>
      </c>
      <c r="E920" s="0" t="s">
        <v>6815</v>
      </c>
      <c r="F920" s="0">
        <v>1</v>
      </c>
      <c r="G920" s="0" t="s">
        <v>319</v>
      </c>
      <c r="H920" s="0" t="s">
        <v>6816</v>
      </c>
      <c r="I920" s="0" t="s">
        <v>6817</v>
      </c>
      <c r="J920" s="0" t="s">
        <v>319</v>
      </c>
      <c r="K920" s="0" t="s">
        <v>6816</v>
      </c>
      <c r="L920" s="0" t="s">
        <v>6818</v>
      </c>
      <c r="M920" s="0" t="s">
        <v>400</v>
      </c>
      <c r="N920" s="0" t="s">
        <v>1190</v>
      </c>
      <c r="O920" s="0" t="s">
        <v>660</v>
      </c>
      <c r="P920" s="0" t="s">
        <v>343</v>
      </c>
      <c r="Q920" s="0" t="s">
        <v>343</v>
      </c>
      <c r="T920" s="0" t="s">
        <v>6819</v>
      </c>
      <c r="X920" s="0" t="s">
        <v>1116</v>
      </c>
      <c r="Y920" s="0" t="s">
        <v>89</v>
      </c>
      <c r="Z920" s="0" t="s">
        <v>6095</v>
      </c>
      <c r="AA920" s="0" t="s">
        <v>134</v>
      </c>
      <c r="AB920" s="0" t="s">
        <v>300</v>
      </c>
      <c r="AF920" s="0" t="s">
        <v>301</v>
      </c>
      <c r="AP920" s="0" t="s">
        <v>305</v>
      </c>
      <c r="BA920" s="0">
        <v>531</v>
      </c>
      <c r="BB920" s="0" t="s">
        <v>232</v>
      </c>
      <c r="BC920" s="0">
        <v>2</v>
      </c>
      <c r="BE920" s="0">
        <v>519537</v>
      </c>
      <c r="BF920" s="0">
        <v>1</v>
      </c>
      <c r="BG920" s="0" t="s">
        <v>6820</v>
      </c>
      <c r="BI920" s="0">
        <v>1199</v>
      </c>
      <c r="BK920" s="0" t="s">
        <v>6821</v>
      </c>
    </row>
    <row r="921">
      <c r="A921" s="0">
        <v>5649</v>
      </c>
      <c r="B921" s="0" t="s">
        <v>6822</v>
      </c>
      <c r="E921" s="0" t="s">
        <v>6823</v>
      </c>
      <c r="F921" s="0">
        <v>1</v>
      </c>
      <c r="G921" s="0" t="s">
        <v>319</v>
      </c>
      <c r="H921" s="0" t="s">
        <v>6816</v>
      </c>
      <c r="I921" s="0" t="s">
        <v>469</v>
      </c>
      <c r="J921" s="0" t="s">
        <v>319</v>
      </c>
      <c r="K921" s="0" t="s">
        <v>6824</v>
      </c>
      <c r="L921" s="0" t="s">
        <v>497</v>
      </c>
      <c r="M921" s="0" t="s">
        <v>400</v>
      </c>
      <c r="N921" s="0" t="s">
        <v>1190</v>
      </c>
      <c r="O921" s="0" t="s">
        <v>549</v>
      </c>
      <c r="P921" s="0" t="s">
        <v>343</v>
      </c>
      <c r="Q921" s="0" t="s">
        <v>343</v>
      </c>
      <c r="T921" s="0" t="s">
        <v>6825</v>
      </c>
      <c r="X921" s="0" t="s">
        <v>1116</v>
      </c>
      <c r="Y921" s="0" t="s">
        <v>89</v>
      </c>
      <c r="Z921" s="0" t="s">
        <v>6095</v>
      </c>
      <c r="AA921" s="0" t="s">
        <v>134</v>
      </c>
      <c r="AB921" s="0" t="s">
        <v>300</v>
      </c>
      <c r="AF921" s="0" t="s">
        <v>301</v>
      </c>
      <c r="AP921" s="0" t="s">
        <v>305</v>
      </c>
      <c r="BA921" s="0">
        <v>531</v>
      </c>
      <c r="BB921" s="0" t="s">
        <v>232</v>
      </c>
      <c r="BC921" s="0">
        <v>2</v>
      </c>
      <c r="BE921" s="0">
        <v>519537</v>
      </c>
      <c r="BF921" s="0">
        <v>1</v>
      </c>
      <c r="BG921" s="0" t="s">
        <v>6826</v>
      </c>
      <c r="BI921" s="0">
        <v>1492</v>
      </c>
      <c r="BK921" s="0" t="s">
        <v>6827</v>
      </c>
    </row>
    <row r="922">
      <c r="A922" s="0">
        <v>5651</v>
      </c>
      <c r="B922" s="0" t="s">
        <v>6828</v>
      </c>
      <c r="E922" s="0" t="s">
        <v>6829</v>
      </c>
      <c r="F922" s="0">
        <v>1</v>
      </c>
      <c r="G922" s="0" t="s">
        <v>293</v>
      </c>
      <c r="H922" s="0" t="s">
        <v>294</v>
      </c>
      <c r="I922" s="0" t="s">
        <v>295</v>
      </c>
      <c r="J922" s="0" t="s">
        <v>594</v>
      </c>
      <c r="K922" s="0" t="s">
        <v>1190</v>
      </c>
      <c r="L922" s="0" t="s">
        <v>549</v>
      </c>
      <c r="P922" s="0" t="s">
        <v>343</v>
      </c>
      <c r="Q922" s="0" t="s">
        <v>343</v>
      </c>
      <c r="T922" s="0" t="s">
        <v>6830</v>
      </c>
      <c r="X922" s="0" t="s">
        <v>1116</v>
      </c>
      <c r="Y922" s="0" t="s">
        <v>89</v>
      </c>
      <c r="Z922" s="0" t="s">
        <v>6095</v>
      </c>
      <c r="AA922" s="0" t="s">
        <v>134</v>
      </c>
      <c r="AB922" s="0" t="s">
        <v>300</v>
      </c>
      <c r="AF922" s="0" t="s">
        <v>301</v>
      </c>
      <c r="AP922" s="0" t="s">
        <v>305</v>
      </c>
      <c r="BA922" s="0">
        <v>531</v>
      </c>
      <c r="BB922" s="0" t="s">
        <v>232</v>
      </c>
      <c r="BC922" s="0">
        <v>2</v>
      </c>
      <c r="BE922" s="0">
        <v>519537</v>
      </c>
      <c r="BF922" s="0">
        <v>1</v>
      </c>
      <c r="BG922" s="0" t="s">
        <v>6831</v>
      </c>
      <c r="BI922" s="0">
        <v>1754</v>
      </c>
      <c r="BK922" s="0" t="s">
        <v>6832</v>
      </c>
    </row>
    <row r="923">
      <c r="A923" s="0">
        <v>5652</v>
      </c>
      <c r="B923" s="0" t="s">
        <v>6833</v>
      </c>
      <c r="E923" s="0" t="s">
        <v>6834</v>
      </c>
      <c r="G923" s="0" t="s">
        <v>594</v>
      </c>
      <c r="H923" s="0" t="s">
        <v>1190</v>
      </c>
      <c r="I923" s="0" t="s">
        <v>549</v>
      </c>
      <c r="J923" s="0" t="s">
        <v>496</v>
      </c>
      <c r="K923" s="0" t="s">
        <v>6835</v>
      </c>
      <c r="L923" s="0" t="s">
        <v>2947</v>
      </c>
      <c r="P923" s="0" t="s">
        <v>343</v>
      </c>
      <c r="Q923" s="0" t="s">
        <v>343</v>
      </c>
      <c r="T923" s="0" t="s">
        <v>6836</v>
      </c>
      <c r="X923" s="0" t="s">
        <v>1116</v>
      </c>
      <c r="Y923" s="0" t="s">
        <v>89</v>
      </c>
      <c r="Z923" s="0" t="s">
        <v>6095</v>
      </c>
      <c r="AA923" s="0" t="s">
        <v>134</v>
      </c>
      <c r="AB923" s="0" t="s">
        <v>300</v>
      </c>
      <c r="AF923" s="0" t="s">
        <v>301</v>
      </c>
      <c r="AP923" s="0" t="s">
        <v>305</v>
      </c>
      <c r="BA923" s="0">
        <v>531</v>
      </c>
      <c r="BB923" s="0" t="s">
        <v>232</v>
      </c>
      <c r="BC923" s="0">
        <v>2</v>
      </c>
      <c r="BE923" s="0">
        <v>519537</v>
      </c>
      <c r="BF923" s="0">
        <v>1</v>
      </c>
      <c r="BG923" s="0" t="s">
        <v>6837</v>
      </c>
      <c r="BI923" s="0">
        <v>1997</v>
      </c>
      <c r="BK923" s="0" t="s">
        <v>6838</v>
      </c>
    </row>
    <row r="924">
      <c r="A924" s="0">
        <v>5656</v>
      </c>
      <c r="B924" s="0" t="s">
        <v>6839</v>
      </c>
      <c r="E924" s="0" t="s">
        <v>6840</v>
      </c>
      <c r="F924" s="0">
        <v>1</v>
      </c>
      <c r="G924" s="0" t="s">
        <v>293</v>
      </c>
      <c r="H924" s="0" t="s">
        <v>294</v>
      </c>
      <c r="I924" s="0" t="s">
        <v>295</v>
      </c>
      <c r="J924" s="0" t="s">
        <v>594</v>
      </c>
      <c r="K924" s="0" t="s">
        <v>1190</v>
      </c>
      <c r="L924" s="0" t="s">
        <v>549</v>
      </c>
      <c r="P924" s="0" t="s">
        <v>343</v>
      </c>
      <c r="Q924" s="0" t="s">
        <v>343</v>
      </c>
      <c r="T924" s="0" t="s">
        <v>6841</v>
      </c>
      <c r="X924" s="0" t="s">
        <v>1116</v>
      </c>
      <c r="Y924" s="0" t="s">
        <v>89</v>
      </c>
      <c r="Z924" s="0" t="s">
        <v>6095</v>
      </c>
      <c r="AA924" s="0" t="s">
        <v>134</v>
      </c>
      <c r="AB924" s="0" t="s">
        <v>300</v>
      </c>
      <c r="AF924" s="0" t="s">
        <v>301</v>
      </c>
      <c r="AP924" s="0" t="s">
        <v>305</v>
      </c>
      <c r="BA924" s="0">
        <v>531</v>
      </c>
      <c r="BB924" s="0" t="s">
        <v>232</v>
      </c>
      <c r="BC924" s="0">
        <v>2</v>
      </c>
      <c r="BE924" s="0">
        <v>519537</v>
      </c>
      <c r="BF924" s="0">
        <v>1</v>
      </c>
      <c r="BG924" s="0" t="s">
        <v>6842</v>
      </c>
      <c r="BI924" s="0">
        <v>2790</v>
      </c>
      <c r="BK924" s="0" t="s">
        <v>6843</v>
      </c>
    </row>
    <row r="925">
      <c r="A925" s="0">
        <v>5646</v>
      </c>
      <c r="B925" s="0" t="s">
        <v>6844</v>
      </c>
      <c r="C925" s="0" t="s">
        <v>315</v>
      </c>
      <c r="D925" s="0" t="s">
        <v>6074</v>
      </c>
      <c r="E925" s="0" t="s">
        <v>6845</v>
      </c>
      <c r="F925" s="0">
        <v>1</v>
      </c>
      <c r="G925" s="0" t="s">
        <v>555</v>
      </c>
      <c r="H925" s="0" t="s">
        <v>1020</v>
      </c>
      <c r="I925" s="0" t="s">
        <v>6846</v>
      </c>
      <c r="J925" s="0" t="s">
        <v>594</v>
      </c>
      <c r="K925" s="0" t="s">
        <v>1190</v>
      </c>
      <c r="L925" s="0" t="s">
        <v>660</v>
      </c>
      <c r="M925" s="0" t="s">
        <v>6090</v>
      </c>
      <c r="N925" s="0" t="s">
        <v>6091</v>
      </c>
      <c r="O925" s="0" t="s">
        <v>549</v>
      </c>
      <c r="P925" s="0" t="s">
        <v>323</v>
      </c>
      <c r="Q925" s="0" t="s">
        <v>343</v>
      </c>
      <c r="R925" s="0" t="s">
        <v>6847</v>
      </c>
      <c r="T925" s="0" t="s">
        <v>6848</v>
      </c>
      <c r="X925" s="0" t="s">
        <v>1116</v>
      </c>
      <c r="Y925" s="0" t="s">
        <v>89</v>
      </c>
      <c r="Z925" s="0" t="s">
        <v>6095</v>
      </c>
      <c r="AA925" s="0" t="s">
        <v>134</v>
      </c>
      <c r="AB925" s="0" t="s">
        <v>300</v>
      </c>
      <c r="AF925" s="0" t="s">
        <v>301</v>
      </c>
      <c r="AP925" s="0" t="s">
        <v>305</v>
      </c>
      <c r="BA925" s="0">
        <v>531</v>
      </c>
      <c r="BB925" s="0" t="s">
        <v>232</v>
      </c>
      <c r="BC925" s="0">
        <v>2</v>
      </c>
      <c r="BD925" s="0">
        <v>374043</v>
      </c>
      <c r="BE925" s="0">
        <v>519537</v>
      </c>
      <c r="BF925" s="0">
        <v>1</v>
      </c>
      <c r="BG925" s="0" t="s">
        <v>6849</v>
      </c>
      <c r="BI925" s="0">
        <v>807</v>
      </c>
      <c r="BK925" s="0" t="s">
        <v>6850</v>
      </c>
    </row>
    <row r="926">
      <c r="A926" s="0">
        <v>5657</v>
      </c>
      <c r="B926" s="0" t="s">
        <v>6851</v>
      </c>
      <c r="C926" s="0" t="s">
        <v>315</v>
      </c>
      <c r="D926" s="0" t="s">
        <v>6074</v>
      </c>
      <c r="E926" s="0" t="s">
        <v>6852</v>
      </c>
      <c r="F926" s="0">
        <v>1</v>
      </c>
      <c r="G926" s="0" t="s">
        <v>555</v>
      </c>
      <c r="H926" s="0" t="s">
        <v>1020</v>
      </c>
      <c r="I926" s="0" t="s">
        <v>6846</v>
      </c>
      <c r="J926" s="0" t="s">
        <v>400</v>
      </c>
      <c r="K926" s="0" t="s">
        <v>1190</v>
      </c>
      <c r="L926" s="0" t="s">
        <v>660</v>
      </c>
      <c r="M926" s="0" t="s">
        <v>6090</v>
      </c>
      <c r="N926" s="0" t="s">
        <v>6091</v>
      </c>
      <c r="O926" s="0" t="s">
        <v>549</v>
      </c>
      <c r="P926" s="0" t="s">
        <v>323</v>
      </c>
      <c r="Q926" s="0" t="s">
        <v>343</v>
      </c>
      <c r="R926" s="0" t="s">
        <v>6847</v>
      </c>
      <c r="T926" s="0" t="s">
        <v>6853</v>
      </c>
      <c r="X926" s="0" t="s">
        <v>1116</v>
      </c>
      <c r="Y926" s="0" t="s">
        <v>89</v>
      </c>
      <c r="Z926" s="0" t="s">
        <v>6095</v>
      </c>
      <c r="AA926" s="0" t="s">
        <v>134</v>
      </c>
      <c r="AB926" s="0" t="s">
        <v>300</v>
      </c>
      <c r="AF926" s="0" t="s">
        <v>301</v>
      </c>
      <c r="AP926" s="0" t="s">
        <v>305</v>
      </c>
      <c r="BA926" s="0">
        <v>531</v>
      </c>
      <c r="BB926" s="0" t="s">
        <v>232</v>
      </c>
      <c r="BC926" s="0">
        <v>2</v>
      </c>
      <c r="BD926" s="0">
        <v>374043</v>
      </c>
      <c r="BE926" s="0">
        <v>519537</v>
      </c>
      <c r="BF926" s="0">
        <v>1</v>
      </c>
      <c r="BG926" s="0" t="s">
        <v>6854</v>
      </c>
      <c r="BI926" s="0">
        <v>3103</v>
      </c>
      <c r="BK926" s="0" t="s">
        <v>6855</v>
      </c>
    </row>
    <row r="927">
      <c r="A927" s="0">
        <v>5647</v>
      </c>
      <c r="B927" s="0" t="s">
        <v>6856</v>
      </c>
      <c r="C927" s="0" t="s">
        <v>315</v>
      </c>
      <c r="D927" s="0" t="s">
        <v>6074</v>
      </c>
      <c r="E927" s="0" t="s">
        <v>6857</v>
      </c>
      <c r="F927" s="0">
        <v>1</v>
      </c>
      <c r="G927" s="0" t="s">
        <v>555</v>
      </c>
      <c r="H927" s="0" t="s">
        <v>1020</v>
      </c>
      <c r="I927" s="0" t="s">
        <v>6858</v>
      </c>
      <c r="J927" s="0" t="s">
        <v>594</v>
      </c>
      <c r="K927" s="0" t="s">
        <v>1190</v>
      </c>
      <c r="L927" s="0" t="s">
        <v>660</v>
      </c>
      <c r="M927" s="0" t="s">
        <v>6090</v>
      </c>
      <c r="N927" s="0" t="s">
        <v>6091</v>
      </c>
      <c r="O927" s="0" t="s">
        <v>549</v>
      </c>
      <c r="P927" s="0" t="s">
        <v>323</v>
      </c>
      <c r="Q927" s="0" t="s">
        <v>323</v>
      </c>
      <c r="R927" s="0" t="s">
        <v>6847</v>
      </c>
      <c r="T927" s="0" t="s">
        <v>6859</v>
      </c>
      <c r="X927" s="0" t="s">
        <v>1116</v>
      </c>
      <c r="Y927" s="0" t="s">
        <v>89</v>
      </c>
      <c r="Z927" s="0" t="s">
        <v>6095</v>
      </c>
      <c r="AA927" s="0" t="s">
        <v>134</v>
      </c>
      <c r="AB927" s="0" t="s">
        <v>300</v>
      </c>
      <c r="AF927" s="0" t="s">
        <v>301</v>
      </c>
      <c r="AP927" s="0" t="s">
        <v>305</v>
      </c>
      <c r="BA927" s="0">
        <v>531</v>
      </c>
      <c r="BB927" s="0" t="s">
        <v>232</v>
      </c>
      <c r="BC927" s="0">
        <v>2</v>
      </c>
      <c r="BD927" s="0">
        <v>374043</v>
      </c>
      <c r="BE927" s="0">
        <v>519537</v>
      </c>
      <c r="BF927" s="0">
        <v>1</v>
      </c>
      <c r="BG927" s="0" t="s">
        <v>6860</v>
      </c>
      <c r="BI927" s="0">
        <v>1136</v>
      </c>
      <c r="BK927" s="0" t="s">
        <v>6861</v>
      </c>
    </row>
    <row r="928">
      <c r="A928" s="0">
        <v>5706</v>
      </c>
      <c r="B928" s="0" t="s">
        <v>6862</v>
      </c>
      <c r="C928" s="0" t="s">
        <v>656</v>
      </c>
      <c r="D928" s="0" t="s">
        <v>6863</v>
      </c>
      <c r="E928" s="0" t="s">
        <v>6864</v>
      </c>
      <c r="F928" s="0">
        <v>2</v>
      </c>
      <c r="G928" s="0" t="s">
        <v>293</v>
      </c>
      <c r="H928" s="0" t="s">
        <v>294</v>
      </c>
      <c r="I928" s="0" t="s">
        <v>295</v>
      </c>
      <c r="J928" s="0" t="s">
        <v>508</v>
      </c>
      <c r="K928" s="0" t="s">
        <v>1190</v>
      </c>
      <c r="L928" s="0" t="s">
        <v>469</v>
      </c>
      <c r="P928" s="0" t="s">
        <v>323</v>
      </c>
      <c r="Q928" s="0" t="s">
        <v>323</v>
      </c>
      <c r="R928" s="0" t="s">
        <v>6865</v>
      </c>
      <c r="T928" s="0" t="s">
        <v>6866</v>
      </c>
      <c r="U928" s="0" t="s">
        <v>6867</v>
      </c>
      <c r="W928" s="0" t="s">
        <v>6868</v>
      </c>
      <c r="X928" s="0" t="s">
        <v>347</v>
      </c>
      <c r="Y928" s="0" t="s">
        <v>42</v>
      </c>
      <c r="Z928" s="0" t="s">
        <v>2384</v>
      </c>
      <c r="AA928" s="0" t="s">
        <v>120</v>
      </c>
      <c r="AB928" s="0" t="s">
        <v>531</v>
      </c>
      <c r="AC928" s="0" t="s">
        <v>532</v>
      </c>
      <c r="AD928" s="0" t="s">
        <v>6869</v>
      </c>
      <c r="AE928" s="0" t="s">
        <v>6870</v>
      </c>
      <c r="AF928" s="0" t="s">
        <v>301</v>
      </c>
      <c r="AM928" s="0" t="s">
        <v>6871</v>
      </c>
      <c r="AN928" s="0" t="s">
        <v>6872</v>
      </c>
      <c r="AO928" s="0" t="s">
        <v>6873</v>
      </c>
      <c r="AP928" s="0" t="s">
        <v>305</v>
      </c>
      <c r="AQ928" s="0" t="s">
        <v>6874</v>
      </c>
      <c r="AR928" s="0" t="s">
        <v>6875</v>
      </c>
      <c r="AU928" s="0">
        <v>52</v>
      </c>
      <c r="AV928" s="0" t="s">
        <v>895</v>
      </c>
      <c r="AW928" s="0" t="s">
        <v>977</v>
      </c>
      <c r="AX928" s="0" t="s">
        <v>6876</v>
      </c>
      <c r="AY928" s="0" t="s">
        <v>6877</v>
      </c>
      <c r="AZ928" s="0" t="s">
        <v>6878</v>
      </c>
      <c r="BA928" s="0">
        <v>532</v>
      </c>
      <c r="BB928" s="0" t="s">
        <v>232</v>
      </c>
      <c r="BC928" s="0">
        <v>2</v>
      </c>
      <c r="BD928" s="0">
        <v>10</v>
      </c>
      <c r="BE928" s="0">
        <v>70560</v>
      </c>
      <c r="BF928" s="0">
        <v>4</v>
      </c>
      <c r="BG928" s="0" t="s">
        <v>6879</v>
      </c>
      <c r="BI928" s="0">
        <v>4969</v>
      </c>
      <c r="BK928" s="0" t="s">
        <v>6880</v>
      </c>
    </row>
    <row r="929">
      <c r="A929" s="0">
        <v>5708</v>
      </c>
      <c r="B929" s="0" t="s">
        <v>6881</v>
      </c>
      <c r="C929" s="0" t="s">
        <v>290</v>
      </c>
      <c r="D929" s="0" t="s">
        <v>6863</v>
      </c>
      <c r="E929" s="0" t="s">
        <v>6882</v>
      </c>
      <c r="F929" s="0">
        <v>2</v>
      </c>
      <c r="G929" s="0" t="s">
        <v>293</v>
      </c>
      <c r="H929" s="0" t="s">
        <v>294</v>
      </c>
      <c r="I929" s="0" t="s">
        <v>295</v>
      </c>
      <c r="J929" s="0" t="s">
        <v>508</v>
      </c>
      <c r="K929" s="0" t="s">
        <v>1190</v>
      </c>
      <c r="L929" s="0" t="s">
        <v>469</v>
      </c>
      <c r="P929" s="0" t="s">
        <v>323</v>
      </c>
      <c r="Q929" s="0" t="s">
        <v>323</v>
      </c>
      <c r="R929" s="0" t="s">
        <v>6865</v>
      </c>
      <c r="T929" s="0" t="s">
        <v>6883</v>
      </c>
      <c r="U929" s="0" t="s">
        <v>6884</v>
      </c>
      <c r="W929" s="0" t="s">
        <v>6868</v>
      </c>
      <c r="X929" s="0" t="s">
        <v>347</v>
      </c>
      <c r="Y929" s="0" t="s">
        <v>42</v>
      </c>
      <c r="Z929" s="0" t="s">
        <v>2384</v>
      </c>
      <c r="AA929" s="0" t="s">
        <v>120</v>
      </c>
      <c r="AB929" s="0" t="s">
        <v>531</v>
      </c>
      <c r="AC929" s="0" t="s">
        <v>532</v>
      </c>
      <c r="AD929" s="0" t="s">
        <v>6869</v>
      </c>
      <c r="AE929" s="0" t="s">
        <v>6870</v>
      </c>
      <c r="AF929" s="0" t="s">
        <v>301</v>
      </c>
      <c r="AP929" s="0" t="s">
        <v>305</v>
      </c>
      <c r="BA929" s="0">
        <v>532</v>
      </c>
      <c r="BB929" s="0" t="s">
        <v>232</v>
      </c>
      <c r="BC929" s="0">
        <v>2</v>
      </c>
      <c r="BD929" s="0">
        <v>374053</v>
      </c>
      <c r="BE929" s="0">
        <v>70560</v>
      </c>
      <c r="BF929" s="0">
        <v>4</v>
      </c>
      <c r="BG929" s="0" t="s">
        <v>6885</v>
      </c>
      <c r="BI929" s="0">
        <v>4982</v>
      </c>
      <c r="BK929" s="0" t="s">
        <v>6886</v>
      </c>
    </row>
    <row r="930">
      <c r="A930" s="0">
        <v>5696</v>
      </c>
      <c r="B930" s="0" t="s">
        <v>6887</v>
      </c>
      <c r="C930" s="0" t="s">
        <v>339</v>
      </c>
      <c r="D930" s="0" t="s">
        <v>6863</v>
      </c>
      <c r="E930" s="0" t="s">
        <v>6888</v>
      </c>
      <c r="F930" s="0">
        <v>2</v>
      </c>
      <c r="G930" s="0" t="s">
        <v>319</v>
      </c>
      <c r="H930" s="0" t="s">
        <v>483</v>
      </c>
      <c r="I930" s="0" t="s">
        <v>659</v>
      </c>
      <c r="J930" s="0" t="s">
        <v>508</v>
      </c>
      <c r="K930" s="0" t="s">
        <v>1190</v>
      </c>
      <c r="M930" s="0" t="s">
        <v>293</v>
      </c>
      <c r="N930" s="0" t="s">
        <v>3113</v>
      </c>
      <c r="O930" s="0" t="s">
        <v>1284</v>
      </c>
      <c r="P930" s="0" t="s">
        <v>323</v>
      </c>
      <c r="Q930" s="0" t="s">
        <v>323</v>
      </c>
      <c r="R930" s="0" t="s">
        <v>2103</v>
      </c>
      <c r="T930" s="0" t="s">
        <v>6889</v>
      </c>
      <c r="U930" s="0" t="s">
        <v>6890</v>
      </c>
      <c r="W930" s="0" t="s">
        <v>6868</v>
      </c>
      <c r="X930" s="0" t="s">
        <v>347</v>
      </c>
      <c r="Y930" s="0" t="s">
        <v>42</v>
      </c>
      <c r="Z930" s="0" t="s">
        <v>2384</v>
      </c>
      <c r="AA930" s="0" t="s">
        <v>120</v>
      </c>
      <c r="AB930" s="0" t="s">
        <v>531</v>
      </c>
      <c r="AC930" s="0" t="s">
        <v>532</v>
      </c>
      <c r="AD930" s="0" t="s">
        <v>6869</v>
      </c>
      <c r="AE930" s="0" t="s">
        <v>6870</v>
      </c>
      <c r="AF930" s="0" t="s">
        <v>301</v>
      </c>
      <c r="AM930" s="0" t="s">
        <v>6891</v>
      </c>
      <c r="AN930" s="0" t="s">
        <v>6892</v>
      </c>
      <c r="AO930" s="0" t="s">
        <v>1816</v>
      </c>
      <c r="AP930" s="0" t="s">
        <v>305</v>
      </c>
      <c r="AQ930" s="0" t="s">
        <v>6893</v>
      </c>
      <c r="AR930" s="0" t="s">
        <v>6894</v>
      </c>
      <c r="AS930" s="0">
        <v>13</v>
      </c>
      <c r="AT930" s="0">
        <v>27</v>
      </c>
      <c r="AU930" s="0">
        <v>36</v>
      </c>
      <c r="AV930" s="0" t="s">
        <v>332</v>
      </c>
      <c r="AW930" s="0" t="s">
        <v>331</v>
      </c>
      <c r="AX930" s="0" t="s">
        <v>6895</v>
      </c>
      <c r="AY930" s="0" t="s">
        <v>6896</v>
      </c>
      <c r="AZ930" s="0" t="s">
        <v>6897</v>
      </c>
      <c r="BA930" s="0">
        <v>532</v>
      </c>
      <c r="BB930" s="0" t="s">
        <v>232</v>
      </c>
      <c r="BC930" s="0">
        <v>2</v>
      </c>
      <c r="BD930" s="0">
        <v>8</v>
      </c>
      <c r="BE930" s="0">
        <v>70560</v>
      </c>
      <c r="BF930" s="0">
        <v>4</v>
      </c>
      <c r="BG930" s="0" t="s">
        <v>6898</v>
      </c>
      <c r="BI930" s="0">
        <v>4825</v>
      </c>
      <c r="BK930" s="0" t="s">
        <v>6899</v>
      </c>
    </row>
    <row r="931">
      <c r="A931" s="0">
        <v>5666</v>
      </c>
      <c r="B931" s="0" t="s">
        <v>6900</v>
      </c>
      <c r="C931" s="0" t="s">
        <v>315</v>
      </c>
      <c r="D931" s="0" t="s">
        <v>6863</v>
      </c>
      <c r="E931" s="0" t="s">
        <v>6901</v>
      </c>
      <c r="F931" s="0">
        <v>4</v>
      </c>
      <c r="G931" s="0" t="s">
        <v>555</v>
      </c>
      <c r="H931" s="0" t="s">
        <v>593</v>
      </c>
      <c r="I931" s="0" t="s">
        <v>549</v>
      </c>
      <c r="J931" s="0" t="s">
        <v>508</v>
      </c>
      <c r="K931" s="0" t="s">
        <v>1190</v>
      </c>
      <c r="L931" s="0" t="s">
        <v>549</v>
      </c>
      <c r="P931" s="0" t="s">
        <v>323</v>
      </c>
      <c r="Q931" s="0" t="s">
        <v>343</v>
      </c>
      <c r="R931" s="0" t="s">
        <v>324</v>
      </c>
      <c r="T931" s="0" t="s">
        <v>6902</v>
      </c>
      <c r="U931" s="0" t="s">
        <v>6903</v>
      </c>
      <c r="W931" s="0" t="s">
        <v>6868</v>
      </c>
      <c r="X931" s="0" t="s">
        <v>347</v>
      </c>
      <c r="Y931" s="0" t="s">
        <v>42</v>
      </c>
      <c r="Z931" s="0" t="s">
        <v>2384</v>
      </c>
      <c r="AA931" s="0" t="s">
        <v>120</v>
      </c>
      <c r="AB931" s="0" t="s">
        <v>531</v>
      </c>
      <c r="AC931" s="0" t="s">
        <v>532</v>
      </c>
      <c r="AD931" s="0" t="s">
        <v>6869</v>
      </c>
      <c r="AE931" s="0" t="s">
        <v>6870</v>
      </c>
      <c r="AF931" s="0" t="s">
        <v>301</v>
      </c>
      <c r="AP931" s="0" t="s">
        <v>305</v>
      </c>
      <c r="BA931" s="0">
        <v>532</v>
      </c>
      <c r="BB931" s="0" t="s">
        <v>232</v>
      </c>
      <c r="BC931" s="0">
        <v>2</v>
      </c>
      <c r="BD931" s="0">
        <v>374043</v>
      </c>
      <c r="BE931" s="0">
        <v>70560</v>
      </c>
      <c r="BF931" s="0">
        <v>4</v>
      </c>
      <c r="BG931" s="0" t="s">
        <v>6904</v>
      </c>
      <c r="BI931" s="0">
        <v>2592</v>
      </c>
      <c r="BK931" s="0" t="s">
        <v>6905</v>
      </c>
    </row>
    <row r="932">
      <c r="A932" s="0">
        <v>5667</v>
      </c>
      <c r="B932" s="0" t="s">
        <v>6906</v>
      </c>
      <c r="C932" s="0" t="s">
        <v>315</v>
      </c>
      <c r="D932" s="0" t="s">
        <v>6863</v>
      </c>
      <c r="E932" s="0" t="s">
        <v>6907</v>
      </c>
      <c r="F932" s="0">
        <v>4</v>
      </c>
      <c r="G932" s="0" t="s">
        <v>555</v>
      </c>
      <c r="H932" s="0" t="s">
        <v>593</v>
      </c>
      <c r="I932" s="0" t="s">
        <v>1204</v>
      </c>
      <c r="J932" s="0" t="s">
        <v>508</v>
      </c>
      <c r="K932" s="0" t="s">
        <v>1190</v>
      </c>
      <c r="L932" s="0" t="s">
        <v>1204</v>
      </c>
      <c r="P932" s="0" t="s">
        <v>323</v>
      </c>
      <c r="Q932" s="0" t="s">
        <v>343</v>
      </c>
      <c r="R932" s="0" t="s">
        <v>1021</v>
      </c>
      <c r="T932" s="0" t="s">
        <v>6902</v>
      </c>
      <c r="U932" s="0" t="s">
        <v>6908</v>
      </c>
      <c r="W932" s="0" t="s">
        <v>6868</v>
      </c>
      <c r="X932" s="0" t="s">
        <v>347</v>
      </c>
      <c r="Y932" s="0" t="s">
        <v>42</v>
      </c>
      <c r="Z932" s="0" t="s">
        <v>2384</v>
      </c>
      <c r="AA932" s="0" t="s">
        <v>120</v>
      </c>
      <c r="AB932" s="0" t="s">
        <v>531</v>
      </c>
      <c r="AC932" s="0" t="s">
        <v>532</v>
      </c>
      <c r="AD932" s="0" t="s">
        <v>6869</v>
      </c>
      <c r="AE932" s="0" t="s">
        <v>6870</v>
      </c>
      <c r="AF932" s="0" t="s">
        <v>301</v>
      </c>
      <c r="AP932" s="0" t="s">
        <v>305</v>
      </c>
      <c r="BA932" s="0">
        <v>532</v>
      </c>
      <c r="BB932" s="0" t="s">
        <v>232</v>
      </c>
      <c r="BC932" s="0">
        <v>2</v>
      </c>
      <c r="BD932" s="0">
        <v>374043</v>
      </c>
      <c r="BE932" s="0">
        <v>70560</v>
      </c>
      <c r="BF932" s="0">
        <v>4</v>
      </c>
      <c r="BG932" s="0" t="s">
        <v>6909</v>
      </c>
      <c r="BI932" s="0">
        <v>2768</v>
      </c>
      <c r="BK932" s="0" t="s">
        <v>6910</v>
      </c>
    </row>
    <row r="933">
      <c r="A933" s="0">
        <v>5719</v>
      </c>
      <c r="B933" s="0" t="s">
        <v>6911</v>
      </c>
      <c r="C933" s="0" t="s">
        <v>290</v>
      </c>
      <c r="D933" s="0" t="s">
        <v>6863</v>
      </c>
      <c r="E933" s="0" t="s">
        <v>6912</v>
      </c>
      <c r="F933" s="0">
        <v>2</v>
      </c>
      <c r="G933" s="0" t="s">
        <v>293</v>
      </c>
      <c r="H933" s="0" t="s">
        <v>294</v>
      </c>
      <c r="I933" s="0" t="s">
        <v>295</v>
      </c>
      <c r="J933" s="0" t="s">
        <v>400</v>
      </c>
      <c r="K933" s="0" t="s">
        <v>1190</v>
      </c>
      <c r="L933" s="0" t="s">
        <v>469</v>
      </c>
      <c r="P933" s="0" t="s">
        <v>343</v>
      </c>
      <c r="Q933" s="0" t="s">
        <v>343</v>
      </c>
      <c r="R933" s="0" t="s">
        <v>343</v>
      </c>
      <c r="T933" s="0" t="s">
        <v>6913</v>
      </c>
      <c r="U933" s="0" t="s">
        <v>6914</v>
      </c>
      <c r="W933" s="0" t="s">
        <v>6868</v>
      </c>
      <c r="X933" s="0" t="s">
        <v>347</v>
      </c>
      <c r="Y933" s="0" t="s">
        <v>42</v>
      </c>
      <c r="Z933" s="0" t="s">
        <v>2384</v>
      </c>
      <c r="AA933" s="0" t="s">
        <v>120</v>
      </c>
      <c r="AB933" s="0" t="s">
        <v>531</v>
      </c>
      <c r="AC933" s="0" t="s">
        <v>532</v>
      </c>
      <c r="AD933" s="0" t="s">
        <v>6869</v>
      </c>
      <c r="AE933" s="0" t="s">
        <v>6870</v>
      </c>
      <c r="AF933" s="0" t="s">
        <v>301</v>
      </c>
      <c r="AP933" s="0" t="s">
        <v>305</v>
      </c>
      <c r="BA933" s="0">
        <v>532</v>
      </c>
      <c r="BB933" s="0" t="s">
        <v>232</v>
      </c>
      <c r="BC933" s="0">
        <v>2</v>
      </c>
      <c r="BD933" s="0">
        <v>374053</v>
      </c>
      <c r="BE933" s="0">
        <v>70560</v>
      </c>
      <c r="BF933" s="0">
        <v>4</v>
      </c>
      <c r="BG933" s="0" t="s">
        <v>6915</v>
      </c>
      <c r="BI933" s="0">
        <v>5045</v>
      </c>
      <c r="BK933" s="0" t="s">
        <v>6916</v>
      </c>
    </row>
    <row r="934">
      <c r="A934" s="0">
        <v>5691</v>
      </c>
      <c r="B934" s="0" t="s">
        <v>6917</v>
      </c>
      <c r="C934" s="0" t="s">
        <v>945</v>
      </c>
      <c r="D934" s="0" t="s">
        <v>6863</v>
      </c>
      <c r="E934" s="0" t="s">
        <v>6918</v>
      </c>
      <c r="F934" s="0">
        <v>2</v>
      </c>
      <c r="G934" s="0" t="s">
        <v>319</v>
      </c>
      <c r="H934" s="0" t="s">
        <v>398</v>
      </c>
      <c r="I934" s="0" t="s">
        <v>471</v>
      </c>
      <c r="J934" s="0" t="s">
        <v>508</v>
      </c>
      <c r="K934" s="0" t="s">
        <v>1190</v>
      </c>
      <c r="L934" s="0" t="s">
        <v>3204</v>
      </c>
      <c r="P934" s="0" t="s">
        <v>323</v>
      </c>
      <c r="Q934" s="0" t="s">
        <v>1881</v>
      </c>
      <c r="R934" s="0" t="s">
        <v>2488</v>
      </c>
      <c r="T934" s="0" t="s">
        <v>6919</v>
      </c>
      <c r="U934" s="0" t="s">
        <v>6920</v>
      </c>
      <c r="W934" s="0" t="s">
        <v>6868</v>
      </c>
      <c r="X934" s="0" t="s">
        <v>347</v>
      </c>
      <c r="Y934" s="0" t="s">
        <v>42</v>
      </c>
      <c r="Z934" s="0" t="s">
        <v>2384</v>
      </c>
      <c r="AA934" s="0" t="s">
        <v>120</v>
      </c>
      <c r="AB934" s="0" t="s">
        <v>531</v>
      </c>
      <c r="AC934" s="0" t="s">
        <v>532</v>
      </c>
      <c r="AD934" s="0" t="s">
        <v>6869</v>
      </c>
      <c r="AE934" s="0" t="s">
        <v>6870</v>
      </c>
      <c r="AF934" s="0" t="s">
        <v>301</v>
      </c>
      <c r="AM934" s="0" t="s">
        <v>6921</v>
      </c>
      <c r="AN934" s="0" t="s">
        <v>6922</v>
      </c>
      <c r="AO934" s="0" t="s">
        <v>1049</v>
      </c>
      <c r="AP934" s="0" t="s">
        <v>305</v>
      </c>
      <c r="AQ934" s="0" t="s">
        <v>6923</v>
      </c>
      <c r="AR934" s="0" t="s">
        <v>6924</v>
      </c>
      <c r="AS934" s="0">
        <v>33</v>
      </c>
      <c r="AT934" s="0">
        <v>23</v>
      </c>
      <c r="AU934" s="0">
        <v>11</v>
      </c>
      <c r="AV934" s="0" t="s">
        <v>332</v>
      </c>
      <c r="AW934" s="0" t="s">
        <v>977</v>
      </c>
      <c r="AX934" s="0" t="s">
        <v>6925</v>
      </c>
      <c r="AY934" s="0" t="s">
        <v>6926</v>
      </c>
      <c r="AZ934" s="0" t="s">
        <v>6293</v>
      </c>
      <c r="BA934" s="0">
        <v>532</v>
      </c>
      <c r="BB934" s="0" t="s">
        <v>232</v>
      </c>
      <c r="BC934" s="0">
        <v>2</v>
      </c>
      <c r="BD934" s="0">
        <v>14</v>
      </c>
      <c r="BE934" s="0">
        <v>70560</v>
      </c>
      <c r="BF934" s="0">
        <v>4</v>
      </c>
      <c r="BG934" s="0" t="s">
        <v>6927</v>
      </c>
      <c r="BI934" s="0">
        <v>4732</v>
      </c>
      <c r="BK934" s="0" t="s">
        <v>6928</v>
      </c>
    </row>
    <row r="935">
      <c r="A935" s="0">
        <v>5714</v>
      </c>
      <c r="B935" s="0" t="s">
        <v>6929</v>
      </c>
      <c r="C935" s="0" t="s">
        <v>290</v>
      </c>
      <c r="D935" s="0" t="s">
        <v>6863</v>
      </c>
      <c r="E935" s="0" t="s">
        <v>6930</v>
      </c>
      <c r="F935" s="0">
        <v>2</v>
      </c>
      <c r="G935" s="0" t="s">
        <v>293</v>
      </c>
      <c r="H935" s="0" t="s">
        <v>294</v>
      </c>
      <c r="I935" s="0" t="s">
        <v>295</v>
      </c>
      <c r="P935" s="0" t="s">
        <v>343</v>
      </c>
      <c r="Q935" s="0" t="s">
        <v>343</v>
      </c>
      <c r="R935" s="0" t="s">
        <v>343</v>
      </c>
      <c r="T935" s="0" t="s">
        <v>6931</v>
      </c>
      <c r="U935" s="0" t="s">
        <v>6932</v>
      </c>
      <c r="W935" s="0" t="s">
        <v>6868</v>
      </c>
      <c r="X935" s="0" t="s">
        <v>347</v>
      </c>
      <c r="Y935" s="0" t="s">
        <v>42</v>
      </c>
      <c r="Z935" s="0" t="s">
        <v>2384</v>
      </c>
      <c r="AA935" s="0" t="s">
        <v>120</v>
      </c>
      <c r="AB935" s="0" t="s">
        <v>531</v>
      </c>
      <c r="AC935" s="0" t="s">
        <v>532</v>
      </c>
      <c r="AD935" s="0" t="s">
        <v>6869</v>
      </c>
      <c r="AE935" s="0" t="s">
        <v>6870</v>
      </c>
      <c r="AF935" s="0" t="s">
        <v>301</v>
      </c>
      <c r="AP935" s="0" t="s">
        <v>305</v>
      </c>
      <c r="BA935" s="0">
        <v>532</v>
      </c>
      <c r="BB935" s="0" t="s">
        <v>232</v>
      </c>
      <c r="BC935" s="0">
        <v>2</v>
      </c>
      <c r="BD935" s="0">
        <v>374053</v>
      </c>
      <c r="BE935" s="0">
        <v>70560</v>
      </c>
      <c r="BF935" s="0">
        <v>4</v>
      </c>
      <c r="BG935" s="0" t="s">
        <v>6933</v>
      </c>
      <c r="BI935" s="0">
        <v>4996</v>
      </c>
      <c r="BK935" s="0" t="s">
        <v>6934</v>
      </c>
    </row>
    <row r="936">
      <c r="A936" s="0">
        <v>5702</v>
      </c>
      <c r="B936" s="0" t="s">
        <v>6935</v>
      </c>
      <c r="C936" s="0" t="s">
        <v>339</v>
      </c>
      <c r="D936" s="0" t="s">
        <v>6863</v>
      </c>
      <c r="E936" s="0" t="s">
        <v>6936</v>
      </c>
      <c r="F936" s="0">
        <v>2</v>
      </c>
      <c r="G936" s="0" t="s">
        <v>319</v>
      </c>
      <c r="H936" s="0" t="s">
        <v>523</v>
      </c>
      <c r="I936" s="0" t="s">
        <v>1268</v>
      </c>
      <c r="J936" s="0" t="s">
        <v>508</v>
      </c>
      <c r="K936" s="0" t="s">
        <v>1190</v>
      </c>
      <c r="L936" s="0" t="s">
        <v>1268</v>
      </c>
      <c r="P936" s="0" t="s">
        <v>323</v>
      </c>
      <c r="Q936" s="0" t="s">
        <v>323</v>
      </c>
      <c r="R936" s="0" t="s">
        <v>344</v>
      </c>
      <c r="T936" s="0" t="s">
        <v>6937</v>
      </c>
      <c r="U936" s="0" t="s">
        <v>6938</v>
      </c>
      <c r="W936" s="0" t="s">
        <v>6868</v>
      </c>
      <c r="X936" s="0" t="s">
        <v>347</v>
      </c>
      <c r="Y936" s="0" t="s">
        <v>42</v>
      </c>
      <c r="Z936" s="0" t="s">
        <v>2384</v>
      </c>
      <c r="AA936" s="0" t="s">
        <v>120</v>
      </c>
      <c r="AB936" s="0" t="s">
        <v>531</v>
      </c>
      <c r="AC936" s="0" t="s">
        <v>532</v>
      </c>
      <c r="AD936" s="0" t="s">
        <v>6869</v>
      </c>
      <c r="AE936" s="0" t="s">
        <v>6870</v>
      </c>
      <c r="AF936" s="0" t="s">
        <v>301</v>
      </c>
      <c r="AM936" s="0" t="s">
        <v>2750</v>
      </c>
      <c r="AN936" s="0" t="s">
        <v>1946</v>
      </c>
      <c r="AO936" s="0" t="s">
        <v>443</v>
      </c>
      <c r="AP936" s="0" t="s">
        <v>305</v>
      </c>
      <c r="AQ936" s="0" t="s">
        <v>1807</v>
      </c>
      <c r="AR936" s="0" t="s">
        <v>475</v>
      </c>
      <c r="AS936" s="0">
        <v>39</v>
      </c>
      <c r="AT936" s="0">
        <v>86</v>
      </c>
      <c r="AU936" s="0">
        <v>88</v>
      </c>
      <c r="AV936" s="0" t="s">
        <v>332</v>
      </c>
      <c r="AW936" s="0" t="s">
        <v>332</v>
      </c>
      <c r="AX936" s="0" t="s">
        <v>707</v>
      </c>
      <c r="AY936" s="0" t="s">
        <v>707</v>
      </c>
      <c r="AZ936" s="0" t="s">
        <v>310</v>
      </c>
      <c r="BA936" s="0">
        <v>532</v>
      </c>
      <c r="BB936" s="0" t="s">
        <v>232</v>
      </c>
      <c r="BC936" s="0">
        <v>2</v>
      </c>
      <c r="BD936" s="0">
        <v>8</v>
      </c>
      <c r="BE936" s="0">
        <v>70560</v>
      </c>
      <c r="BF936" s="0">
        <v>4</v>
      </c>
      <c r="BG936" s="0" t="s">
        <v>6939</v>
      </c>
      <c r="BI936" s="0">
        <v>4928</v>
      </c>
      <c r="BK936" s="0" t="s">
        <v>6940</v>
      </c>
    </row>
    <row r="937">
      <c r="A937" s="0">
        <v>5703</v>
      </c>
      <c r="B937" s="0" t="s">
        <v>6941</v>
      </c>
      <c r="C937" s="0" t="s">
        <v>945</v>
      </c>
      <c r="D937" s="0" t="s">
        <v>6863</v>
      </c>
      <c r="E937" s="0" t="s">
        <v>6942</v>
      </c>
      <c r="F937" s="0">
        <v>2</v>
      </c>
      <c r="G937" s="0" t="s">
        <v>319</v>
      </c>
      <c r="H937" s="0" t="s">
        <v>523</v>
      </c>
      <c r="I937" s="0" t="s">
        <v>1268</v>
      </c>
      <c r="J937" s="0" t="s">
        <v>508</v>
      </c>
      <c r="K937" s="0" t="s">
        <v>1190</v>
      </c>
      <c r="L937" s="0" t="s">
        <v>5139</v>
      </c>
      <c r="M937" s="0" t="s">
        <v>400</v>
      </c>
      <c r="N937" s="0" t="s">
        <v>1190</v>
      </c>
      <c r="O937" s="0" t="s">
        <v>469</v>
      </c>
      <c r="P937" s="0" t="s">
        <v>323</v>
      </c>
      <c r="Q937" s="0" t="s">
        <v>343</v>
      </c>
      <c r="R937" s="0" t="s">
        <v>2240</v>
      </c>
      <c r="T937" s="0" t="s">
        <v>6943</v>
      </c>
      <c r="U937" s="0" t="s">
        <v>6944</v>
      </c>
      <c r="W937" s="0" t="s">
        <v>6868</v>
      </c>
      <c r="X937" s="0" t="s">
        <v>347</v>
      </c>
      <c r="Y937" s="0" t="s">
        <v>42</v>
      </c>
      <c r="Z937" s="0" t="s">
        <v>2384</v>
      </c>
      <c r="AA937" s="0" t="s">
        <v>120</v>
      </c>
      <c r="AB937" s="0" t="s">
        <v>531</v>
      </c>
      <c r="AC937" s="0" t="s">
        <v>532</v>
      </c>
      <c r="AD937" s="0" t="s">
        <v>6869</v>
      </c>
      <c r="AE937" s="0" t="s">
        <v>6870</v>
      </c>
      <c r="AF937" s="0" t="s">
        <v>301</v>
      </c>
      <c r="AM937" s="0" t="s">
        <v>6945</v>
      </c>
      <c r="AN937" s="0" t="s">
        <v>6946</v>
      </c>
      <c r="AO937" s="0" t="s">
        <v>6947</v>
      </c>
      <c r="AP937" s="0" t="s">
        <v>305</v>
      </c>
      <c r="AQ937" s="0" t="s">
        <v>6948</v>
      </c>
      <c r="AR937" s="0" t="s">
        <v>476</v>
      </c>
      <c r="AS937" s="0">
        <v>72</v>
      </c>
      <c r="AT937" s="0">
        <v>162</v>
      </c>
      <c r="AU937" s="0">
        <v>190</v>
      </c>
      <c r="AV937" s="0" t="s">
        <v>977</v>
      </c>
      <c r="AW937" s="0" t="s">
        <v>332</v>
      </c>
      <c r="AX937" s="0" t="s">
        <v>3383</v>
      </c>
      <c r="AY937" s="0" t="s">
        <v>388</v>
      </c>
      <c r="AZ937" s="0" t="s">
        <v>1503</v>
      </c>
      <c r="BA937" s="0">
        <v>532</v>
      </c>
      <c r="BB937" s="0" t="s">
        <v>232</v>
      </c>
      <c r="BC937" s="0">
        <v>2</v>
      </c>
      <c r="BD937" s="0">
        <v>14</v>
      </c>
      <c r="BE937" s="0">
        <v>70560</v>
      </c>
      <c r="BF937" s="0">
        <v>4</v>
      </c>
      <c r="BG937" s="0" t="s">
        <v>6949</v>
      </c>
      <c r="BI937" s="0">
        <v>4944</v>
      </c>
      <c r="BK937" s="0" t="s">
        <v>6950</v>
      </c>
    </row>
    <row r="938">
      <c r="A938" s="0">
        <v>5693</v>
      </c>
      <c r="B938" s="0" t="s">
        <v>6951</v>
      </c>
      <c r="C938" s="0" t="s">
        <v>339</v>
      </c>
      <c r="D938" s="0" t="s">
        <v>6863</v>
      </c>
      <c r="E938" s="0" t="s">
        <v>2572</v>
      </c>
      <c r="F938" s="0">
        <v>2</v>
      </c>
      <c r="G938" s="0" t="s">
        <v>319</v>
      </c>
      <c r="H938" s="0" t="s">
        <v>398</v>
      </c>
      <c r="I938" s="0" t="s">
        <v>6530</v>
      </c>
      <c r="J938" s="0" t="s">
        <v>508</v>
      </c>
      <c r="K938" s="0" t="s">
        <v>1190</v>
      </c>
      <c r="P938" s="0" t="s">
        <v>323</v>
      </c>
      <c r="Q938" s="0" t="s">
        <v>323</v>
      </c>
      <c r="R938" s="0" t="s">
        <v>2034</v>
      </c>
      <c r="U938" s="0" t="s">
        <v>6952</v>
      </c>
      <c r="W938" s="0" t="s">
        <v>6868</v>
      </c>
      <c r="X938" s="0" t="s">
        <v>347</v>
      </c>
      <c r="Y938" s="0" t="s">
        <v>42</v>
      </c>
      <c r="Z938" s="0" t="s">
        <v>2384</v>
      </c>
      <c r="AA938" s="0" t="s">
        <v>120</v>
      </c>
      <c r="AB938" s="0" t="s">
        <v>531</v>
      </c>
      <c r="AC938" s="0" t="s">
        <v>532</v>
      </c>
      <c r="AD938" s="0" t="s">
        <v>6869</v>
      </c>
      <c r="AE938" s="0" t="s">
        <v>6870</v>
      </c>
      <c r="AF938" s="0" t="s">
        <v>301</v>
      </c>
      <c r="AM938" s="0" t="s">
        <v>6953</v>
      </c>
      <c r="AN938" s="0" t="s">
        <v>6954</v>
      </c>
      <c r="AO938" s="0" t="s">
        <v>6955</v>
      </c>
      <c r="AP938" s="0" t="s">
        <v>305</v>
      </c>
      <c r="AQ938" s="0" t="s">
        <v>6956</v>
      </c>
      <c r="AR938" s="0" t="s">
        <v>6957</v>
      </c>
      <c r="AS938" s="0">
        <v>6</v>
      </c>
      <c r="AT938" s="0">
        <v>12</v>
      </c>
      <c r="AU938" s="0">
        <v>16</v>
      </c>
      <c r="AV938" s="0" t="s">
        <v>332</v>
      </c>
      <c r="AW938" s="0" t="s">
        <v>331</v>
      </c>
      <c r="AX938" s="0" t="s">
        <v>6958</v>
      </c>
      <c r="AY938" s="0" t="s">
        <v>6959</v>
      </c>
      <c r="AZ938" s="0" t="s">
        <v>6960</v>
      </c>
      <c r="BA938" s="0">
        <v>532</v>
      </c>
      <c r="BB938" s="0" t="s">
        <v>232</v>
      </c>
      <c r="BC938" s="0">
        <v>2</v>
      </c>
      <c r="BD938" s="0">
        <v>8</v>
      </c>
      <c r="BE938" s="0">
        <v>70560</v>
      </c>
      <c r="BF938" s="0">
        <v>4</v>
      </c>
      <c r="BG938" s="0" t="s">
        <v>6961</v>
      </c>
      <c r="BI938" s="0">
        <v>4770</v>
      </c>
      <c r="BK938" s="0" t="s">
        <v>6962</v>
      </c>
    </row>
    <row r="939">
      <c r="A939" s="0">
        <v>5695</v>
      </c>
      <c r="B939" s="0" t="s">
        <v>6963</v>
      </c>
      <c r="C939" s="0" t="s">
        <v>315</v>
      </c>
      <c r="D939" s="0" t="s">
        <v>6863</v>
      </c>
      <c r="E939" s="0" t="s">
        <v>3240</v>
      </c>
      <c r="F939" s="0">
        <v>2</v>
      </c>
      <c r="G939" s="0" t="s">
        <v>319</v>
      </c>
      <c r="H939" s="0" t="s">
        <v>470</v>
      </c>
      <c r="I939" s="0" t="s">
        <v>471</v>
      </c>
      <c r="J939" s="0" t="s">
        <v>508</v>
      </c>
      <c r="K939" s="0" t="s">
        <v>1190</v>
      </c>
      <c r="L939" s="0" t="s">
        <v>3204</v>
      </c>
      <c r="M939" s="0" t="s">
        <v>400</v>
      </c>
      <c r="N939" s="0" t="s">
        <v>1190</v>
      </c>
      <c r="O939" s="0" t="s">
        <v>469</v>
      </c>
      <c r="P939" s="0" t="s">
        <v>323</v>
      </c>
      <c r="Q939" s="0" t="s">
        <v>323</v>
      </c>
      <c r="R939" s="0" t="s">
        <v>2240</v>
      </c>
      <c r="T939" s="0" t="s">
        <v>6964</v>
      </c>
      <c r="U939" s="0" t="s">
        <v>6965</v>
      </c>
      <c r="W939" s="0" t="s">
        <v>6868</v>
      </c>
      <c r="X939" s="0" t="s">
        <v>347</v>
      </c>
      <c r="Y939" s="0" t="s">
        <v>42</v>
      </c>
      <c r="Z939" s="0" t="s">
        <v>2384</v>
      </c>
      <c r="AA939" s="0" t="s">
        <v>120</v>
      </c>
      <c r="AB939" s="0" t="s">
        <v>531</v>
      </c>
      <c r="AC939" s="0" t="s">
        <v>532</v>
      </c>
      <c r="AD939" s="0" t="s">
        <v>6869</v>
      </c>
      <c r="AE939" s="0" t="s">
        <v>6870</v>
      </c>
      <c r="AF939" s="0" t="s">
        <v>301</v>
      </c>
      <c r="AP939" s="0" t="s">
        <v>305</v>
      </c>
      <c r="BA939" s="0">
        <v>532</v>
      </c>
      <c r="BB939" s="0" t="s">
        <v>232</v>
      </c>
      <c r="BC939" s="0">
        <v>2</v>
      </c>
      <c r="BD939" s="0">
        <v>374043</v>
      </c>
      <c r="BE939" s="0">
        <v>70560</v>
      </c>
      <c r="BF939" s="0">
        <v>4</v>
      </c>
      <c r="BG939" s="0" t="s">
        <v>6966</v>
      </c>
      <c r="BI939" s="0">
        <v>4806</v>
      </c>
      <c r="BK939" s="0" t="s">
        <v>6967</v>
      </c>
    </row>
    <row r="940">
      <c r="A940" s="0">
        <v>5687</v>
      </c>
      <c r="B940" s="0" t="s">
        <v>6968</v>
      </c>
      <c r="C940" s="0" t="s">
        <v>656</v>
      </c>
      <c r="D940" s="0" t="s">
        <v>6863</v>
      </c>
      <c r="E940" s="0" t="s">
        <v>6969</v>
      </c>
      <c r="F940" s="0">
        <v>2</v>
      </c>
      <c r="G940" s="0" t="s">
        <v>555</v>
      </c>
      <c r="H940" s="0" t="s">
        <v>593</v>
      </c>
      <c r="I940" s="0" t="s">
        <v>2947</v>
      </c>
      <c r="J940" s="0" t="s">
        <v>293</v>
      </c>
      <c r="K940" s="0" t="s">
        <v>294</v>
      </c>
      <c r="L940" s="0" t="s">
        <v>295</v>
      </c>
      <c r="P940" s="0" t="s">
        <v>323</v>
      </c>
      <c r="Q940" s="0" t="s">
        <v>323</v>
      </c>
      <c r="R940" s="0" t="s">
        <v>324</v>
      </c>
      <c r="T940" s="0" t="s">
        <v>6970</v>
      </c>
      <c r="U940" s="0" t="s">
        <v>6971</v>
      </c>
      <c r="W940" s="0" t="s">
        <v>6868</v>
      </c>
      <c r="X940" s="0" t="s">
        <v>347</v>
      </c>
      <c r="Y940" s="0" t="s">
        <v>42</v>
      </c>
      <c r="Z940" s="0" t="s">
        <v>2384</v>
      </c>
      <c r="AA940" s="0" t="s">
        <v>120</v>
      </c>
      <c r="AB940" s="0" t="s">
        <v>531</v>
      </c>
      <c r="AC940" s="0" t="s">
        <v>532</v>
      </c>
      <c r="AD940" s="0" t="s">
        <v>6869</v>
      </c>
      <c r="AE940" s="0" t="s">
        <v>6870</v>
      </c>
      <c r="AF940" s="0" t="s">
        <v>301</v>
      </c>
      <c r="AM940" s="0" t="s">
        <v>6972</v>
      </c>
      <c r="AN940" s="0" t="s">
        <v>6973</v>
      </c>
      <c r="AO940" s="0" t="s">
        <v>6974</v>
      </c>
      <c r="AP940" s="0" t="s">
        <v>305</v>
      </c>
      <c r="AQ940" s="0" t="s">
        <v>6975</v>
      </c>
      <c r="AR940" s="0" t="s">
        <v>6976</v>
      </c>
      <c r="AU940" s="0">
        <v>52</v>
      </c>
      <c r="AV940" s="0" t="s">
        <v>3800</v>
      </c>
      <c r="AW940" s="0" t="s">
        <v>331</v>
      </c>
      <c r="AX940" s="0" t="s">
        <v>6977</v>
      </c>
      <c r="AY940" s="0" t="s">
        <v>6978</v>
      </c>
      <c r="AZ940" s="0" t="s">
        <v>6979</v>
      </c>
      <c r="BA940" s="0">
        <v>532</v>
      </c>
      <c r="BB940" s="0" t="s">
        <v>232</v>
      </c>
      <c r="BC940" s="0">
        <v>2</v>
      </c>
      <c r="BD940" s="0">
        <v>10</v>
      </c>
      <c r="BE940" s="0">
        <v>70560</v>
      </c>
      <c r="BF940" s="0">
        <v>4</v>
      </c>
      <c r="BG940" s="0" t="s">
        <v>6980</v>
      </c>
      <c r="BI940" s="0">
        <v>4607</v>
      </c>
      <c r="BK940" s="0" t="s">
        <v>6981</v>
      </c>
    </row>
    <row r="941">
      <c r="A941" s="0">
        <v>5704</v>
      </c>
      <c r="B941" s="0" t="s">
        <v>6982</v>
      </c>
      <c r="C941" s="0" t="s">
        <v>290</v>
      </c>
      <c r="D941" s="0" t="s">
        <v>6863</v>
      </c>
      <c r="E941" s="0" t="s">
        <v>6983</v>
      </c>
      <c r="F941" s="0">
        <v>2</v>
      </c>
      <c r="G941" s="0" t="s">
        <v>293</v>
      </c>
      <c r="H941" s="0" t="s">
        <v>294</v>
      </c>
      <c r="I941" s="0" t="s">
        <v>295</v>
      </c>
      <c r="P941" s="0" t="s">
        <v>323</v>
      </c>
      <c r="Q941" s="0" t="s">
        <v>323</v>
      </c>
      <c r="R941" s="0" t="s">
        <v>2034</v>
      </c>
      <c r="T941" s="0" t="s">
        <v>6984</v>
      </c>
      <c r="U941" s="0" t="s">
        <v>6985</v>
      </c>
      <c r="W941" s="0" t="s">
        <v>6868</v>
      </c>
      <c r="X941" s="0" t="s">
        <v>347</v>
      </c>
      <c r="Y941" s="0" t="s">
        <v>42</v>
      </c>
      <c r="Z941" s="0" t="s">
        <v>2384</v>
      </c>
      <c r="AA941" s="0" t="s">
        <v>120</v>
      </c>
      <c r="AB941" s="0" t="s">
        <v>531</v>
      </c>
      <c r="AC941" s="0" t="s">
        <v>532</v>
      </c>
      <c r="AD941" s="0" t="s">
        <v>6869</v>
      </c>
      <c r="AE941" s="0" t="s">
        <v>6870</v>
      </c>
      <c r="AF941" s="0" t="s">
        <v>301</v>
      </c>
      <c r="AP941" s="0" t="s">
        <v>305</v>
      </c>
      <c r="BA941" s="0">
        <v>532</v>
      </c>
      <c r="BB941" s="0" t="s">
        <v>232</v>
      </c>
      <c r="BC941" s="0">
        <v>2</v>
      </c>
      <c r="BD941" s="0">
        <v>374053</v>
      </c>
      <c r="BE941" s="0">
        <v>70560</v>
      </c>
      <c r="BF941" s="0">
        <v>4</v>
      </c>
      <c r="BG941" s="0" t="s">
        <v>6986</v>
      </c>
      <c r="BI941" s="0">
        <v>4957</v>
      </c>
      <c r="BK941" s="0" t="s">
        <v>6987</v>
      </c>
    </row>
    <row r="942">
      <c r="A942" s="0">
        <v>5673</v>
      </c>
      <c r="B942" s="0" t="s">
        <v>6988</v>
      </c>
      <c r="C942" s="0" t="s">
        <v>315</v>
      </c>
      <c r="D942" s="0" t="s">
        <v>6863</v>
      </c>
      <c r="E942" s="0" t="s">
        <v>6989</v>
      </c>
      <c r="F942" s="0">
        <v>2</v>
      </c>
      <c r="G942" s="0" t="s">
        <v>555</v>
      </c>
      <c r="H942" s="0" t="s">
        <v>593</v>
      </c>
      <c r="I942" s="0" t="s">
        <v>549</v>
      </c>
      <c r="J942" s="0" t="s">
        <v>508</v>
      </c>
      <c r="K942" s="0" t="s">
        <v>1190</v>
      </c>
      <c r="L942" s="0" t="s">
        <v>549</v>
      </c>
      <c r="M942" s="0" t="s">
        <v>293</v>
      </c>
      <c r="N942" s="0" t="s">
        <v>294</v>
      </c>
      <c r="O942" s="0" t="s">
        <v>295</v>
      </c>
      <c r="P942" s="0" t="s">
        <v>323</v>
      </c>
      <c r="Q942" s="0" t="s">
        <v>343</v>
      </c>
      <c r="R942" s="0" t="s">
        <v>6990</v>
      </c>
      <c r="T942" s="0" t="s">
        <v>6991</v>
      </c>
      <c r="U942" s="0" t="s">
        <v>6992</v>
      </c>
      <c r="W942" s="0" t="s">
        <v>6868</v>
      </c>
      <c r="X942" s="0" t="s">
        <v>347</v>
      </c>
      <c r="Y942" s="0" t="s">
        <v>42</v>
      </c>
      <c r="Z942" s="0" t="s">
        <v>2384</v>
      </c>
      <c r="AA942" s="0" t="s">
        <v>120</v>
      </c>
      <c r="AB942" s="0" t="s">
        <v>531</v>
      </c>
      <c r="AC942" s="0" t="s">
        <v>532</v>
      </c>
      <c r="AD942" s="0" t="s">
        <v>6869</v>
      </c>
      <c r="AE942" s="0" t="s">
        <v>6870</v>
      </c>
      <c r="AF942" s="0" t="s">
        <v>301</v>
      </c>
      <c r="AP942" s="0" t="s">
        <v>305</v>
      </c>
      <c r="BA942" s="0">
        <v>532</v>
      </c>
      <c r="BB942" s="0" t="s">
        <v>232</v>
      </c>
      <c r="BC942" s="0">
        <v>2</v>
      </c>
      <c r="BD942" s="0">
        <v>374043</v>
      </c>
      <c r="BE942" s="0">
        <v>70560</v>
      </c>
      <c r="BF942" s="0">
        <v>4</v>
      </c>
      <c r="BG942" s="0" t="s">
        <v>6993</v>
      </c>
      <c r="BI942" s="0">
        <v>3628</v>
      </c>
      <c r="BK942" s="0" t="s">
        <v>6994</v>
      </c>
    </row>
    <row r="943">
      <c r="A943" s="0">
        <v>5675</v>
      </c>
      <c r="B943" s="0" t="s">
        <v>6995</v>
      </c>
      <c r="C943" s="0" t="s">
        <v>315</v>
      </c>
      <c r="D943" s="0" t="s">
        <v>6863</v>
      </c>
      <c r="E943" s="0" t="s">
        <v>6996</v>
      </c>
      <c r="F943" s="0">
        <v>2</v>
      </c>
      <c r="G943" s="0" t="s">
        <v>555</v>
      </c>
      <c r="H943" s="0" t="s">
        <v>593</v>
      </c>
      <c r="I943" s="0" t="s">
        <v>469</v>
      </c>
      <c r="J943" s="0" t="s">
        <v>508</v>
      </c>
      <c r="K943" s="0" t="s">
        <v>1190</v>
      </c>
      <c r="L943" s="0" t="s">
        <v>469</v>
      </c>
      <c r="M943" s="0" t="s">
        <v>293</v>
      </c>
      <c r="N943" s="0" t="s">
        <v>294</v>
      </c>
      <c r="O943" s="0" t="s">
        <v>295</v>
      </c>
      <c r="P943" s="0" t="s">
        <v>323</v>
      </c>
      <c r="Q943" s="0" t="s">
        <v>343</v>
      </c>
      <c r="R943" s="0" t="s">
        <v>6990</v>
      </c>
      <c r="T943" s="0" t="s">
        <v>6997</v>
      </c>
      <c r="U943" s="0" t="s">
        <v>6998</v>
      </c>
      <c r="W943" s="0" t="s">
        <v>6868</v>
      </c>
      <c r="X943" s="0" t="s">
        <v>347</v>
      </c>
      <c r="Y943" s="0" t="s">
        <v>42</v>
      </c>
      <c r="Z943" s="0" t="s">
        <v>2384</v>
      </c>
      <c r="AA943" s="0" t="s">
        <v>120</v>
      </c>
      <c r="AB943" s="0" t="s">
        <v>531</v>
      </c>
      <c r="AC943" s="0" t="s">
        <v>532</v>
      </c>
      <c r="AD943" s="0" t="s">
        <v>6869</v>
      </c>
      <c r="AE943" s="0" t="s">
        <v>6870</v>
      </c>
      <c r="AF943" s="0" t="s">
        <v>301</v>
      </c>
      <c r="AP943" s="0" t="s">
        <v>305</v>
      </c>
      <c r="BA943" s="0">
        <v>532</v>
      </c>
      <c r="BB943" s="0" t="s">
        <v>232</v>
      </c>
      <c r="BC943" s="0">
        <v>2</v>
      </c>
      <c r="BD943" s="0">
        <v>374043</v>
      </c>
      <c r="BE943" s="0">
        <v>70560</v>
      </c>
      <c r="BF943" s="0">
        <v>4</v>
      </c>
      <c r="BG943" s="0" t="s">
        <v>6999</v>
      </c>
      <c r="BI943" s="0">
        <v>3833</v>
      </c>
      <c r="BK943" s="0" t="s">
        <v>7000</v>
      </c>
    </row>
    <row r="944">
      <c r="A944" s="0">
        <v>5672</v>
      </c>
      <c r="B944" s="0" t="s">
        <v>7001</v>
      </c>
      <c r="C944" s="0" t="s">
        <v>315</v>
      </c>
      <c r="D944" s="0" t="s">
        <v>6863</v>
      </c>
      <c r="E944" s="0" t="s">
        <v>7002</v>
      </c>
      <c r="F944" s="0">
        <v>2</v>
      </c>
      <c r="G944" s="0" t="s">
        <v>555</v>
      </c>
      <c r="H944" s="0" t="s">
        <v>593</v>
      </c>
      <c r="I944" s="0" t="s">
        <v>1204</v>
      </c>
      <c r="J944" s="0" t="s">
        <v>508</v>
      </c>
      <c r="K944" s="0" t="s">
        <v>1190</v>
      </c>
      <c r="L944" s="0" t="s">
        <v>1204</v>
      </c>
      <c r="M944" s="0" t="s">
        <v>293</v>
      </c>
      <c r="N944" s="0" t="s">
        <v>294</v>
      </c>
      <c r="O944" s="0" t="s">
        <v>295</v>
      </c>
      <c r="P944" s="0" t="s">
        <v>323</v>
      </c>
      <c r="Q944" s="0" t="s">
        <v>343</v>
      </c>
      <c r="R944" s="0" t="s">
        <v>1204</v>
      </c>
      <c r="T944" s="0" t="s">
        <v>7003</v>
      </c>
      <c r="U944" s="0" t="s">
        <v>7004</v>
      </c>
      <c r="W944" s="0" t="s">
        <v>6868</v>
      </c>
      <c r="X944" s="0" t="s">
        <v>347</v>
      </c>
      <c r="Y944" s="0" t="s">
        <v>42</v>
      </c>
      <c r="Z944" s="0" t="s">
        <v>2384</v>
      </c>
      <c r="AA944" s="0" t="s">
        <v>120</v>
      </c>
      <c r="AB944" s="0" t="s">
        <v>531</v>
      </c>
      <c r="AC944" s="0" t="s">
        <v>532</v>
      </c>
      <c r="AD944" s="0" t="s">
        <v>6869</v>
      </c>
      <c r="AE944" s="0" t="s">
        <v>6870</v>
      </c>
      <c r="AF944" s="0" t="s">
        <v>301</v>
      </c>
      <c r="AP944" s="0" t="s">
        <v>305</v>
      </c>
      <c r="BA944" s="0">
        <v>532</v>
      </c>
      <c r="BB944" s="0" t="s">
        <v>232</v>
      </c>
      <c r="BC944" s="0">
        <v>2</v>
      </c>
      <c r="BD944" s="0">
        <v>374043</v>
      </c>
      <c r="BE944" s="0">
        <v>70560</v>
      </c>
      <c r="BF944" s="0">
        <v>4</v>
      </c>
      <c r="BG944" s="0" t="s">
        <v>7005</v>
      </c>
      <c r="BI944" s="0">
        <v>3513</v>
      </c>
      <c r="BK944" s="0" t="s">
        <v>7006</v>
      </c>
    </row>
    <row r="945">
      <c r="A945" s="0">
        <v>5674</v>
      </c>
      <c r="B945" s="0" t="s">
        <v>7007</v>
      </c>
      <c r="C945" s="0" t="s">
        <v>315</v>
      </c>
      <c r="D945" s="0" t="s">
        <v>6863</v>
      </c>
      <c r="E945" s="0" t="s">
        <v>7008</v>
      </c>
      <c r="F945" s="0">
        <v>2</v>
      </c>
      <c r="G945" s="0" t="s">
        <v>555</v>
      </c>
      <c r="H945" s="0" t="s">
        <v>593</v>
      </c>
      <c r="I945" s="0" t="s">
        <v>2947</v>
      </c>
      <c r="J945" s="0" t="s">
        <v>508</v>
      </c>
      <c r="K945" s="0" t="s">
        <v>1190</v>
      </c>
      <c r="L945" s="0" t="s">
        <v>2947</v>
      </c>
      <c r="M945" s="0" t="s">
        <v>293</v>
      </c>
      <c r="N945" s="0" t="s">
        <v>294</v>
      </c>
      <c r="O945" s="0" t="s">
        <v>295</v>
      </c>
      <c r="P945" s="0" t="s">
        <v>323</v>
      </c>
      <c r="Q945" s="0" t="s">
        <v>343</v>
      </c>
      <c r="R945" s="0" t="s">
        <v>344</v>
      </c>
      <c r="T945" s="0" t="s">
        <v>6997</v>
      </c>
      <c r="U945" s="0" t="s">
        <v>7009</v>
      </c>
      <c r="W945" s="0" t="s">
        <v>6868</v>
      </c>
      <c r="X945" s="0" t="s">
        <v>347</v>
      </c>
      <c r="Y945" s="0" t="s">
        <v>42</v>
      </c>
      <c r="Z945" s="0" t="s">
        <v>2384</v>
      </c>
      <c r="AA945" s="0" t="s">
        <v>120</v>
      </c>
      <c r="AB945" s="0" t="s">
        <v>531</v>
      </c>
      <c r="AC945" s="0" t="s">
        <v>532</v>
      </c>
      <c r="AD945" s="0" t="s">
        <v>6869</v>
      </c>
      <c r="AE945" s="0" t="s">
        <v>6870</v>
      </c>
      <c r="AF945" s="0" t="s">
        <v>301</v>
      </c>
      <c r="AP945" s="0" t="s">
        <v>305</v>
      </c>
      <c r="BA945" s="0">
        <v>532</v>
      </c>
      <c r="BB945" s="0" t="s">
        <v>232</v>
      </c>
      <c r="BC945" s="0">
        <v>2</v>
      </c>
      <c r="BD945" s="0">
        <v>374043</v>
      </c>
      <c r="BE945" s="0">
        <v>70560</v>
      </c>
      <c r="BF945" s="0">
        <v>4</v>
      </c>
      <c r="BG945" s="0" t="s">
        <v>7010</v>
      </c>
      <c r="BI945" s="0">
        <v>3736</v>
      </c>
      <c r="BK945" s="0" t="s">
        <v>7011</v>
      </c>
    </row>
    <row r="946">
      <c r="A946" s="0">
        <v>5671</v>
      </c>
      <c r="B946" s="0" t="s">
        <v>7012</v>
      </c>
      <c r="C946" s="0" t="s">
        <v>315</v>
      </c>
      <c r="D946" s="0" t="s">
        <v>6863</v>
      </c>
      <c r="E946" s="0" t="s">
        <v>7013</v>
      </c>
      <c r="F946" s="0">
        <v>3</v>
      </c>
      <c r="G946" s="0" t="s">
        <v>555</v>
      </c>
      <c r="H946" s="0" t="s">
        <v>593</v>
      </c>
      <c r="I946" s="0" t="s">
        <v>1189</v>
      </c>
      <c r="J946" s="0" t="s">
        <v>508</v>
      </c>
      <c r="K946" s="0" t="s">
        <v>1190</v>
      </c>
      <c r="L946" s="0" t="s">
        <v>1189</v>
      </c>
      <c r="M946" s="0" t="s">
        <v>293</v>
      </c>
      <c r="N946" s="0" t="s">
        <v>294</v>
      </c>
      <c r="O946" s="0" t="s">
        <v>295</v>
      </c>
      <c r="P946" s="0" t="s">
        <v>323</v>
      </c>
      <c r="Q946" s="0" t="s">
        <v>343</v>
      </c>
      <c r="R946" s="0" t="s">
        <v>1189</v>
      </c>
      <c r="T946" s="0" t="s">
        <v>7014</v>
      </c>
      <c r="U946" s="0" t="s">
        <v>7015</v>
      </c>
      <c r="W946" s="0" t="s">
        <v>6868</v>
      </c>
      <c r="X946" s="0" t="s">
        <v>347</v>
      </c>
      <c r="Y946" s="0" t="s">
        <v>42</v>
      </c>
      <c r="Z946" s="0" t="s">
        <v>2384</v>
      </c>
      <c r="AA946" s="0" t="s">
        <v>120</v>
      </c>
      <c r="AB946" s="0" t="s">
        <v>531</v>
      </c>
      <c r="AC946" s="0" t="s">
        <v>532</v>
      </c>
      <c r="AD946" s="0" t="s">
        <v>6869</v>
      </c>
      <c r="AE946" s="0" t="s">
        <v>6870</v>
      </c>
      <c r="AF946" s="0" t="s">
        <v>301</v>
      </c>
      <c r="AP946" s="0" t="s">
        <v>305</v>
      </c>
      <c r="BA946" s="0">
        <v>532</v>
      </c>
      <c r="BB946" s="0" t="s">
        <v>232</v>
      </c>
      <c r="BC946" s="0">
        <v>2</v>
      </c>
      <c r="BD946" s="0">
        <v>374043</v>
      </c>
      <c r="BE946" s="0">
        <v>70560</v>
      </c>
      <c r="BF946" s="0">
        <v>4</v>
      </c>
      <c r="BG946" s="0" t="s">
        <v>7016</v>
      </c>
      <c r="BI946" s="0">
        <v>3391</v>
      </c>
      <c r="BK946" s="0" t="s">
        <v>7017</v>
      </c>
    </row>
    <row r="947">
      <c r="A947" s="0">
        <v>5668</v>
      </c>
      <c r="B947" s="0" t="s">
        <v>7018</v>
      </c>
      <c r="C947" s="0" t="s">
        <v>315</v>
      </c>
      <c r="D947" s="0" t="s">
        <v>6863</v>
      </c>
      <c r="E947" s="0" t="s">
        <v>7019</v>
      </c>
      <c r="F947" s="0">
        <v>2</v>
      </c>
      <c r="G947" s="0" t="s">
        <v>555</v>
      </c>
      <c r="H947" s="0" t="s">
        <v>593</v>
      </c>
      <c r="I947" s="0" t="s">
        <v>1189</v>
      </c>
      <c r="J947" s="0" t="s">
        <v>508</v>
      </c>
      <c r="K947" s="0" t="s">
        <v>1190</v>
      </c>
      <c r="L947" s="0" t="s">
        <v>1189</v>
      </c>
      <c r="M947" s="0" t="s">
        <v>293</v>
      </c>
      <c r="N947" s="0" t="s">
        <v>294</v>
      </c>
      <c r="O947" s="0" t="s">
        <v>295</v>
      </c>
      <c r="P947" s="0" t="s">
        <v>323</v>
      </c>
      <c r="Q947" s="0" t="s">
        <v>323</v>
      </c>
      <c r="R947" s="0" t="s">
        <v>1189</v>
      </c>
      <c r="T947" s="0" t="s">
        <v>7020</v>
      </c>
      <c r="U947" s="0" t="s">
        <v>7021</v>
      </c>
      <c r="W947" s="0" t="s">
        <v>6868</v>
      </c>
      <c r="X947" s="0" t="s">
        <v>347</v>
      </c>
      <c r="Y947" s="0" t="s">
        <v>42</v>
      </c>
      <c r="Z947" s="0" t="s">
        <v>2384</v>
      </c>
      <c r="AA947" s="0" t="s">
        <v>120</v>
      </c>
      <c r="AB947" s="0" t="s">
        <v>531</v>
      </c>
      <c r="AC947" s="0" t="s">
        <v>532</v>
      </c>
      <c r="AD947" s="0" t="s">
        <v>6869</v>
      </c>
      <c r="AE947" s="0" t="s">
        <v>6870</v>
      </c>
      <c r="AF947" s="0" t="s">
        <v>301</v>
      </c>
      <c r="AP947" s="0" t="s">
        <v>305</v>
      </c>
      <c r="BA947" s="0">
        <v>532</v>
      </c>
      <c r="BB947" s="0" t="s">
        <v>232</v>
      </c>
      <c r="BC947" s="0">
        <v>2</v>
      </c>
      <c r="BD947" s="0">
        <v>374043</v>
      </c>
      <c r="BE947" s="0">
        <v>70560</v>
      </c>
      <c r="BF947" s="0">
        <v>4</v>
      </c>
      <c r="BG947" s="0" t="s">
        <v>7022</v>
      </c>
      <c r="BI947" s="0">
        <v>2941</v>
      </c>
      <c r="BK947" s="0" t="s">
        <v>7023</v>
      </c>
    </row>
    <row r="948">
      <c r="A948" s="0">
        <v>5670</v>
      </c>
      <c r="B948" s="0" t="s">
        <v>7024</v>
      </c>
      <c r="C948" s="0" t="s">
        <v>315</v>
      </c>
      <c r="D948" s="0" t="s">
        <v>6863</v>
      </c>
      <c r="E948" s="0" t="s">
        <v>6540</v>
      </c>
      <c r="F948" s="0">
        <v>4</v>
      </c>
      <c r="G948" s="0" t="s">
        <v>555</v>
      </c>
      <c r="H948" s="0" t="s">
        <v>7025</v>
      </c>
      <c r="I948" s="0" t="s">
        <v>549</v>
      </c>
      <c r="J948" s="0" t="s">
        <v>508</v>
      </c>
      <c r="K948" s="0" t="s">
        <v>1190</v>
      </c>
      <c r="L948" s="0" t="s">
        <v>549</v>
      </c>
      <c r="P948" s="0" t="s">
        <v>323</v>
      </c>
      <c r="Q948" s="0" t="s">
        <v>323</v>
      </c>
      <c r="R948" s="0" t="s">
        <v>324</v>
      </c>
      <c r="T948" s="0" t="s">
        <v>7026</v>
      </c>
      <c r="U948" s="0" t="s">
        <v>7027</v>
      </c>
      <c r="W948" s="0" t="s">
        <v>6868</v>
      </c>
      <c r="X948" s="0" t="s">
        <v>347</v>
      </c>
      <c r="Y948" s="0" t="s">
        <v>42</v>
      </c>
      <c r="Z948" s="0" t="s">
        <v>2384</v>
      </c>
      <c r="AA948" s="0" t="s">
        <v>120</v>
      </c>
      <c r="AB948" s="0" t="s">
        <v>531</v>
      </c>
      <c r="AC948" s="0" t="s">
        <v>532</v>
      </c>
      <c r="AD948" s="0" t="s">
        <v>6869</v>
      </c>
      <c r="AE948" s="0" t="s">
        <v>6870</v>
      </c>
      <c r="AF948" s="0" t="s">
        <v>301</v>
      </c>
      <c r="AP948" s="0" t="s">
        <v>305</v>
      </c>
      <c r="BA948" s="0">
        <v>532</v>
      </c>
      <c r="BB948" s="0" t="s">
        <v>232</v>
      </c>
      <c r="BC948" s="0">
        <v>2</v>
      </c>
      <c r="BD948" s="0">
        <v>374043</v>
      </c>
      <c r="BE948" s="0">
        <v>70560</v>
      </c>
      <c r="BF948" s="0">
        <v>4</v>
      </c>
      <c r="BG948" s="0" t="s">
        <v>7028</v>
      </c>
      <c r="BI948" s="0">
        <v>3257</v>
      </c>
      <c r="BK948" s="0" t="s">
        <v>7029</v>
      </c>
    </row>
    <row r="949">
      <c r="A949" s="0">
        <v>5669</v>
      </c>
      <c r="B949" s="0" t="s">
        <v>7030</v>
      </c>
      <c r="C949" s="0" t="s">
        <v>315</v>
      </c>
      <c r="D949" s="0" t="s">
        <v>6863</v>
      </c>
      <c r="E949" s="0" t="s">
        <v>7031</v>
      </c>
      <c r="F949" s="0">
        <v>2</v>
      </c>
      <c r="G949" s="0" t="s">
        <v>555</v>
      </c>
      <c r="H949" s="0" t="s">
        <v>7025</v>
      </c>
      <c r="I949" s="0" t="s">
        <v>549</v>
      </c>
      <c r="J949" s="0" t="s">
        <v>508</v>
      </c>
      <c r="K949" s="0" t="s">
        <v>1190</v>
      </c>
      <c r="L949" s="0" t="s">
        <v>549</v>
      </c>
      <c r="P949" s="0" t="s">
        <v>323</v>
      </c>
      <c r="Q949" s="0" t="s">
        <v>323</v>
      </c>
      <c r="R949" s="0" t="s">
        <v>324</v>
      </c>
      <c r="T949" s="0" t="s">
        <v>7032</v>
      </c>
      <c r="U949" s="0" t="s">
        <v>7033</v>
      </c>
      <c r="W949" s="0" t="s">
        <v>6868</v>
      </c>
      <c r="X949" s="0" t="s">
        <v>347</v>
      </c>
      <c r="Y949" s="0" t="s">
        <v>42</v>
      </c>
      <c r="Z949" s="0" t="s">
        <v>2384</v>
      </c>
      <c r="AA949" s="0" t="s">
        <v>120</v>
      </c>
      <c r="AB949" s="0" t="s">
        <v>531</v>
      </c>
      <c r="AC949" s="0" t="s">
        <v>532</v>
      </c>
      <c r="AD949" s="0" t="s">
        <v>6869</v>
      </c>
      <c r="AE949" s="0" t="s">
        <v>6870</v>
      </c>
      <c r="AF949" s="0" t="s">
        <v>301</v>
      </c>
      <c r="AP949" s="0" t="s">
        <v>305</v>
      </c>
      <c r="BA949" s="0">
        <v>532</v>
      </c>
      <c r="BB949" s="0" t="s">
        <v>232</v>
      </c>
      <c r="BC949" s="0">
        <v>2</v>
      </c>
      <c r="BD949" s="0">
        <v>374043</v>
      </c>
      <c r="BE949" s="0">
        <v>70560</v>
      </c>
      <c r="BF949" s="0">
        <v>4</v>
      </c>
      <c r="BG949" s="0" t="s">
        <v>7034</v>
      </c>
      <c r="BI949" s="0">
        <v>3107</v>
      </c>
      <c r="BK949" s="0" t="s">
        <v>7035</v>
      </c>
    </row>
    <row r="950">
      <c r="A950" s="0">
        <v>5692</v>
      </c>
      <c r="B950" s="0" t="s">
        <v>7036</v>
      </c>
      <c r="C950" s="0" t="s">
        <v>339</v>
      </c>
      <c r="D950" s="0" t="s">
        <v>6863</v>
      </c>
      <c r="E950" s="0" t="s">
        <v>6547</v>
      </c>
      <c r="F950" s="0">
        <v>2</v>
      </c>
      <c r="G950" s="0" t="s">
        <v>319</v>
      </c>
      <c r="H950" s="0" t="s">
        <v>398</v>
      </c>
      <c r="I950" s="0" t="s">
        <v>6530</v>
      </c>
      <c r="J950" s="0" t="s">
        <v>508</v>
      </c>
      <c r="K950" s="0" t="s">
        <v>1190</v>
      </c>
      <c r="P950" s="0" t="s">
        <v>323</v>
      </c>
      <c r="Q950" s="0" t="s">
        <v>323</v>
      </c>
      <c r="R950" s="0" t="s">
        <v>2034</v>
      </c>
      <c r="U950" s="0" t="s">
        <v>7037</v>
      </c>
      <c r="W950" s="0" t="s">
        <v>6868</v>
      </c>
      <c r="X950" s="0" t="s">
        <v>347</v>
      </c>
      <c r="Y950" s="0" t="s">
        <v>42</v>
      </c>
      <c r="Z950" s="0" t="s">
        <v>2384</v>
      </c>
      <c r="AA950" s="0" t="s">
        <v>120</v>
      </c>
      <c r="AB950" s="0" t="s">
        <v>531</v>
      </c>
      <c r="AC950" s="0" t="s">
        <v>532</v>
      </c>
      <c r="AD950" s="0" t="s">
        <v>6869</v>
      </c>
      <c r="AE950" s="0" t="s">
        <v>6870</v>
      </c>
      <c r="AF950" s="0" t="s">
        <v>301</v>
      </c>
      <c r="AM950" s="0" t="s">
        <v>7038</v>
      </c>
      <c r="AN950" s="0" t="s">
        <v>7039</v>
      </c>
      <c r="AO950" s="0" t="s">
        <v>7040</v>
      </c>
      <c r="AP950" s="0" t="s">
        <v>305</v>
      </c>
      <c r="AQ950" s="0" t="s">
        <v>7041</v>
      </c>
      <c r="AR950" s="0" t="s">
        <v>7042</v>
      </c>
      <c r="AS950" s="0">
        <v>5</v>
      </c>
      <c r="AT950" s="0">
        <v>10</v>
      </c>
      <c r="AU950" s="0">
        <v>13</v>
      </c>
      <c r="AV950" s="0" t="s">
        <v>332</v>
      </c>
      <c r="AW950" s="0" t="s">
        <v>331</v>
      </c>
      <c r="AX950" s="0" t="s">
        <v>7043</v>
      </c>
      <c r="AY950" s="0" t="s">
        <v>7044</v>
      </c>
      <c r="AZ950" s="0" t="s">
        <v>7045</v>
      </c>
      <c r="BA950" s="0">
        <v>532</v>
      </c>
      <c r="BB950" s="0" t="s">
        <v>232</v>
      </c>
      <c r="BC950" s="0">
        <v>2</v>
      </c>
      <c r="BD950" s="0">
        <v>8</v>
      </c>
      <c r="BE950" s="0">
        <v>70560</v>
      </c>
      <c r="BF950" s="0">
        <v>4</v>
      </c>
      <c r="BG950" s="0" t="s">
        <v>7046</v>
      </c>
      <c r="BI950" s="0">
        <v>4751</v>
      </c>
      <c r="BK950" s="0" t="s">
        <v>7047</v>
      </c>
    </row>
    <row r="951">
      <c r="A951" s="0">
        <v>5694</v>
      </c>
      <c r="B951" s="0" t="s">
        <v>7048</v>
      </c>
      <c r="C951" s="0" t="s">
        <v>315</v>
      </c>
      <c r="D951" s="0" t="s">
        <v>6863</v>
      </c>
      <c r="E951" s="0" t="s">
        <v>7049</v>
      </c>
      <c r="F951" s="0">
        <v>2</v>
      </c>
      <c r="G951" s="0" t="s">
        <v>319</v>
      </c>
      <c r="H951" s="0" t="s">
        <v>398</v>
      </c>
      <c r="I951" s="0" t="s">
        <v>6530</v>
      </c>
      <c r="J951" s="0" t="s">
        <v>508</v>
      </c>
      <c r="K951" s="0" t="s">
        <v>1190</v>
      </c>
      <c r="L951" s="0" t="s">
        <v>549</v>
      </c>
      <c r="P951" s="0" t="s">
        <v>323</v>
      </c>
      <c r="Q951" s="0" t="s">
        <v>323</v>
      </c>
      <c r="R951" s="0" t="s">
        <v>6865</v>
      </c>
      <c r="T951" s="0" t="s">
        <v>7050</v>
      </c>
      <c r="U951" s="0" t="s">
        <v>7051</v>
      </c>
      <c r="W951" s="0" t="s">
        <v>6868</v>
      </c>
      <c r="X951" s="0" t="s">
        <v>347</v>
      </c>
      <c r="Y951" s="0" t="s">
        <v>42</v>
      </c>
      <c r="Z951" s="0" t="s">
        <v>2384</v>
      </c>
      <c r="AA951" s="0" t="s">
        <v>120</v>
      </c>
      <c r="AB951" s="0" t="s">
        <v>531</v>
      </c>
      <c r="AC951" s="0" t="s">
        <v>532</v>
      </c>
      <c r="AD951" s="0" t="s">
        <v>6869</v>
      </c>
      <c r="AE951" s="0" t="s">
        <v>6870</v>
      </c>
      <c r="AF951" s="0" t="s">
        <v>301</v>
      </c>
      <c r="AP951" s="0" t="s">
        <v>305</v>
      </c>
      <c r="BA951" s="0">
        <v>532</v>
      </c>
      <c r="BB951" s="0" t="s">
        <v>232</v>
      </c>
      <c r="BC951" s="0">
        <v>2</v>
      </c>
      <c r="BD951" s="0">
        <v>374043</v>
      </c>
      <c r="BE951" s="0">
        <v>70560</v>
      </c>
      <c r="BF951" s="0">
        <v>4</v>
      </c>
      <c r="BG951" s="0" t="s">
        <v>7052</v>
      </c>
      <c r="BI951" s="0">
        <v>4788</v>
      </c>
      <c r="BK951" s="0" t="s">
        <v>7053</v>
      </c>
    </row>
    <row r="952">
      <c r="A952" s="0">
        <v>5689</v>
      </c>
      <c r="B952" s="0" t="s">
        <v>7054</v>
      </c>
      <c r="C952" s="0" t="s">
        <v>290</v>
      </c>
      <c r="D952" s="0" t="s">
        <v>6863</v>
      </c>
      <c r="E952" s="0" t="s">
        <v>7055</v>
      </c>
      <c r="F952" s="0">
        <v>4</v>
      </c>
      <c r="G952" s="0" t="s">
        <v>555</v>
      </c>
      <c r="H952" s="0" t="s">
        <v>593</v>
      </c>
      <c r="I952" s="0" t="s">
        <v>549</v>
      </c>
      <c r="J952" s="0" t="s">
        <v>293</v>
      </c>
      <c r="K952" s="0" t="s">
        <v>294</v>
      </c>
      <c r="L952" s="0" t="s">
        <v>295</v>
      </c>
      <c r="P952" s="0" t="s">
        <v>343</v>
      </c>
      <c r="Q952" s="0" t="s">
        <v>343</v>
      </c>
      <c r="R952" s="0" t="s">
        <v>343</v>
      </c>
      <c r="T952" s="0" t="s">
        <v>7056</v>
      </c>
      <c r="U952" s="0" t="s">
        <v>7057</v>
      </c>
      <c r="W952" s="0" t="s">
        <v>6868</v>
      </c>
      <c r="X952" s="0" t="s">
        <v>347</v>
      </c>
      <c r="Y952" s="0" t="s">
        <v>42</v>
      </c>
      <c r="Z952" s="0" t="s">
        <v>2384</v>
      </c>
      <c r="AA952" s="0" t="s">
        <v>120</v>
      </c>
      <c r="AB952" s="0" t="s">
        <v>531</v>
      </c>
      <c r="AC952" s="0" t="s">
        <v>532</v>
      </c>
      <c r="AD952" s="0" t="s">
        <v>6869</v>
      </c>
      <c r="AE952" s="0" t="s">
        <v>6870</v>
      </c>
      <c r="AF952" s="0" t="s">
        <v>301</v>
      </c>
      <c r="AP952" s="0" t="s">
        <v>305</v>
      </c>
      <c r="BA952" s="0">
        <v>532</v>
      </c>
      <c r="BB952" s="0" t="s">
        <v>232</v>
      </c>
      <c r="BC952" s="0">
        <v>2</v>
      </c>
      <c r="BD952" s="0">
        <v>374053</v>
      </c>
      <c r="BE952" s="0">
        <v>70560</v>
      </c>
      <c r="BF952" s="0">
        <v>4</v>
      </c>
      <c r="BG952" s="0" t="s">
        <v>7058</v>
      </c>
      <c r="BI952" s="0">
        <v>4676</v>
      </c>
      <c r="BK952" s="0" t="s">
        <v>7059</v>
      </c>
    </row>
    <row r="953">
      <c r="A953" s="0">
        <v>5690</v>
      </c>
      <c r="B953" s="0" t="s">
        <v>7060</v>
      </c>
      <c r="C953" s="0" t="s">
        <v>290</v>
      </c>
      <c r="D953" s="0" t="s">
        <v>6863</v>
      </c>
      <c r="E953" s="0" t="s">
        <v>7061</v>
      </c>
      <c r="F953" s="0">
        <v>4</v>
      </c>
      <c r="G953" s="0" t="s">
        <v>555</v>
      </c>
      <c r="H953" s="0" t="s">
        <v>593</v>
      </c>
      <c r="I953" s="0" t="s">
        <v>1204</v>
      </c>
      <c r="J953" s="0" t="s">
        <v>293</v>
      </c>
      <c r="K953" s="0" t="s">
        <v>294</v>
      </c>
      <c r="L953" s="0" t="s">
        <v>295</v>
      </c>
      <c r="P953" s="0" t="s">
        <v>343</v>
      </c>
      <c r="Q953" s="0" t="s">
        <v>343</v>
      </c>
      <c r="R953" s="0" t="s">
        <v>343</v>
      </c>
      <c r="T953" s="0" t="s">
        <v>7056</v>
      </c>
      <c r="U953" s="0" t="s">
        <v>7062</v>
      </c>
      <c r="W953" s="0" t="s">
        <v>6868</v>
      </c>
      <c r="X953" s="0" t="s">
        <v>347</v>
      </c>
      <c r="Y953" s="0" t="s">
        <v>42</v>
      </c>
      <c r="Z953" s="0" t="s">
        <v>2384</v>
      </c>
      <c r="AA953" s="0" t="s">
        <v>120</v>
      </c>
      <c r="AB953" s="0" t="s">
        <v>531</v>
      </c>
      <c r="AC953" s="0" t="s">
        <v>532</v>
      </c>
      <c r="AD953" s="0" t="s">
        <v>6869</v>
      </c>
      <c r="AE953" s="0" t="s">
        <v>6870</v>
      </c>
      <c r="AF953" s="0" t="s">
        <v>301</v>
      </c>
      <c r="AP953" s="0" t="s">
        <v>305</v>
      </c>
      <c r="BA953" s="0">
        <v>532</v>
      </c>
      <c r="BB953" s="0" t="s">
        <v>232</v>
      </c>
      <c r="BC953" s="0">
        <v>2</v>
      </c>
      <c r="BD953" s="0">
        <v>374053</v>
      </c>
      <c r="BE953" s="0">
        <v>70560</v>
      </c>
      <c r="BF953" s="0">
        <v>4</v>
      </c>
      <c r="BG953" s="0" t="s">
        <v>7063</v>
      </c>
      <c r="BI953" s="0">
        <v>4708</v>
      </c>
      <c r="BK953" s="0" t="s">
        <v>7064</v>
      </c>
    </row>
    <row r="954">
      <c r="A954" s="0">
        <v>5701</v>
      </c>
      <c r="B954" s="0" t="s">
        <v>7065</v>
      </c>
      <c r="C954" s="0" t="s">
        <v>315</v>
      </c>
      <c r="D954" s="0" t="s">
        <v>6863</v>
      </c>
      <c r="E954" s="0" t="s">
        <v>7066</v>
      </c>
      <c r="F954" s="0">
        <v>2</v>
      </c>
      <c r="G954" s="0" t="s">
        <v>319</v>
      </c>
      <c r="H954" s="0" t="s">
        <v>398</v>
      </c>
      <c r="I954" s="0" t="s">
        <v>6530</v>
      </c>
      <c r="J954" s="0" t="s">
        <v>508</v>
      </c>
      <c r="K954" s="0" t="s">
        <v>1190</v>
      </c>
      <c r="M954" s="0" t="s">
        <v>293</v>
      </c>
      <c r="N954" s="0" t="s">
        <v>294</v>
      </c>
      <c r="O954" s="0" t="s">
        <v>295</v>
      </c>
      <c r="P954" s="0" t="s">
        <v>343</v>
      </c>
      <c r="Q954" s="0" t="s">
        <v>343</v>
      </c>
      <c r="R954" s="0" t="s">
        <v>343</v>
      </c>
      <c r="T954" s="0" t="s">
        <v>7067</v>
      </c>
      <c r="U954" s="0" t="s">
        <v>7068</v>
      </c>
      <c r="W954" s="0" t="s">
        <v>6868</v>
      </c>
      <c r="X954" s="0" t="s">
        <v>347</v>
      </c>
      <c r="Y954" s="0" t="s">
        <v>42</v>
      </c>
      <c r="Z954" s="0" t="s">
        <v>2384</v>
      </c>
      <c r="AA954" s="0" t="s">
        <v>120</v>
      </c>
      <c r="AB954" s="0" t="s">
        <v>531</v>
      </c>
      <c r="AC954" s="0" t="s">
        <v>532</v>
      </c>
      <c r="AD954" s="0" t="s">
        <v>6869</v>
      </c>
      <c r="AE954" s="0" t="s">
        <v>6870</v>
      </c>
      <c r="AF954" s="0" t="s">
        <v>301</v>
      </c>
      <c r="AP954" s="0" t="s">
        <v>305</v>
      </c>
      <c r="BA954" s="0">
        <v>532</v>
      </c>
      <c r="BB954" s="0" t="s">
        <v>232</v>
      </c>
      <c r="BC954" s="0">
        <v>2</v>
      </c>
      <c r="BD954" s="0">
        <v>374043</v>
      </c>
      <c r="BE954" s="0">
        <v>70560</v>
      </c>
      <c r="BF954" s="0">
        <v>4</v>
      </c>
      <c r="BG954" s="0" t="s">
        <v>7069</v>
      </c>
      <c r="BI954" s="0">
        <v>4913</v>
      </c>
      <c r="BK954" s="0" t="s">
        <v>7070</v>
      </c>
    </row>
    <row r="955">
      <c r="A955" s="0">
        <v>5697</v>
      </c>
      <c r="B955" s="0" t="s">
        <v>7071</v>
      </c>
      <c r="C955" s="0" t="s">
        <v>315</v>
      </c>
      <c r="D955" s="0" t="s">
        <v>6863</v>
      </c>
      <c r="E955" s="0" t="s">
        <v>7072</v>
      </c>
      <c r="F955" s="0">
        <v>2</v>
      </c>
      <c r="G955" s="0" t="s">
        <v>319</v>
      </c>
      <c r="H955" s="0" t="s">
        <v>6522</v>
      </c>
      <c r="I955" s="0" t="s">
        <v>7073</v>
      </c>
      <c r="J955" s="0" t="s">
        <v>508</v>
      </c>
      <c r="K955" s="0" t="s">
        <v>1190</v>
      </c>
      <c r="M955" s="0" t="s">
        <v>293</v>
      </c>
      <c r="N955" s="0" t="s">
        <v>294</v>
      </c>
      <c r="O955" s="0" t="s">
        <v>295</v>
      </c>
      <c r="P955" s="0" t="s">
        <v>323</v>
      </c>
      <c r="Q955" s="0" t="s">
        <v>343</v>
      </c>
      <c r="R955" s="0" t="s">
        <v>526</v>
      </c>
      <c r="T955" s="0" t="s">
        <v>7074</v>
      </c>
      <c r="U955" s="0" t="s">
        <v>7075</v>
      </c>
      <c r="W955" s="0" t="s">
        <v>6868</v>
      </c>
      <c r="X955" s="0" t="s">
        <v>347</v>
      </c>
      <c r="Y955" s="0" t="s">
        <v>42</v>
      </c>
      <c r="Z955" s="0" t="s">
        <v>2384</v>
      </c>
      <c r="AA955" s="0" t="s">
        <v>120</v>
      </c>
      <c r="AB955" s="0" t="s">
        <v>531</v>
      </c>
      <c r="AC955" s="0" t="s">
        <v>532</v>
      </c>
      <c r="AD955" s="0" t="s">
        <v>6869</v>
      </c>
      <c r="AE955" s="0" t="s">
        <v>6870</v>
      </c>
      <c r="AF955" s="0" t="s">
        <v>301</v>
      </c>
      <c r="AP955" s="0" t="s">
        <v>305</v>
      </c>
      <c r="BA955" s="0">
        <v>532</v>
      </c>
      <c r="BB955" s="0" t="s">
        <v>232</v>
      </c>
      <c r="BC955" s="0">
        <v>2</v>
      </c>
      <c r="BD955" s="0">
        <v>374043</v>
      </c>
      <c r="BE955" s="0">
        <v>70560</v>
      </c>
      <c r="BF955" s="0">
        <v>4</v>
      </c>
      <c r="BG955" s="0" t="s">
        <v>7076</v>
      </c>
      <c r="BI955" s="0">
        <v>4844</v>
      </c>
      <c r="BK955" s="0" t="s">
        <v>7077</v>
      </c>
    </row>
    <row r="956">
      <c r="A956" s="0">
        <v>5717</v>
      </c>
      <c r="B956" s="0" t="s">
        <v>7078</v>
      </c>
      <c r="C956" s="0" t="s">
        <v>290</v>
      </c>
      <c r="D956" s="0" t="s">
        <v>6863</v>
      </c>
      <c r="E956" s="0" t="s">
        <v>7079</v>
      </c>
      <c r="F956" s="0">
        <v>2</v>
      </c>
      <c r="G956" s="0" t="s">
        <v>293</v>
      </c>
      <c r="H956" s="0" t="s">
        <v>3113</v>
      </c>
      <c r="I956" s="0" t="s">
        <v>3249</v>
      </c>
      <c r="J956" s="0" t="s">
        <v>508</v>
      </c>
      <c r="K956" s="0" t="s">
        <v>1190</v>
      </c>
      <c r="L956" s="0" t="s">
        <v>549</v>
      </c>
      <c r="P956" s="0" t="s">
        <v>343</v>
      </c>
      <c r="Q956" s="0" t="s">
        <v>343</v>
      </c>
      <c r="R956" s="0" t="s">
        <v>343</v>
      </c>
      <c r="T956" s="0" t="s">
        <v>7080</v>
      </c>
      <c r="U956" s="0" t="s">
        <v>7081</v>
      </c>
      <c r="W956" s="0" t="s">
        <v>6868</v>
      </c>
      <c r="X956" s="0" t="s">
        <v>347</v>
      </c>
      <c r="Y956" s="0" t="s">
        <v>42</v>
      </c>
      <c r="Z956" s="0" t="s">
        <v>2384</v>
      </c>
      <c r="AA956" s="0" t="s">
        <v>120</v>
      </c>
      <c r="AB956" s="0" t="s">
        <v>531</v>
      </c>
      <c r="AC956" s="0" t="s">
        <v>532</v>
      </c>
      <c r="AD956" s="0" t="s">
        <v>6869</v>
      </c>
      <c r="AE956" s="0" t="s">
        <v>6870</v>
      </c>
      <c r="AF956" s="0" t="s">
        <v>301</v>
      </c>
      <c r="AP956" s="0" t="s">
        <v>305</v>
      </c>
      <c r="BA956" s="0">
        <v>532</v>
      </c>
      <c r="BB956" s="0" t="s">
        <v>232</v>
      </c>
      <c r="BC956" s="0">
        <v>2</v>
      </c>
      <c r="BD956" s="0">
        <v>374053</v>
      </c>
      <c r="BE956" s="0">
        <v>70560</v>
      </c>
      <c r="BF956" s="0">
        <v>4</v>
      </c>
      <c r="BG956" s="0" t="s">
        <v>7082</v>
      </c>
      <c r="BI956" s="0">
        <v>5027</v>
      </c>
      <c r="BK956" s="0" t="s">
        <v>7083</v>
      </c>
    </row>
    <row r="957">
      <c r="A957" s="0">
        <v>5686</v>
      </c>
      <c r="B957" s="0" t="s">
        <v>7084</v>
      </c>
      <c r="C957" s="0" t="s">
        <v>290</v>
      </c>
      <c r="D957" s="0" t="s">
        <v>6863</v>
      </c>
      <c r="E957" s="0" t="s">
        <v>7085</v>
      </c>
      <c r="F957" s="0">
        <v>4</v>
      </c>
      <c r="G957" s="0" t="s">
        <v>555</v>
      </c>
      <c r="H957" s="0" t="s">
        <v>593</v>
      </c>
      <c r="I957" s="0" t="s">
        <v>1204</v>
      </c>
      <c r="J957" s="0" t="s">
        <v>293</v>
      </c>
      <c r="K957" s="0" t="s">
        <v>294</v>
      </c>
      <c r="L957" s="0" t="s">
        <v>295</v>
      </c>
      <c r="P957" s="0" t="s">
        <v>323</v>
      </c>
      <c r="Q957" s="0" t="s">
        <v>343</v>
      </c>
      <c r="R957" s="0" t="s">
        <v>1021</v>
      </c>
      <c r="T957" s="0" t="s">
        <v>7086</v>
      </c>
      <c r="U957" s="0" t="s">
        <v>7087</v>
      </c>
      <c r="W957" s="0" t="s">
        <v>6868</v>
      </c>
      <c r="X957" s="0" t="s">
        <v>347</v>
      </c>
      <c r="Y957" s="0" t="s">
        <v>42</v>
      </c>
      <c r="Z957" s="0" t="s">
        <v>2384</v>
      </c>
      <c r="AA957" s="0" t="s">
        <v>120</v>
      </c>
      <c r="AB957" s="0" t="s">
        <v>531</v>
      </c>
      <c r="AC957" s="0" t="s">
        <v>532</v>
      </c>
      <c r="AD957" s="0" t="s">
        <v>6869</v>
      </c>
      <c r="AE957" s="0" t="s">
        <v>6870</v>
      </c>
      <c r="AF957" s="0" t="s">
        <v>301</v>
      </c>
      <c r="AP957" s="0" t="s">
        <v>305</v>
      </c>
      <c r="BA957" s="0">
        <v>532</v>
      </c>
      <c r="BB957" s="0" t="s">
        <v>232</v>
      </c>
      <c r="BC957" s="0">
        <v>2</v>
      </c>
      <c r="BD957" s="0">
        <v>374053</v>
      </c>
      <c r="BE957" s="0">
        <v>70560</v>
      </c>
      <c r="BF957" s="0">
        <v>4</v>
      </c>
      <c r="BG957" s="0" t="s">
        <v>7088</v>
      </c>
      <c r="BI957" s="0">
        <v>4563</v>
      </c>
      <c r="BK957" s="0" t="s">
        <v>7089</v>
      </c>
    </row>
    <row r="958">
      <c r="A958" s="0">
        <v>5685</v>
      </c>
      <c r="B958" s="0" t="s">
        <v>7090</v>
      </c>
      <c r="C958" s="0" t="s">
        <v>290</v>
      </c>
      <c r="D958" s="0" t="s">
        <v>6863</v>
      </c>
      <c r="E958" s="0" t="s">
        <v>7091</v>
      </c>
      <c r="F958" s="0">
        <v>2</v>
      </c>
      <c r="G958" s="0" t="s">
        <v>555</v>
      </c>
      <c r="H958" s="0" t="s">
        <v>593</v>
      </c>
      <c r="I958" s="0" t="s">
        <v>1204</v>
      </c>
      <c r="J958" s="0" t="s">
        <v>293</v>
      </c>
      <c r="K958" s="0" t="s">
        <v>294</v>
      </c>
      <c r="L958" s="0" t="s">
        <v>295</v>
      </c>
      <c r="P958" s="0" t="s">
        <v>323</v>
      </c>
      <c r="Q958" s="0" t="s">
        <v>323</v>
      </c>
      <c r="R958" s="0" t="s">
        <v>1021</v>
      </c>
      <c r="T958" s="0" t="s">
        <v>7092</v>
      </c>
      <c r="U958" s="0" t="s">
        <v>7093</v>
      </c>
      <c r="W958" s="0" t="s">
        <v>6868</v>
      </c>
      <c r="X958" s="0" t="s">
        <v>347</v>
      </c>
      <c r="Y958" s="0" t="s">
        <v>42</v>
      </c>
      <c r="Z958" s="0" t="s">
        <v>2384</v>
      </c>
      <c r="AA958" s="0" t="s">
        <v>120</v>
      </c>
      <c r="AB958" s="0" t="s">
        <v>531</v>
      </c>
      <c r="AC958" s="0" t="s">
        <v>532</v>
      </c>
      <c r="AD958" s="0" t="s">
        <v>6869</v>
      </c>
      <c r="AE958" s="0" t="s">
        <v>6870</v>
      </c>
      <c r="AF958" s="0" t="s">
        <v>301</v>
      </c>
      <c r="AP958" s="0" t="s">
        <v>305</v>
      </c>
      <c r="BA958" s="0">
        <v>532</v>
      </c>
      <c r="BB958" s="0" t="s">
        <v>232</v>
      </c>
      <c r="BC958" s="0">
        <v>2</v>
      </c>
      <c r="BD958" s="0">
        <v>374053</v>
      </c>
      <c r="BE958" s="0">
        <v>70560</v>
      </c>
      <c r="BF958" s="0">
        <v>4</v>
      </c>
      <c r="BG958" s="0" t="s">
        <v>7094</v>
      </c>
      <c r="BI958" s="0">
        <v>4515</v>
      </c>
      <c r="BK958" s="0" t="s">
        <v>7095</v>
      </c>
    </row>
    <row r="959">
      <c r="A959" s="0">
        <v>5716</v>
      </c>
      <c r="B959" s="0" t="s">
        <v>7096</v>
      </c>
      <c r="C959" s="0" t="s">
        <v>290</v>
      </c>
      <c r="D959" s="0" t="s">
        <v>6863</v>
      </c>
      <c r="E959" s="0" t="s">
        <v>7097</v>
      </c>
      <c r="F959" s="0">
        <v>1</v>
      </c>
      <c r="G959" s="0" t="s">
        <v>293</v>
      </c>
      <c r="H959" s="0" t="s">
        <v>294</v>
      </c>
      <c r="I959" s="0" t="s">
        <v>295</v>
      </c>
      <c r="P959" s="0" t="s">
        <v>343</v>
      </c>
      <c r="Q959" s="0" t="s">
        <v>343</v>
      </c>
      <c r="R959" s="0" t="s">
        <v>343</v>
      </c>
      <c r="T959" s="0" t="s">
        <v>7098</v>
      </c>
      <c r="U959" s="0" t="s">
        <v>7099</v>
      </c>
      <c r="W959" s="0" t="s">
        <v>6868</v>
      </c>
      <c r="X959" s="0" t="s">
        <v>347</v>
      </c>
      <c r="Y959" s="0" t="s">
        <v>42</v>
      </c>
      <c r="Z959" s="0" t="s">
        <v>2384</v>
      </c>
      <c r="AA959" s="0" t="s">
        <v>120</v>
      </c>
      <c r="AB959" s="0" t="s">
        <v>531</v>
      </c>
      <c r="AC959" s="0" t="s">
        <v>532</v>
      </c>
      <c r="AD959" s="0" t="s">
        <v>6869</v>
      </c>
      <c r="AE959" s="0" t="s">
        <v>6870</v>
      </c>
      <c r="AF959" s="0" t="s">
        <v>301</v>
      </c>
      <c r="AP959" s="0" t="s">
        <v>305</v>
      </c>
      <c r="BA959" s="0">
        <v>532</v>
      </c>
      <c r="BB959" s="0" t="s">
        <v>232</v>
      </c>
      <c r="BC959" s="0">
        <v>2</v>
      </c>
      <c r="BD959" s="0">
        <v>374053</v>
      </c>
      <c r="BE959" s="0">
        <v>70560</v>
      </c>
      <c r="BF959" s="0">
        <v>4</v>
      </c>
      <c r="BG959" s="0" t="s">
        <v>7100</v>
      </c>
      <c r="BI959" s="0">
        <v>5018</v>
      </c>
      <c r="BK959" s="0" t="s">
        <v>7101</v>
      </c>
    </row>
    <row r="960">
      <c r="A960" s="0">
        <v>5715</v>
      </c>
      <c r="B960" s="0" t="s">
        <v>7102</v>
      </c>
      <c r="C960" s="0" t="s">
        <v>290</v>
      </c>
      <c r="D960" s="0" t="s">
        <v>6863</v>
      </c>
      <c r="E960" s="0" t="s">
        <v>7103</v>
      </c>
      <c r="F960" s="0">
        <v>1</v>
      </c>
      <c r="G960" s="0" t="s">
        <v>293</v>
      </c>
      <c r="H960" s="0" t="s">
        <v>294</v>
      </c>
      <c r="I960" s="0" t="s">
        <v>295</v>
      </c>
      <c r="P960" s="0" t="s">
        <v>343</v>
      </c>
      <c r="Q960" s="0" t="s">
        <v>343</v>
      </c>
      <c r="R960" s="0" t="s">
        <v>343</v>
      </c>
      <c r="T960" s="0" t="s">
        <v>7104</v>
      </c>
      <c r="U960" s="0" t="s">
        <v>7105</v>
      </c>
      <c r="W960" s="0" t="s">
        <v>6868</v>
      </c>
      <c r="X960" s="0" t="s">
        <v>347</v>
      </c>
      <c r="Y960" s="0" t="s">
        <v>42</v>
      </c>
      <c r="Z960" s="0" t="s">
        <v>2384</v>
      </c>
      <c r="AA960" s="0" t="s">
        <v>120</v>
      </c>
      <c r="AB960" s="0" t="s">
        <v>531</v>
      </c>
      <c r="AC960" s="0" t="s">
        <v>532</v>
      </c>
      <c r="AD960" s="0" t="s">
        <v>6869</v>
      </c>
      <c r="AE960" s="0" t="s">
        <v>6870</v>
      </c>
      <c r="AF960" s="0" t="s">
        <v>301</v>
      </c>
      <c r="AP960" s="0" t="s">
        <v>305</v>
      </c>
      <c r="BA960" s="0">
        <v>532</v>
      </c>
      <c r="BB960" s="0" t="s">
        <v>232</v>
      </c>
      <c r="BC960" s="0">
        <v>2</v>
      </c>
      <c r="BD960" s="0">
        <v>374053</v>
      </c>
      <c r="BE960" s="0">
        <v>70560</v>
      </c>
      <c r="BF960" s="0">
        <v>4</v>
      </c>
      <c r="BG960" s="0" t="s">
        <v>7106</v>
      </c>
      <c r="BI960" s="0">
        <v>5008</v>
      </c>
      <c r="BK960" s="0" t="s">
        <v>7107</v>
      </c>
    </row>
    <row r="961">
      <c r="A961" s="0">
        <v>5700</v>
      </c>
      <c r="B961" s="0" t="s">
        <v>7108</v>
      </c>
      <c r="C961" s="0" t="s">
        <v>315</v>
      </c>
      <c r="D961" s="0" t="s">
        <v>6863</v>
      </c>
      <c r="E961" s="0" t="s">
        <v>7109</v>
      </c>
      <c r="F961" s="0">
        <v>4</v>
      </c>
      <c r="G961" s="0" t="s">
        <v>319</v>
      </c>
      <c r="H961" s="0" t="s">
        <v>483</v>
      </c>
      <c r="I961" s="0" t="s">
        <v>659</v>
      </c>
      <c r="J961" s="0" t="s">
        <v>508</v>
      </c>
      <c r="K961" s="0" t="s">
        <v>1190</v>
      </c>
      <c r="L961" s="0" t="s">
        <v>660</v>
      </c>
      <c r="M961" s="0" t="s">
        <v>293</v>
      </c>
      <c r="N961" s="0" t="s">
        <v>294</v>
      </c>
      <c r="O961" s="0" t="s">
        <v>295</v>
      </c>
      <c r="P961" s="0" t="s">
        <v>323</v>
      </c>
      <c r="Q961" s="0" t="s">
        <v>343</v>
      </c>
      <c r="R961" s="0" t="s">
        <v>2103</v>
      </c>
      <c r="T961" s="0" t="s">
        <v>7110</v>
      </c>
      <c r="U961" s="0" t="s">
        <v>7111</v>
      </c>
      <c r="W961" s="0" t="s">
        <v>6868</v>
      </c>
      <c r="X961" s="0" t="s">
        <v>347</v>
      </c>
      <c r="Y961" s="0" t="s">
        <v>42</v>
      </c>
      <c r="Z961" s="0" t="s">
        <v>2384</v>
      </c>
      <c r="AA961" s="0" t="s">
        <v>120</v>
      </c>
      <c r="AB961" s="0" t="s">
        <v>531</v>
      </c>
      <c r="AC961" s="0" t="s">
        <v>532</v>
      </c>
      <c r="AD961" s="0" t="s">
        <v>6869</v>
      </c>
      <c r="AE961" s="0" t="s">
        <v>6870</v>
      </c>
      <c r="AF961" s="0" t="s">
        <v>301</v>
      </c>
      <c r="AP961" s="0" t="s">
        <v>305</v>
      </c>
      <c r="BA961" s="0">
        <v>532</v>
      </c>
      <c r="BB961" s="0" t="s">
        <v>232</v>
      </c>
      <c r="BC961" s="0">
        <v>2</v>
      </c>
      <c r="BD961" s="0">
        <v>374043</v>
      </c>
      <c r="BE961" s="0">
        <v>70560</v>
      </c>
      <c r="BF961" s="0">
        <v>4</v>
      </c>
      <c r="BG961" s="0" t="s">
        <v>7112</v>
      </c>
      <c r="BI961" s="0">
        <v>4898</v>
      </c>
      <c r="BK961" s="0" t="s">
        <v>7113</v>
      </c>
    </row>
    <row r="962">
      <c r="A962" s="0">
        <v>5699</v>
      </c>
      <c r="B962" s="0" t="s">
        <v>7114</v>
      </c>
      <c r="C962" s="0" t="s">
        <v>315</v>
      </c>
      <c r="D962" s="0" t="s">
        <v>6863</v>
      </c>
      <c r="E962" s="0" t="s">
        <v>7115</v>
      </c>
      <c r="F962" s="0">
        <v>4</v>
      </c>
      <c r="G962" s="0" t="s">
        <v>319</v>
      </c>
      <c r="H962" s="0" t="s">
        <v>483</v>
      </c>
      <c r="I962" s="0" t="s">
        <v>7116</v>
      </c>
      <c r="J962" s="0" t="s">
        <v>508</v>
      </c>
      <c r="K962" s="0" t="s">
        <v>1190</v>
      </c>
      <c r="L962" s="0" t="s">
        <v>469</v>
      </c>
      <c r="M962" s="0" t="s">
        <v>293</v>
      </c>
      <c r="N962" s="0" t="s">
        <v>294</v>
      </c>
      <c r="O962" s="0" t="s">
        <v>295</v>
      </c>
      <c r="P962" s="0" t="s">
        <v>323</v>
      </c>
      <c r="Q962" s="0" t="s">
        <v>343</v>
      </c>
      <c r="R962" s="0" t="s">
        <v>419</v>
      </c>
      <c r="T962" s="0" t="s">
        <v>7117</v>
      </c>
      <c r="U962" s="0" t="s">
        <v>7118</v>
      </c>
      <c r="W962" s="0" t="s">
        <v>6868</v>
      </c>
      <c r="X962" s="0" t="s">
        <v>347</v>
      </c>
      <c r="Y962" s="0" t="s">
        <v>42</v>
      </c>
      <c r="Z962" s="0" t="s">
        <v>2384</v>
      </c>
      <c r="AA962" s="0" t="s">
        <v>120</v>
      </c>
      <c r="AB962" s="0" t="s">
        <v>531</v>
      </c>
      <c r="AC962" s="0" t="s">
        <v>532</v>
      </c>
      <c r="AD962" s="0" t="s">
        <v>6869</v>
      </c>
      <c r="AE962" s="0" t="s">
        <v>6870</v>
      </c>
      <c r="AF962" s="0" t="s">
        <v>301</v>
      </c>
      <c r="AP962" s="0" t="s">
        <v>305</v>
      </c>
      <c r="BA962" s="0">
        <v>532</v>
      </c>
      <c r="BB962" s="0" t="s">
        <v>232</v>
      </c>
      <c r="BC962" s="0">
        <v>2</v>
      </c>
      <c r="BD962" s="0">
        <v>374043</v>
      </c>
      <c r="BE962" s="0">
        <v>70560</v>
      </c>
      <c r="BF962" s="0">
        <v>4</v>
      </c>
      <c r="BG962" s="0" t="s">
        <v>7119</v>
      </c>
      <c r="BI962" s="0">
        <v>4881</v>
      </c>
      <c r="BK962" s="0" t="s">
        <v>7120</v>
      </c>
    </row>
    <row r="963">
      <c r="A963" s="0">
        <v>5698</v>
      </c>
      <c r="B963" s="0" t="s">
        <v>7121</v>
      </c>
      <c r="C963" s="0" t="s">
        <v>315</v>
      </c>
      <c r="D963" s="0" t="s">
        <v>6863</v>
      </c>
      <c r="E963" s="0" t="s">
        <v>7122</v>
      </c>
      <c r="F963" s="0">
        <v>4</v>
      </c>
      <c r="G963" s="0" t="s">
        <v>319</v>
      </c>
      <c r="H963" s="0" t="s">
        <v>483</v>
      </c>
      <c r="I963" s="0" t="s">
        <v>7123</v>
      </c>
      <c r="J963" s="0" t="s">
        <v>508</v>
      </c>
      <c r="K963" s="0" t="s">
        <v>1190</v>
      </c>
      <c r="L963" s="0" t="s">
        <v>469</v>
      </c>
      <c r="M963" s="0" t="s">
        <v>293</v>
      </c>
      <c r="N963" s="0" t="s">
        <v>294</v>
      </c>
      <c r="O963" s="0" t="s">
        <v>295</v>
      </c>
      <c r="P963" s="0" t="s">
        <v>323</v>
      </c>
      <c r="Q963" s="0" t="s">
        <v>343</v>
      </c>
      <c r="R963" s="0" t="s">
        <v>419</v>
      </c>
      <c r="T963" s="0" t="s">
        <v>7117</v>
      </c>
      <c r="U963" s="0" t="s">
        <v>7124</v>
      </c>
      <c r="W963" s="0" t="s">
        <v>6868</v>
      </c>
      <c r="X963" s="0" t="s">
        <v>347</v>
      </c>
      <c r="Y963" s="0" t="s">
        <v>42</v>
      </c>
      <c r="Z963" s="0" t="s">
        <v>2384</v>
      </c>
      <c r="AA963" s="0" t="s">
        <v>120</v>
      </c>
      <c r="AB963" s="0" t="s">
        <v>531</v>
      </c>
      <c r="AC963" s="0" t="s">
        <v>532</v>
      </c>
      <c r="AD963" s="0" t="s">
        <v>6869</v>
      </c>
      <c r="AE963" s="0" t="s">
        <v>6870</v>
      </c>
      <c r="AF963" s="0" t="s">
        <v>301</v>
      </c>
      <c r="AP963" s="0" t="s">
        <v>305</v>
      </c>
      <c r="BA963" s="0">
        <v>532</v>
      </c>
      <c r="BB963" s="0" t="s">
        <v>232</v>
      </c>
      <c r="BC963" s="0">
        <v>2</v>
      </c>
      <c r="BD963" s="0">
        <v>374043</v>
      </c>
      <c r="BE963" s="0">
        <v>70560</v>
      </c>
      <c r="BF963" s="0">
        <v>4</v>
      </c>
      <c r="BG963" s="0" t="s">
        <v>7125</v>
      </c>
      <c r="BI963" s="0">
        <v>4863</v>
      </c>
      <c r="BK963" s="0" t="s">
        <v>7126</v>
      </c>
    </row>
    <row r="964">
      <c r="A964" s="0">
        <v>5665</v>
      </c>
      <c r="B964" s="0" t="s">
        <v>7127</v>
      </c>
      <c r="C964" s="0" t="s">
        <v>945</v>
      </c>
      <c r="D964" s="0" t="s">
        <v>6863</v>
      </c>
      <c r="E964" s="0" t="s">
        <v>7128</v>
      </c>
      <c r="F964" s="0">
        <v>2</v>
      </c>
      <c r="G964" s="0" t="s">
        <v>555</v>
      </c>
      <c r="H964" s="0" t="s">
        <v>593</v>
      </c>
      <c r="I964" s="0" t="s">
        <v>7129</v>
      </c>
      <c r="J964" s="0" t="s">
        <v>508</v>
      </c>
      <c r="K964" s="0" t="s">
        <v>1190</v>
      </c>
      <c r="L964" s="0" t="s">
        <v>7129</v>
      </c>
      <c r="M964" s="0" t="s">
        <v>400</v>
      </c>
      <c r="N964" s="0" t="s">
        <v>1190</v>
      </c>
      <c r="O964" s="0" t="s">
        <v>469</v>
      </c>
      <c r="P964" s="0" t="s">
        <v>323</v>
      </c>
      <c r="Q964" s="0" t="s">
        <v>323</v>
      </c>
      <c r="R964" s="0" t="s">
        <v>2034</v>
      </c>
      <c r="T964" s="0" t="s">
        <v>7130</v>
      </c>
      <c r="U964" s="0" t="s">
        <v>7131</v>
      </c>
      <c r="W964" s="0" t="s">
        <v>6868</v>
      </c>
      <c r="X964" s="0" t="s">
        <v>347</v>
      </c>
      <c r="Y964" s="0" t="s">
        <v>42</v>
      </c>
      <c r="Z964" s="0" t="s">
        <v>2384</v>
      </c>
      <c r="AA964" s="0" t="s">
        <v>120</v>
      </c>
      <c r="AB964" s="0" t="s">
        <v>531</v>
      </c>
      <c r="AC964" s="0" t="s">
        <v>532</v>
      </c>
      <c r="AD964" s="0" t="s">
        <v>6869</v>
      </c>
      <c r="AE964" s="0" t="s">
        <v>6870</v>
      </c>
      <c r="AF964" s="0" t="s">
        <v>301</v>
      </c>
      <c r="AM964" s="0" t="s">
        <v>352</v>
      </c>
      <c r="AN964" s="0" t="s">
        <v>2726</v>
      </c>
      <c r="AO964" s="0" t="s">
        <v>651</v>
      </c>
      <c r="AP964" s="0" t="s">
        <v>305</v>
      </c>
      <c r="AQ964" s="0" t="s">
        <v>1149</v>
      </c>
      <c r="AR964" s="0" t="s">
        <v>1012</v>
      </c>
      <c r="AS964" s="0">
        <v>123</v>
      </c>
      <c r="AT964" s="0">
        <v>256</v>
      </c>
      <c r="AU964" s="0">
        <v>309</v>
      </c>
      <c r="AV964" s="0" t="s">
        <v>332</v>
      </c>
      <c r="AX964" s="0" t="s">
        <v>912</v>
      </c>
      <c r="AY964" s="0" t="s">
        <v>426</v>
      </c>
      <c r="AZ964" s="0" t="s">
        <v>500</v>
      </c>
      <c r="BA964" s="0">
        <v>532</v>
      </c>
      <c r="BB964" s="0" t="s">
        <v>232</v>
      </c>
      <c r="BC964" s="0">
        <v>2</v>
      </c>
      <c r="BD964" s="0">
        <v>14</v>
      </c>
      <c r="BE964" s="0">
        <v>70560</v>
      </c>
      <c r="BF964" s="0">
        <v>4</v>
      </c>
      <c r="BG964" s="0" t="s">
        <v>7132</v>
      </c>
      <c r="BI964" s="0">
        <v>2396</v>
      </c>
      <c r="BK964" s="0" t="s">
        <v>7133</v>
      </c>
    </row>
    <row r="965">
      <c r="A965" s="0">
        <v>5664</v>
      </c>
      <c r="B965" s="0" t="s">
        <v>7134</v>
      </c>
      <c r="C965" s="0" t="s">
        <v>945</v>
      </c>
      <c r="D965" s="0" t="s">
        <v>6863</v>
      </c>
      <c r="E965" s="0" t="s">
        <v>7135</v>
      </c>
      <c r="F965" s="0">
        <v>2</v>
      </c>
      <c r="G965" s="0" t="s">
        <v>555</v>
      </c>
      <c r="H965" s="0" t="s">
        <v>593</v>
      </c>
      <c r="I965" s="0" t="s">
        <v>549</v>
      </c>
      <c r="J965" s="0" t="s">
        <v>508</v>
      </c>
      <c r="K965" s="0" t="s">
        <v>1190</v>
      </c>
      <c r="L965" s="0" t="s">
        <v>549</v>
      </c>
      <c r="M965" s="0" t="s">
        <v>400</v>
      </c>
      <c r="N965" s="0" t="s">
        <v>1190</v>
      </c>
      <c r="O965" s="0" t="s">
        <v>469</v>
      </c>
      <c r="P965" s="0" t="s">
        <v>323</v>
      </c>
      <c r="Q965" s="0" t="s">
        <v>323</v>
      </c>
      <c r="R965" s="0" t="s">
        <v>2034</v>
      </c>
      <c r="T965" s="0" t="s">
        <v>7136</v>
      </c>
      <c r="U965" s="0" t="s">
        <v>7137</v>
      </c>
      <c r="W965" s="0" t="s">
        <v>6868</v>
      </c>
      <c r="X965" s="0" t="s">
        <v>347</v>
      </c>
      <c r="Y965" s="0" t="s">
        <v>42</v>
      </c>
      <c r="Z965" s="0" t="s">
        <v>2384</v>
      </c>
      <c r="AA965" s="0" t="s">
        <v>120</v>
      </c>
      <c r="AB965" s="0" t="s">
        <v>531</v>
      </c>
      <c r="AC965" s="0" t="s">
        <v>532</v>
      </c>
      <c r="AD965" s="0" t="s">
        <v>6869</v>
      </c>
      <c r="AE965" s="0" t="s">
        <v>6870</v>
      </c>
      <c r="AF965" s="0" t="s">
        <v>301</v>
      </c>
      <c r="AM965" s="0" t="s">
        <v>352</v>
      </c>
      <c r="AN965" s="0" t="s">
        <v>2726</v>
      </c>
      <c r="AO965" s="0" t="s">
        <v>651</v>
      </c>
      <c r="AP965" s="0" t="s">
        <v>305</v>
      </c>
      <c r="AQ965" s="0" t="s">
        <v>1149</v>
      </c>
      <c r="AR965" s="0" t="s">
        <v>1012</v>
      </c>
      <c r="AS965" s="0">
        <v>123</v>
      </c>
      <c r="AT965" s="0">
        <v>256</v>
      </c>
      <c r="AU965" s="0">
        <v>309</v>
      </c>
      <c r="AV965" s="0" t="s">
        <v>332</v>
      </c>
      <c r="AX965" s="0" t="s">
        <v>912</v>
      </c>
      <c r="AY965" s="0" t="s">
        <v>426</v>
      </c>
      <c r="AZ965" s="0" t="s">
        <v>500</v>
      </c>
      <c r="BA965" s="0">
        <v>532</v>
      </c>
      <c r="BB965" s="0" t="s">
        <v>232</v>
      </c>
      <c r="BC965" s="0">
        <v>2</v>
      </c>
      <c r="BD965" s="0">
        <v>14</v>
      </c>
      <c r="BE965" s="0">
        <v>70560</v>
      </c>
      <c r="BF965" s="0">
        <v>4</v>
      </c>
      <c r="BG965" s="0" t="s">
        <v>7138</v>
      </c>
      <c r="BI965" s="0">
        <v>2185</v>
      </c>
      <c r="BK965" s="0" t="s">
        <v>7139</v>
      </c>
    </row>
    <row r="966">
      <c r="A966" s="0">
        <v>5663</v>
      </c>
      <c r="B966" s="0" t="s">
        <v>7140</v>
      </c>
      <c r="C966" s="0" t="s">
        <v>945</v>
      </c>
      <c r="D966" s="0" t="s">
        <v>6863</v>
      </c>
      <c r="E966" s="0" t="s">
        <v>7141</v>
      </c>
      <c r="F966" s="0">
        <v>2</v>
      </c>
      <c r="G966" s="0" t="s">
        <v>555</v>
      </c>
      <c r="H966" s="0" t="s">
        <v>593</v>
      </c>
      <c r="I966" s="0" t="s">
        <v>1204</v>
      </c>
      <c r="J966" s="0" t="s">
        <v>508</v>
      </c>
      <c r="K966" s="0" t="s">
        <v>1190</v>
      </c>
      <c r="L966" s="0" t="s">
        <v>1204</v>
      </c>
      <c r="M966" s="0" t="s">
        <v>400</v>
      </c>
      <c r="N966" s="0" t="s">
        <v>1190</v>
      </c>
      <c r="O966" s="0" t="s">
        <v>469</v>
      </c>
      <c r="P966" s="0" t="s">
        <v>323</v>
      </c>
      <c r="Q966" s="0" t="s">
        <v>323</v>
      </c>
      <c r="R966" s="0" t="s">
        <v>1021</v>
      </c>
      <c r="T966" s="0" t="s">
        <v>7136</v>
      </c>
      <c r="U966" s="0" t="s">
        <v>7142</v>
      </c>
      <c r="W966" s="0" t="s">
        <v>6868</v>
      </c>
      <c r="X966" s="0" t="s">
        <v>347</v>
      </c>
      <c r="Y966" s="0" t="s">
        <v>42</v>
      </c>
      <c r="Z966" s="0" t="s">
        <v>2384</v>
      </c>
      <c r="AA966" s="0" t="s">
        <v>120</v>
      </c>
      <c r="AB966" s="0" t="s">
        <v>531</v>
      </c>
      <c r="AC966" s="0" t="s">
        <v>532</v>
      </c>
      <c r="AD966" s="0" t="s">
        <v>6869</v>
      </c>
      <c r="AE966" s="0" t="s">
        <v>6870</v>
      </c>
      <c r="AF966" s="0" t="s">
        <v>301</v>
      </c>
      <c r="AM966" s="0" t="s">
        <v>352</v>
      </c>
      <c r="AN966" s="0" t="s">
        <v>2726</v>
      </c>
      <c r="AO966" s="0" t="s">
        <v>651</v>
      </c>
      <c r="AP966" s="0" t="s">
        <v>305</v>
      </c>
      <c r="AQ966" s="0" t="s">
        <v>1149</v>
      </c>
      <c r="AR966" s="0" t="s">
        <v>1012</v>
      </c>
      <c r="AS966" s="0">
        <v>123</v>
      </c>
      <c r="AT966" s="0">
        <v>256</v>
      </c>
      <c r="AU966" s="0">
        <v>309</v>
      </c>
      <c r="AV966" s="0" t="s">
        <v>332</v>
      </c>
      <c r="AX966" s="0" t="s">
        <v>912</v>
      </c>
      <c r="AY966" s="0" t="s">
        <v>426</v>
      </c>
      <c r="AZ966" s="0" t="s">
        <v>500</v>
      </c>
      <c r="BA966" s="0">
        <v>532</v>
      </c>
      <c r="BB966" s="0" t="s">
        <v>232</v>
      </c>
      <c r="BC966" s="0">
        <v>2</v>
      </c>
      <c r="BD966" s="0">
        <v>14</v>
      </c>
      <c r="BE966" s="0">
        <v>70560</v>
      </c>
      <c r="BF966" s="0">
        <v>4</v>
      </c>
      <c r="BG966" s="0" t="s">
        <v>7143</v>
      </c>
      <c r="BI966" s="0">
        <v>1955</v>
      </c>
      <c r="BK966" s="0" t="s">
        <v>7144</v>
      </c>
    </row>
    <row r="967">
      <c r="A967" s="0">
        <v>5662</v>
      </c>
      <c r="B967" s="0" t="s">
        <v>7145</v>
      </c>
      <c r="C967" s="0" t="s">
        <v>945</v>
      </c>
      <c r="D967" s="0" t="s">
        <v>6863</v>
      </c>
      <c r="E967" s="0" t="s">
        <v>7146</v>
      </c>
      <c r="F967" s="0">
        <v>2</v>
      </c>
      <c r="G967" s="0" t="s">
        <v>555</v>
      </c>
      <c r="H967" s="0" t="s">
        <v>593</v>
      </c>
      <c r="I967" s="0" t="s">
        <v>1189</v>
      </c>
      <c r="J967" s="0" t="s">
        <v>508</v>
      </c>
      <c r="K967" s="0" t="s">
        <v>1190</v>
      </c>
      <c r="L967" s="0" t="s">
        <v>1189</v>
      </c>
      <c r="M967" s="0" t="s">
        <v>400</v>
      </c>
      <c r="N967" s="0" t="s">
        <v>1190</v>
      </c>
      <c r="O967" s="0" t="s">
        <v>469</v>
      </c>
      <c r="P967" s="0" t="s">
        <v>323</v>
      </c>
      <c r="Q967" s="0" t="s">
        <v>323</v>
      </c>
      <c r="R967" s="0" t="s">
        <v>1189</v>
      </c>
      <c r="T967" s="0" t="s">
        <v>7147</v>
      </c>
      <c r="U967" s="0" t="s">
        <v>7148</v>
      </c>
      <c r="W967" s="0" t="s">
        <v>6868</v>
      </c>
      <c r="X967" s="0" t="s">
        <v>347</v>
      </c>
      <c r="Y967" s="0" t="s">
        <v>42</v>
      </c>
      <c r="Z967" s="0" t="s">
        <v>2384</v>
      </c>
      <c r="AA967" s="0" t="s">
        <v>120</v>
      </c>
      <c r="AB967" s="0" t="s">
        <v>531</v>
      </c>
      <c r="AC967" s="0" t="s">
        <v>532</v>
      </c>
      <c r="AD967" s="0" t="s">
        <v>6869</v>
      </c>
      <c r="AE967" s="0" t="s">
        <v>6870</v>
      </c>
      <c r="AF967" s="0" t="s">
        <v>301</v>
      </c>
      <c r="AM967" s="0" t="s">
        <v>352</v>
      </c>
      <c r="AN967" s="0" t="s">
        <v>2726</v>
      </c>
      <c r="AO967" s="0" t="s">
        <v>651</v>
      </c>
      <c r="AP967" s="0" t="s">
        <v>305</v>
      </c>
      <c r="AQ967" s="0" t="s">
        <v>1149</v>
      </c>
      <c r="AR967" s="0" t="s">
        <v>1012</v>
      </c>
      <c r="AS967" s="0">
        <v>123</v>
      </c>
      <c r="AT967" s="0">
        <v>256</v>
      </c>
      <c r="AU967" s="0">
        <v>309</v>
      </c>
      <c r="AV967" s="0" t="s">
        <v>332</v>
      </c>
      <c r="AX967" s="0" t="s">
        <v>912</v>
      </c>
      <c r="AY967" s="0" t="s">
        <v>426</v>
      </c>
      <c r="AZ967" s="0" t="s">
        <v>500</v>
      </c>
      <c r="BA967" s="0">
        <v>532</v>
      </c>
      <c r="BB967" s="0" t="s">
        <v>232</v>
      </c>
      <c r="BC967" s="0">
        <v>2</v>
      </c>
      <c r="BD967" s="0">
        <v>14</v>
      </c>
      <c r="BE967" s="0">
        <v>70560</v>
      </c>
      <c r="BF967" s="0">
        <v>4</v>
      </c>
      <c r="BG967" s="0" t="s">
        <v>7149</v>
      </c>
      <c r="BI967" s="0">
        <v>1712</v>
      </c>
      <c r="BK967" s="0" t="s">
        <v>7150</v>
      </c>
    </row>
    <row r="968">
      <c r="A968" s="0">
        <v>5660</v>
      </c>
      <c r="B968" s="0" t="s">
        <v>7151</v>
      </c>
      <c r="C968" s="0" t="s">
        <v>945</v>
      </c>
      <c r="D968" s="0" t="s">
        <v>6863</v>
      </c>
      <c r="E968" s="0" t="s">
        <v>7152</v>
      </c>
      <c r="F968" s="0">
        <v>1</v>
      </c>
      <c r="G968" s="0" t="s">
        <v>555</v>
      </c>
      <c r="H968" s="0" t="s">
        <v>593</v>
      </c>
      <c r="I968" s="0" t="s">
        <v>549</v>
      </c>
      <c r="J968" s="0" t="s">
        <v>508</v>
      </c>
      <c r="K968" s="0" t="s">
        <v>1190</v>
      </c>
      <c r="L968" s="0" t="s">
        <v>549</v>
      </c>
      <c r="M968" s="0" t="s">
        <v>400</v>
      </c>
      <c r="N968" s="0" t="s">
        <v>1190</v>
      </c>
      <c r="O968" s="0" t="s">
        <v>469</v>
      </c>
      <c r="P968" s="0" t="s">
        <v>323</v>
      </c>
      <c r="Q968" s="0" t="s">
        <v>323</v>
      </c>
      <c r="R968" s="0" t="s">
        <v>2034</v>
      </c>
      <c r="T968" s="0" t="s">
        <v>7153</v>
      </c>
      <c r="U968" s="0" t="s">
        <v>7154</v>
      </c>
      <c r="W968" s="0" t="s">
        <v>6868</v>
      </c>
      <c r="X968" s="0" t="s">
        <v>347</v>
      </c>
      <c r="Y968" s="0" t="s">
        <v>42</v>
      </c>
      <c r="Z968" s="0" t="s">
        <v>2384</v>
      </c>
      <c r="AA968" s="0" t="s">
        <v>120</v>
      </c>
      <c r="AB968" s="0" t="s">
        <v>531</v>
      </c>
      <c r="AC968" s="0" t="s">
        <v>532</v>
      </c>
      <c r="AD968" s="0" t="s">
        <v>6869</v>
      </c>
      <c r="AE968" s="0" t="s">
        <v>6870</v>
      </c>
      <c r="AF968" s="0" t="s">
        <v>301</v>
      </c>
      <c r="AM968" s="0" t="s">
        <v>7155</v>
      </c>
      <c r="AN968" s="0" t="s">
        <v>7156</v>
      </c>
      <c r="AO968" s="0" t="s">
        <v>7157</v>
      </c>
      <c r="AP968" s="0" t="s">
        <v>305</v>
      </c>
      <c r="AQ968" s="0" t="s">
        <v>7158</v>
      </c>
      <c r="AR968" s="0" t="s">
        <v>7159</v>
      </c>
      <c r="AS968" s="0">
        <v>35</v>
      </c>
      <c r="AT968" s="0">
        <v>30</v>
      </c>
      <c r="AU968" s="0">
        <v>14</v>
      </c>
      <c r="AV968" s="0" t="s">
        <v>332</v>
      </c>
      <c r="AW968" s="0" t="s">
        <v>977</v>
      </c>
      <c r="AX968" s="0" t="s">
        <v>7160</v>
      </c>
      <c r="AY968" s="0" t="s">
        <v>7161</v>
      </c>
      <c r="AZ968" s="0" t="s">
        <v>7162</v>
      </c>
      <c r="BA968" s="0">
        <v>532</v>
      </c>
      <c r="BB968" s="0" t="s">
        <v>232</v>
      </c>
      <c r="BC968" s="0">
        <v>2</v>
      </c>
      <c r="BD968" s="0">
        <v>14</v>
      </c>
      <c r="BE968" s="0">
        <v>70560</v>
      </c>
      <c r="BF968" s="0">
        <v>4</v>
      </c>
      <c r="BG968" s="0" t="s">
        <v>7163</v>
      </c>
      <c r="BI968" s="0">
        <v>1143</v>
      </c>
      <c r="BK968" s="0" t="s">
        <v>7164</v>
      </c>
    </row>
    <row r="969">
      <c r="A969" s="0">
        <v>5661</v>
      </c>
      <c r="B969" s="0" t="s">
        <v>7165</v>
      </c>
      <c r="C969" s="0" t="s">
        <v>945</v>
      </c>
      <c r="D969" s="0" t="s">
        <v>6863</v>
      </c>
      <c r="E969" s="0" t="s">
        <v>7166</v>
      </c>
      <c r="F969" s="0">
        <v>1</v>
      </c>
      <c r="G969" s="0" t="s">
        <v>555</v>
      </c>
      <c r="H969" s="0" t="s">
        <v>593</v>
      </c>
      <c r="I969" s="0" t="s">
        <v>7129</v>
      </c>
      <c r="J969" s="0" t="s">
        <v>508</v>
      </c>
      <c r="K969" s="0" t="s">
        <v>1190</v>
      </c>
      <c r="L969" s="0" t="s">
        <v>7129</v>
      </c>
      <c r="M969" s="0" t="s">
        <v>400</v>
      </c>
      <c r="N969" s="0" t="s">
        <v>1190</v>
      </c>
      <c r="O969" s="0" t="s">
        <v>469</v>
      </c>
      <c r="P969" s="0" t="s">
        <v>323</v>
      </c>
      <c r="Q969" s="0" t="s">
        <v>323</v>
      </c>
      <c r="R969" s="0" t="s">
        <v>2034</v>
      </c>
      <c r="T969" s="0" t="s">
        <v>7153</v>
      </c>
      <c r="U969" s="0" t="s">
        <v>7167</v>
      </c>
      <c r="W969" s="0" t="s">
        <v>6868</v>
      </c>
      <c r="X969" s="0" t="s">
        <v>347</v>
      </c>
      <c r="Y969" s="0" t="s">
        <v>42</v>
      </c>
      <c r="Z969" s="0" t="s">
        <v>2384</v>
      </c>
      <c r="AA969" s="0" t="s">
        <v>120</v>
      </c>
      <c r="AB969" s="0" t="s">
        <v>531</v>
      </c>
      <c r="AC969" s="0" t="s">
        <v>532</v>
      </c>
      <c r="AD969" s="0" t="s">
        <v>6869</v>
      </c>
      <c r="AE969" s="0" t="s">
        <v>6870</v>
      </c>
      <c r="AF969" s="0" t="s">
        <v>301</v>
      </c>
      <c r="AM969" s="0" t="s">
        <v>7155</v>
      </c>
      <c r="AN969" s="0" t="s">
        <v>7156</v>
      </c>
      <c r="AO969" s="0" t="s">
        <v>7157</v>
      </c>
      <c r="AP969" s="0" t="s">
        <v>305</v>
      </c>
      <c r="AQ969" s="0" t="s">
        <v>7158</v>
      </c>
      <c r="AR969" s="0" t="s">
        <v>7159</v>
      </c>
      <c r="AS969" s="0">
        <v>35</v>
      </c>
      <c r="AT969" s="0">
        <v>30</v>
      </c>
      <c r="AU969" s="0">
        <v>14</v>
      </c>
      <c r="AV969" s="0" t="s">
        <v>332</v>
      </c>
      <c r="AW969" s="0" t="s">
        <v>977</v>
      </c>
      <c r="AX969" s="0" t="s">
        <v>7160</v>
      </c>
      <c r="AY969" s="0" t="s">
        <v>7161</v>
      </c>
      <c r="AZ969" s="0" t="s">
        <v>7162</v>
      </c>
      <c r="BA969" s="0">
        <v>532</v>
      </c>
      <c r="BB969" s="0" t="s">
        <v>232</v>
      </c>
      <c r="BC969" s="0">
        <v>2</v>
      </c>
      <c r="BD969" s="0">
        <v>14</v>
      </c>
      <c r="BE969" s="0">
        <v>70560</v>
      </c>
      <c r="BF969" s="0">
        <v>4</v>
      </c>
      <c r="BG969" s="0" t="s">
        <v>7168</v>
      </c>
      <c r="BI969" s="0">
        <v>1447</v>
      </c>
      <c r="BK969" s="0" t="s">
        <v>7169</v>
      </c>
    </row>
    <row r="970">
      <c r="A970" s="0">
        <v>5659</v>
      </c>
      <c r="B970" s="0" t="s">
        <v>7170</v>
      </c>
      <c r="C970" s="0" t="s">
        <v>945</v>
      </c>
      <c r="D970" s="0" t="s">
        <v>6863</v>
      </c>
      <c r="E970" s="0" t="s">
        <v>7171</v>
      </c>
      <c r="F970" s="0">
        <v>1</v>
      </c>
      <c r="G970" s="0" t="s">
        <v>555</v>
      </c>
      <c r="H970" s="0" t="s">
        <v>593</v>
      </c>
      <c r="I970" s="0" t="s">
        <v>1204</v>
      </c>
      <c r="J970" s="0" t="s">
        <v>508</v>
      </c>
      <c r="K970" s="0" t="s">
        <v>1190</v>
      </c>
      <c r="L970" s="0" t="s">
        <v>1204</v>
      </c>
      <c r="M970" s="0" t="s">
        <v>400</v>
      </c>
      <c r="N970" s="0" t="s">
        <v>1190</v>
      </c>
      <c r="O970" s="0" t="s">
        <v>469</v>
      </c>
      <c r="P970" s="0" t="s">
        <v>323</v>
      </c>
      <c r="Q970" s="0" t="s">
        <v>323</v>
      </c>
      <c r="R970" s="0" t="s">
        <v>1021</v>
      </c>
      <c r="T970" s="0" t="s">
        <v>7172</v>
      </c>
      <c r="U970" s="0" t="s">
        <v>7173</v>
      </c>
      <c r="W970" s="0" t="s">
        <v>6868</v>
      </c>
      <c r="X970" s="0" t="s">
        <v>347</v>
      </c>
      <c r="Y970" s="0" t="s">
        <v>42</v>
      </c>
      <c r="Z970" s="0" t="s">
        <v>2384</v>
      </c>
      <c r="AA970" s="0" t="s">
        <v>120</v>
      </c>
      <c r="AB970" s="0" t="s">
        <v>531</v>
      </c>
      <c r="AC970" s="0" t="s">
        <v>532</v>
      </c>
      <c r="AD970" s="0" t="s">
        <v>6869</v>
      </c>
      <c r="AE970" s="0" t="s">
        <v>6870</v>
      </c>
      <c r="AF970" s="0" t="s">
        <v>301</v>
      </c>
      <c r="AM970" s="0" t="s">
        <v>7155</v>
      </c>
      <c r="AN970" s="0" t="s">
        <v>7156</v>
      </c>
      <c r="AO970" s="0" t="s">
        <v>7157</v>
      </c>
      <c r="AP970" s="0" t="s">
        <v>305</v>
      </c>
      <c r="AQ970" s="0" t="s">
        <v>7158</v>
      </c>
      <c r="AR970" s="0" t="s">
        <v>7159</v>
      </c>
      <c r="AS970" s="0">
        <v>35</v>
      </c>
      <c r="AT970" s="0">
        <v>30</v>
      </c>
      <c r="AU970" s="0">
        <v>14</v>
      </c>
      <c r="AV970" s="0" t="s">
        <v>332</v>
      </c>
      <c r="AW970" s="0" t="s">
        <v>977</v>
      </c>
      <c r="AX970" s="0" t="s">
        <v>7160</v>
      </c>
      <c r="AY970" s="0" t="s">
        <v>7161</v>
      </c>
      <c r="AZ970" s="0" t="s">
        <v>7162</v>
      </c>
      <c r="BA970" s="0">
        <v>532</v>
      </c>
      <c r="BB970" s="0" t="s">
        <v>232</v>
      </c>
      <c r="BC970" s="0">
        <v>2</v>
      </c>
      <c r="BD970" s="0">
        <v>14</v>
      </c>
      <c r="BE970" s="0">
        <v>70560</v>
      </c>
      <c r="BF970" s="0">
        <v>4</v>
      </c>
      <c r="BG970" s="0" t="s">
        <v>7174</v>
      </c>
      <c r="BI970" s="0">
        <v>814</v>
      </c>
      <c r="BK970" s="0" t="s">
        <v>7175</v>
      </c>
    </row>
    <row r="971">
      <c r="A971" s="0">
        <v>5658</v>
      </c>
      <c r="B971" s="0" t="s">
        <v>7176</v>
      </c>
      <c r="C971" s="0" t="s">
        <v>945</v>
      </c>
      <c r="D971" s="0" t="s">
        <v>6863</v>
      </c>
      <c r="E971" s="0" t="s">
        <v>7177</v>
      </c>
      <c r="F971" s="0">
        <v>1</v>
      </c>
      <c r="G971" s="0" t="s">
        <v>555</v>
      </c>
      <c r="H971" s="0" t="s">
        <v>593</v>
      </c>
      <c r="I971" s="0" t="s">
        <v>1189</v>
      </c>
      <c r="J971" s="0" t="s">
        <v>508</v>
      </c>
      <c r="K971" s="0" t="s">
        <v>1190</v>
      </c>
      <c r="L971" s="0" t="s">
        <v>1189</v>
      </c>
      <c r="M971" s="0" t="s">
        <v>400</v>
      </c>
      <c r="N971" s="0" t="s">
        <v>1190</v>
      </c>
      <c r="O971" s="0" t="s">
        <v>469</v>
      </c>
      <c r="P971" s="0" t="s">
        <v>323</v>
      </c>
      <c r="Q971" s="0" t="s">
        <v>323</v>
      </c>
      <c r="R971" s="0" t="s">
        <v>1189</v>
      </c>
      <c r="T971" s="0" t="s">
        <v>7172</v>
      </c>
      <c r="U971" s="0" t="s">
        <v>7178</v>
      </c>
      <c r="W971" s="0" t="s">
        <v>6868</v>
      </c>
      <c r="X971" s="0" t="s">
        <v>347</v>
      </c>
      <c r="Y971" s="0" t="s">
        <v>42</v>
      </c>
      <c r="Z971" s="0" t="s">
        <v>2384</v>
      </c>
      <c r="AA971" s="0" t="s">
        <v>120</v>
      </c>
      <c r="AB971" s="0" t="s">
        <v>531</v>
      </c>
      <c r="AC971" s="0" t="s">
        <v>532</v>
      </c>
      <c r="AD971" s="0" t="s">
        <v>6869</v>
      </c>
      <c r="AE971" s="0" t="s">
        <v>6870</v>
      </c>
      <c r="AF971" s="0" t="s">
        <v>301</v>
      </c>
      <c r="AM971" s="0" t="s">
        <v>7155</v>
      </c>
      <c r="AN971" s="0" t="s">
        <v>7156</v>
      </c>
      <c r="AO971" s="0" t="s">
        <v>7157</v>
      </c>
      <c r="AP971" s="0" t="s">
        <v>305</v>
      </c>
      <c r="AQ971" s="0" t="s">
        <v>7158</v>
      </c>
      <c r="AR971" s="0" t="s">
        <v>7159</v>
      </c>
      <c r="AS971" s="0">
        <v>35</v>
      </c>
      <c r="AT971" s="0">
        <v>30</v>
      </c>
      <c r="AU971" s="0">
        <v>14</v>
      </c>
      <c r="AV971" s="0" t="s">
        <v>332</v>
      </c>
      <c r="AW971" s="0" t="s">
        <v>977</v>
      </c>
      <c r="AX971" s="0" t="s">
        <v>7160</v>
      </c>
      <c r="AY971" s="0" t="s">
        <v>7161</v>
      </c>
      <c r="AZ971" s="0" t="s">
        <v>7162</v>
      </c>
      <c r="BA971" s="0">
        <v>532</v>
      </c>
      <c r="BB971" s="0" t="s">
        <v>232</v>
      </c>
      <c r="BC971" s="0">
        <v>2</v>
      </c>
      <c r="BD971" s="0">
        <v>14</v>
      </c>
      <c r="BE971" s="0">
        <v>70560</v>
      </c>
      <c r="BF971" s="0">
        <v>4</v>
      </c>
      <c r="BG971" s="0" t="s">
        <v>7179</v>
      </c>
      <c r="BI971" s="0">
        <v>419</v>
      </c>
      <c r="BK971" s="0" t="s">
        <v>7180</v>
      </c>
    </row>
    <row r="972">
      <c r="A972" s="0">
        <v>5678</v>
      </c>
      <c r="B972" s="0" t="s">
        <v>7181</v>
      </c>
      <c r="C972" s="0" t="s">
        <v>315</v>
      </c>
      <c r="D972" s="0" t="s">
        <v>6863</v>
      </c>
      <c r="E972" s="0" t="s">
        <v>7182</v>
      </c>
      <c r="F972" s="0">
        <v>2</v>
      </c>
      <c r="G972" s="0" t="s">
        <v>555</v>
      </c>
      <c r="H972" s="0" t="s">
        <v>1020</v>
      </c>
      <c r="I972" s="0" t="s">
        <v>549</v>
      </c>
      <c r="J972" s="0" t="s">
        <v>508</v>
      </c>
      <c r="K972" s="0" t="s">
        <v>1190</v>
      </c>
      <c r="L972" s="0" t="s">
        <v>549</v>
      </c>
      <c r="M972" s="0" t="s">
        <v>293</v>
      </c>
      <c r="N972" s="0" t="s">
        <v>294</v>
      </c>
      <c r="O972" s="0" t="s">
        <v>295</v>
      </c>
      <c r="P972" s="0" t="s">
        <v>323</v>
      </c>
      <c r="Q972" s="0" t="s">
        <v>323</v>
      </c>
      <c r="R972" s="0" t="s">
        <v>6990</v>
      </c>
      <c r="T972" s="0" t="s">
        <v>7183</v>
      </c>
      <c r="U972" s="0" t="s">
        <v>7184</v>
      </c>
      <c r="W972" s="0" t="s">
        <v>6868</v>
      </c>
      <c r="X972" s="0" t="s">
        <v>347</v>
      </c>
      <c r="Y972" s="0" t="s">
        <v>42</v>
      </c>
      <c r="Z972" s="0" t="s">
        <v>2384</v>
      </c>
      <c r="AA972" s="0" t="s">
        <v>120</v>
      </c>
      <c r="AB972" s="0" t="s">
        <v>531</v>
      </c>
      <c r="AC972" s="0" t="s">
        <v>532</v>
      </c>
      <c r="AD972" s="0" t="s">
        <v>6869</v>
      </c>
      <c r="AE972" s="0" t="s">
        <v>6870</v>
      </c>
      <c r="AF972" s="0" t="s">
        <v>301</v>
      </c>
      <c r="AP972" s="0" t="s">
        <v>305</v>
      </c>
      <c r="BA972" s="0">
        <v>532</v>
      </c>
      <c r="BB972" s="0" t="s">
        <v>232</v>
      </c>
      <c r="BC972" s="0">
        <v>2</v>
      </c>
      <c r="BD972" s="0">
        <v>374043</v>
      </c>
      <c r="BE972" s="0">
        <v>70560</v>
      </c>
      <c r="BF972" s="0">
        <v>4</v>
      </c>
      <c r="BG972" s="0" t="s">
        <v>7185</v>
      </c>
      <c r="BI972" s="0">
        <v>4091</v>
      </c>
      <c r="BK972" s="0" t="s">
        <v>7186</v>
      </c>
    </row>
    <row r="973">
      <c r="A973" s="0">
        <v>5680</v>
      </c>
      <c r="B973" s="0" t="s">
        <v>7187</v>
      </c>
      <c r="C973" s="0" t="s">
        <v>315</v>
      </c>
      <c r="D973" s="0" t="s">
        <v>6863</v>
      </c>
      <c r="E973" s="0" t="s">
        <v>7188</v>
      </c>
      <c r="F973" s="0">
        <v>2</v>
      </c>
      <c r="G973" s="0" t="s">
        <v>555</v>
      </c>
      <c r="H973" s="0" t="s">
        <v>1020</v>
      </c>
      <c r="I973" s="0" t="s">
        <v>469</v>
      </c>
      <c r="J973" s="0" t="s">
        <v>508</v>
      </c>
      <c r="K973" s="0" t="s">
        <v>1190</v>
      </c>
      <c r="L973" s="0" t="s">
        <v>469</v>
      </c>
      <c r="M973" s="0" t="s">
        <v>293</v>
      </c>
      <c r="N973" s="0" t="s">
        <v>294</v>
      </c>
      <c r="O973" s="0" t="s">
        <v>295</v>
      </c>
      <c r="P973" s="0" t="s">
        <v>323</v>
      </c>
      <c r="Q973" s="0" t="s">
        <v>323</v>
      </c>
      <c r="R973" s="0" t="s">
        <v>6990</v>
      </c>
      <c r="T973" s="0" t="s">
        <v>7189</v>
      </c>
      <c r="U973" s="0" t="s">
        <v>7190</v>
      </c>
      <c r="W973" s="0" t="s">
        <v>6868</v>
      </c>
      <c r="X973" s="0" t="s">
        <v>347</v>
      </c>
      <c r="Y973" s="0" t="s">
        <v>42</v>
      </c>
      <c r="Z973" s="0" t="s">
        <v>2384</v>
      </c>
      <c r="AA973" s="0" t="s">
        <v>120</v>
      </c>
      <c r="AB973" s="0" t="s">
        <v>531</v>
      </c>
      <c r="AC973" s="0" t="s">
        <v>532</v>
      </c>
      <c r="AD973" s="0" t="s">
        <v>6869</v>
      </c>
      <c r="AE973" s="0" t="s">
        <v>6870</v>
      </c>
      <c r="AF973" s="0" t="s">
        <v>301</v>
      </c>
      <c r="AP973" s="0" t="s">
        <v>305</v>
      </c>
      <c r="BA973" s="0">
        <v>532</v>
      </c>
      <c r="BB973" s="0" t="s">
        <v>232</v>
      </c>
      <c r="BC973" s="0">
        <v>2</v>
      </c>
      <c r="BD973" s="0">
        <v>374043</v>
      </c>
      <c r="BE973" s="0">
        <v>70560</v>
      </c>
      <c r="BF973" s="0">
        <v>4</v>
      </c>
      <c r="BG973" s="0" t="s">
        <v>7191</v>
      </c>
      <c r="BI973" s="0">
        <v>4230</v>
      </c>
      <c r="BK973" s="0" t="s">
        <v>7192</v>
      </c>
    </row>
    <row r="974">
      <c r="A974" s="0">
        <v>5677</v>
      </c>
      <c r="B974" s="0" t="s">
        <v>7193</v>
      </c>
      <c r="C974" s="0" t="s">
        <v>315</v>
      </c>
      <c r="D974" s="0" t="s">
        <v>6863</v>
      </c>
      <c r="E974" s="0" t="s">
        <v>7194</v>
      </c>
      <c r="F974" s="0">
        <v>3</v>
      </c>
      <c r="G974" s="0" t="s">
        <v>555</v>
      </c>
      <c r="H974" s="0" t="s">
        <v>1020</v>
      </c>
      <c r="I974" s="0" t="s">
        <v>1204</v>
      </c>
      <c r="J974" s="0" t="s">
        <v>508</v>
      </c>
      <c r="K974" s="0" t="s">
        <v>1190</v>
      </c>
      <c r="L974" s="0" t="s">
        <v>1204</v>
      </c>
      <c r="M974" s="0" t="s">
        <v>293</v>
      </c>
      <c r="N974" s="0" t="s">
        <v>294</v>
      </c>
      <c r="O974" s="0" t="s">
        <v>295</v>
      </c>
      <c r="P974" s="0" t="s">
        <v>323</v>
      </c>
      <c r="Q974" s="0" t="s">
        <v>323</v>
      </c>
      <c r="R974" s="0" t="s">
        <v>1204</v>
      </c>
      <c r="T974" s="0" t="s">
        <v>7195</v>
      </c>
      <c r="U974" s="0" t="s">
        <v>7196</v>
      </c>
      <c r="W974" s="0" t="s">
        <v>6868</v>
      </c>
      <c r="X974" s="0" t="s">
        <v>347</v>
      </c>
      <c r="Y974" s="0" t="s">
        <v>42</v>
      </c>
      <c r="Z974" s="0" t="s">
        <v>2384</v>
      </c>
      <c r="AA974" s="0" t="s">
        <v>120</v>
      </c>
      <c r="AB974" s="0" t="s">
        <v>531</v>
      </c>
      <c r="AC974" s="0" t="s">
        <v>532</v>
      </c>
      <c r="AD974" s="0" t="s">
        <v>6869</v>
      </c>
      <c r="AE974" s="0" t="s">
        <v>6870</v>
      </c>
      <c r="AF974" s="0" t="s">
        <v>301</v>
      </c>
      <c r="AP974" s="0" t="s">
        <v>305</v>
      </c>
      <c r="BA974" s="0">
        <v>532</v>
      </c>
      <c r="BB974" s="0" t="s">
        <v>232</v>
      </c>
      <c r="BC974" s="0">
        <v>2</v>
      </c>
      <c r="BD974" s="0">
        <v>374043</v>
      </c>
      <c r="BE974" s="0">
        <v>70560</v>
      </c>
      <c r="BF974" s="0">
        <v>4</v>
      </c>
      <c r="BG974" s="0" t="s">
        <v>7197</v>
      </c>
      <c r="BI974" s="0">
        <v>4008</v>
      </c>
      <c r="BK974" s="0" t="s">
        <v>7198</v>
      </c>
    </row>
    <row r="975">
      <c r="A975" s="0">
        <v>5679</v>
      </c>
      <c r="B975" s="0" t="s">
        <v>7199</v>
      </c>
      <c r="C975" s="0" t="s">
        <v>315</v>
      </c>
      <c r="D975" s="0" t="s">
        <v>6863</v>
      </c>
      <c r="E975" s="0" t="s">
        <v>7200</v>
      </c>
      <c r="F975" s="0">
        <v>2</v>
      </c>
      <c r="G975" s="0" t="s">
        <v>555</v>
      </c>
      <c r="H975" s="0" t="s">
        <v>1020</v>
      </c>
      <c r="I975" s="0" t="s">
        <v>2947</v>
      </c>
      <c r="J975" s="0" t="s">
        <v>508</v>
      </c>
      <c r="K975" s="0" t="s">
        <v>1190</v>
      </c>
      <c r="L975" s="0" t="s">
        <v>2947</v>
      </c>
      <c r="M975" s="0" t="s">
        <v>293</v>
      </c>
      <c r="N975" s="0" t="s">
        <v>294</v>
      </c>
      <c r="O975" s="0" t="s">
        <v>295</v>
      </c>
      <c r="P975" s="0" t="s">
        <v>323</v>
      </c>
      <c r="Q975" s="0" t="s">
        <v>323</v>
      </c>
      <c r="R975" s="0" t="s">
        <v>344</v>
      </c>
      <c r="T975" s="0" t="s">
        <v>7189</v>
      </c>
      <c r="U975" s="0" t="s">
        <v>7201</v>
      </c>
      <c r="W975" s="0" t="s">
        <v>6868</v>
      </c>
      <c r="X975" s="0" t="s">
        <v>347</v>
      </c>
      <c r="Y975" s="0" t="s">
        <v>42</v>
      </c>
      <c r="Z975" s="0" t="s">
        <v>2384</v>
      </c>
      <c r="AA975" s="0" t="s">
        <v>120</v>
      </c>
      <c r="AB975" s="0" t="s">
        <v>531</v>
      </c>
      <c r="AC975" s="0" t="s">
        <v>532</v>
      </c>
      <c r="AD975" s="0" t="s">
        <v>6869</v>
      </c>
      <c r="AE975" s="0" t="s">
        <v>6870</v>
      </c>
      <c r="AF975" s="0" t="s">
        <v>301</v>
      </c>
      <c r="AP975" s="0" t="s">
        <v>305</v>
      </c>
      <c r="BA975" s="0">
        <v>532</v>
      </c>
      <c r="BB975" s="0" t="s">
        <v>232</v>
      </c>
      <c r="BC975" s="0">
        <v>2</v>
      </c>
      <c r="BD975" s="0">
        <v>374043</v>
      </c>
      <c r="BE975" s="0">
        <v>70560</v>
      </c>
      <c r="BF975" s="0">
        <v>4</v>
      </c>
      <c r="BG975" s="0" t="s">
        <v>7202</v>
      </c>
      <c r="BI975" s="0">
        <v>4162</v>
      </c>
      <c r="BK975" s="0" t="s">
        <v>7203</v>
      </c>
    </row>
    <row r="976">
      <c r="A976" s="0">
        <v>5676</v>
      </c>
      <c r="B976" s="0" t="s">
        <v>7204</v>
      </c>
      <c r="C976" s="0" t="s">
        <v>315</v>
      </c>
      <c r="D976" s="0" t="s">
        <v>6863</v>
      </c>
      <c r="E976" s="0" t="s">
        <v>7205</v>
      </c>
      <c r="F976" s="0">
        <v>2</v>
      </c>
      <c r="G976" s="0" t="s">
        <v>555</v>
      </c>
      <c r="H976" s="0" t="s">
        <v>1020</v>
      </c>
      <c r="I976" s="0" t="s">
        <v>1189</v>
      </c>
      <c r="J976" s="0" t="s">
        <v>508</v>
      </c>
      <c r="K976" s="0" t="s">
        <v>1190</v>
      </c>
      <c r="L976" s="0" t="s">
        <v>1189</v>
      </c>
      <c r="M976" s="0" t="s">
        <v>293</v>
      </c>
      <c r="N976" s="0" t="s">
        <v>294</v>
      </c>
      <c r="O976" s="0" t="s">
        <v>295</v>
      </c>
      <c r="P976" s="0" t="s">
        <v>323</v>
      </c>
      <c r="Q976" s="0" t="s">
        <v>323</v>
      </c>
      <c r="R976" s="0" t="s">
        <v>1189</v>
      </c>
      <c r="T976" s="0" t="s">
        <v>7206</v>
      </c>
      <c r="U976" s="0" t="s">
        <v>7207</v>
      </c>
      <c r="W976" s="0" t="s">
        <v>6868</v>
      </c>
      <c r="X976" s="0" t="s">
        <v>347</v>
      </c>
      <c r="Y976" s="0" t="s">
        <v>42</v>
      </c>
      <c r="Z976" s="0" t="s">
        <v>2384</v>
      </c>
      <c r="AA976" s="0" t="s">
        <v>120</v>
      </c>
      <c r="AB976" s="0" t="s">
        <v>531</v>
      </c>
      <c r="AC976" s="0" t="s">
        <v>532</v>
      </c>
      <c r="AD976" s="0" t="s">
        <v>6869</v>
      </c>
      <c r="AE976" s="0" t="s">
        <v>6870</v>
      </c>
      <c r="AF976" s="0" t="s">
        <v>301</v>
      </c>
      <c r="AP976" s="0" t="s">
        <v>305</v>
      </c>
      <c r="BA976" s="0">
        <v>532</v>
      </c>
      <c r="BB976" s="0" t="s">
        <v>232</v>
      </c>
      <c r="BC976" s="0">
        <v>2</v>
      </c>
      <c r="BD976" s="0">
        <v>374043</v>
      </c>
      <c r="BE976" s="0">
        <v>70560</v>
      </c>
      <c r="BF976" s="0">
        <v>4</v>
      </c>
      <c r="BG976" s="0" t="s">
        <v>7208</v>
      </c>
      <c r="BI976" s="0">
        <v>3921</v>
      </c>
      <c r="BK976" s="0" t="s">
        <v>7209</v>
      </c>
    </row>
    <row r="977">
      <c r="A977" s="0">
        <v>5720</v>
      </c>
      <c r="B977" s="0" t="s">
        <v>7210</v>
      </c>
      <c r="C977" s="0" t="s">
        <v>579</v>
      </c>
      <c r="D977" s="0" t="s">
        <v>6863</v>
      </c>
      <c r="E977" s="0" t="s">
        <v>7211</v>
      </c>
      <c r="F977" s="0">
        <v>4</v>
      </c>
      <c r="G977" s="0" t="s">
        <v>293</v>
      </c>
      <c r="H977" s="0" t="s">
        <v>294</v>
      </c>
      <c r="I977" s="0" t="s">
        <v>295</v>
      </c>
      <c r="J977" s="0" t="s">
        <v>581</v>
      </c>
      <c r="K977" s="0" t="s">
        <v>7212</v>
      </c>
      <c r="L977" s="0" t="s">
        <v>583</v>
      </c>
      <c r="P977" s="0" t="s">
        <v>343</v>
      </c>
      <c r="Q977" s="0" t="s">
        <v>343</v>
      </c>
      <c r="R977" s="0" t="s">
        <v>343</v>
      </c>
      <c r="U977" s="0" t="s">
        <v>7213</v>
      </c>
      <c r="W977" s="0" t="s">
        <v>6868</v>
      </c>
      <c r="X977" s="0" t="s">
        <v>347</v>
      </c>
      <c r="Y977" s="0" t="s">
        <v>42</v>
      </c>
      <c r="Z977" s="0" t="s">
        <v>2384</v>
      </c>
      <c r="AA977" s="0" t="s">
        <v>120</v>
      </c>
      <c r="AB977" s="0" t="s">
        <v>531</v>
      </c>
      <c r="AC977" s="0" t="s">
        <v>532</v>
      </c>
      <c r="AD977" s="0" t="s">
        <v>6869</v>
      </c>
      <c r="AE977" s="0" t="s">
        <v>6870</v>
      </c>
      <c r="AF977" s="0" t="s">
        <v>301</v>
      </c>
      <c r="AP977" s="0" t="s">
        <v>305</v>
      </c>
      <c r="BA977" s="0">
        <v>532</v>
      </c>
      <c r="BB977" s="0" t="s">
        <v>232</v>
      </c>
      <c r="BC977" s="0">
        <v>2</v>
      </c>
      <c r="BD977" s="0">
        <v>374046</v>
      </c>
      <c r="BE977" s="0">
        <v>70560</v>
      </c>
      <c r="BF977" s="0">
        <v>4</v>
      </c>
      <c r="BG977" s="0" t="s">
        <v>7214</v>
      </c>
      <c r="BI977" s="0">
        <v>5054</v>
      </c>
      <c r="BK977" s="0" t="s">
        <v>7215</v>
      </c>
    </row>
    <row r="978">
      <c r="A978" s="0">
        <v>5718</v>
      </c>
      <c r="B978" s="0" t="s">
        <v>7216</v>
      </c>
      <c r="C978" s="0" t="s">
        <v>290</v>
      </c>
      <c r="D978" s="0" t="s">
        <v>6863</v>
      </c>
      <c r="E978" s="0" t="s">
        <v>7217</v>
      </c>
      <c r="F978" s="0">
        <v>2</v>
      </c>
      <c r="G978" s="0" t="s">
        <v>293</v>
      </c>
      <c r="H978" s="0" t="s">
        <v>3113</v>
      </c>
      <c r="I978" s="0" t="s">
        <v>3249</v>
      </c>
      <c r="J978" s="0" t="s">
        <v>508</v>
      </c>
      <c r="K978" s="0" t="s">
        <v>1190</v>
      </c>
      <c r="L978" s="0" t="s">
        <v>549</v>
      </c>
      <c r="P978" s="0" t="s">
        <v>343</v>
      </c>
      <c r="Q978" s="0" t="s">
        <v>343</v>
      </c>
      <c r="R978" s="0" t="s">
        <v>343</v>
      </c>
      <c r="T978" s="0" t="s">
        <v>7218</v>
      </c>
      <c r="U978" s="0" t="s">
        <v>7219</v>
      </c>
      <c r="W978" s="0" t="s">
        <v>6868</v>
      </c>
      <c r="X978" s="0" t="s">
        <v>347</v>
      </c>
      <c r="Y978" s="0" t="s">
        <v>42</v>
      </c>
      <c r="Z978" s="0" t="s">
        <v>2384</v>
      </c>
      <c r="AA978" s="0" t="s">
        <v>120</v>
      </c>
      <c r="AB978" s="0" t="s">
        <v>531</v>
      </c>
      <c r="AC978" s="0" t="s">
        <v>532</v>
      </c>
      <c r="AD978" s="0" t="s">
        <v>6869</v>
      </c>
      <c r="AE978" s="0" t="s">
        <v>6870</v>
      </c>
      <c r="AF978" s="0" t="s">
        <v>301</v>
      </c>
      <c r="AP978" s="0" t="s">
        <v>305</v>
      </c>
      <c r="BA978" s="0">
        <v>532</v>
      </c>
      <c r="BB978" s="0" t="s">
        <v>232</v>
      </c>
      <c r="BC978" s="0">
        <v>2</v>
      </c>
      <c r="BD978" s="0">
        <v>374053</v>
      </c>
      <c r="BE978" s="0">
        <v>70560</v>
      </c>
      <c r="BF978" s="0">
        <v>4</v>
      </c>
      <c r="BG978" s="0" t="s">
        <v>7220</v>
      </c>
      <c r="BI978" s="0">
        <v>5036</v>
      </c>
      <c r="BK978" s="0" t="s">
        <v>7221</v>
      </c>
    </row>
    <row r="979">
      <c r="A979" s="0">
        <v>5683</v>
      </c>
      <c r="B979" s="0" t="s">
        <v>7222</v>
      </c>
      <c r="C979" s="0" t="s">
        <v>315</v>
      </c>
      <c r="D979" s="0" t="s">
        <v>6863</v>
      </c>
      <c r="E979" s="0" t="s">
        <v>7223</v>
      </c>
      <c r="F979" s="0">
        <v>4</v>
      </c>
      <c r="G979" s="0" t="s">
        <v>555</v>
      </c>
      <c r="H979" s="0" t="s">
        <v>593</v>
      </c>
      <c r="I979" s="0" t="s">
        <v>549</v>
      </c>
      <c r="J979" s="0" t="s">
        <v>508</v>
      </c>
      <c r="K979" s="0" t="s">
        <v>1190</v>
      </c>
      <c r="L979" s="0" t="s">
        <v>549</v>
      </c>
      <c r="P979" s="0" t="s">
        <v>343</v>
      </c>
      <c r="Q979" s="0" t="s">
        <v>343</v>
      </c>
      <c r="R979" s="0" t="s">
        <v>343</v>
      </c>
      <c r="T979" s="0" t="s">
        <v>7224</v>
      </c>
      <c r="U979" s="0" t="s">
        <v>7225</v>
      </c>
      <c r="W979" s="0" t="s">
        <v>6868</v>
      </c>
      <c r="X979" s="0" t="s">
        <v>347</v>
      </c>
      <c r="Y979" s="0" t="s">
        <v>42</v>
      </c>
      <c r="Z979" s="0" t="s">
        <v>2384</v>
      </c>
      <c r="AA979" s="0" t="s">
        <v>120</v>
      </c>
      <c r="AB979" s="0" t="s">
        <v>531</v>
      </c>
      <c r="AC979" s="0" t="s">
        <v>532</v>
      </c>
      <c r="AD979" s="0" t="s">
        <v>6869</v>
      </c>
      <c r="AE979" s="0" t="s">
        <v>6870</v>
      </c>
      <c r="AF979" s="0" t="s">
        <v>301</v>
      </c>
      <c r="AP979" s="0" t="s">
        <v>305</v>
      </c>
      <c r="BA979" s="0">
        <v>532</v>
      </c>
      <c r="BB979" s="0" t="s">
        <v>232</v>
      </c>
      <c r="BC979" s="0">
        <v>2</v>
      </c>
      <c r="BD979" s="0">
        <v>374043</v>
      </c>
      <c r="BE979" s="0">
        <v>70560</v>
      </c>
      <c r="BF979" s="0">
        <v>4</v>
      </c>
      <c r="BG979" s="0" t="s">
        <v>7226</v>
      </c>
      <c r="BI979" s="0">
        <v>4415</v>
      </c>
      <c r="BK979" s="0" t="s">
        <v>7227</v>
      </c>
    </row>
    <row r="980">
      <c r="A980" s="0">
        <v>5684</v>
      </c>
      <c r="B980" s="0" t="s">
        <v>7228</v>
      </c>
      <c r="C980" s="0" t="s">
        <v>315</v>
      </c>
      <c r="D980" s="0" t="s">
        <v>6863</v>
      </c>
      <c r="E980" s="0" t="s">
        <v>7229</v>
      </c>
      <c r="F980" s="0">
        <v>4</v>
      </c>
      <c r="G980" s="0" t="s">
        <v>555</v>
      </c>
      <c r="H980" s="0" t="s">
        <v>593</v>
      </c>
      <c r="I980" s="0" t="s">
        <v>1204</v>
      </c>
      <c r="J980" s="0" t="s">
        <v>508</v>
      </c>
      <c r="K980" s="0" t="s">
        <v>1190</v>
      </c>
      <c r="L980" s="0" t="s">
        <v>1204</v>
      </c>
      <c r="P980" s="0" t="s">
        <v>343</v>
      </c>
      <c r="Q980" s="0" t="s">
        <v>343</v>
      </c>
      <c r="R980" s="0" t="s">
        <v>343</v>
      </c>
      <c r="T980" s="0" t="s">
        <v>7230</v>
      </c>
      <c r="U980" s="0" t="s">
        <v>7231</v>
      </c>
      <c r="W980" s="0" t="s">
        <v>6868</v>
      </c>
      <c r="X980" s="0" t="s">
        <v>347</v>
      </c>
      <c r="Y980" s="0" t="s">
        <v>42</v>
      </c>
      <c r="Z980" s="0" t="s">
        <v>2384</v>
      </c>
      <c r="AA980" s="0" t="s">
        <v>120</v>
      </c>
      <c r="AB980" s="0" t="s">
        <v>531</v>
      </c>
      <c r="AC980" s="0" t="s">
        <v>532</v>
      </c>
      <c r="AD980" s="0" t="s">
        <v>6869</v>
      </c>
      <c r="AE980" s="0" t="s">
        <v>6870</v>
      </c>
      <c r="AF980" s="0" t="s">
        <v>301</v>
      </c>
      <c r="AP980" s="0" t="s">
        <v>305</v>
      </c>
      <c r="BA980" s="0">
        <v>532</v>
      </c>
      <c r="BB980" s="0" t="s">
        <v>232</v>
      </c>
      <c r="BC980" s="0">
        <v>2</v>
      </c>
      <c r="BD980" s="0">
        <v>374043</v>
      </c>
      <c r="BE980" s="0">
        <v>70560</v>
      </c>
      <c r="BF980" s="0">
        <v>4</v>
      </c>
      <c r="BG980" s="0" t="s">
        <v>7232</v>
      </c>
      <c r="BI980" s="0">
        <v>4465</v>
      </c>
      <c r="BK980" s="0" t="s">
        <v>7233</v>
      </c>
    </row>
    <row r="981">
      <c r="A981" s="0">
        <v>5681</v>
      </c>
      <c r="B981" s="0" t="s">
        <v>7234</v>
      </c>
      <c r="C981" s="0" t="s">
        <v>315</v>
      </c>
      <c r="D981" s="0" t="s">
        <v>6863</v>
      </c>
      <c r="E981" s="0" t="s">
        <v>7235</v>
      </c>
      <c r="F981" s="0">
        <v>4</v>
      </c>
      <c r="G981" s="0" t="s">
        <v>555</v>
      </c>
      <c r="H981" s="0" t="s">
        <v>593</v>
      </c>
      <c r="I981" s="0" t="s">
        <v>549</v>
      </c>
      <c r="J981" s="0" t="s">
        <v>508</v>
      </c>
      <c r="K981" s="0" t="s">
        <v>1190</v>
      </c>
      <c r="L981" s="0" t="s">
        <v>549</v>
      </c>
      <c r="P981" s="0" t="s">
        <v>343</v>
      </c>
      <c r="Q981" s="0" t="s">
        <v>343</v>
      </c>
      <c r="R981" s="0" t="s">
        <v>343</v>
      </c>
      <c r="T981" s="0" t="s">
        <v>7236</v>
      </c>
      <c r="U981" s="0" t="s">
        <v>7237</v>
      </c>
      <c r="W981" s="0" t="s">
        <v>6868</v>
      </c>
      <c r="X981" s="0" t="s">
        <v>347</v>
      </c>
      <c r="Y981" s="0" t="s">
        <v>42</v>
      </c>
      <c r="Z981" s="0" t="s">
        <v>2384</v>
      </c>
      <c r="AA981" s="0" t="s">
        <v>120</v>
      </c>
      <c r="AB981" s="0" t="s">
        <v>531</v>
      </c>
      <c r="AC981" s="0" t="s">
        <v>532</v>
      </c>
      <c r="AD981" s="0" t="s">
        <v>6869</v>
      </c>
      <c r="AE981" s="0" t="s">
        <v>6870</v>
      </c>
      <c r="AF981" s="0" t="s">
        <v>301</v>
      </c>
      <c r="AP981" s="0" t="s">
        <v>305</v>
      </c>
      <c r="BA981" s="0">
        <v>532</v>
      </c>
      <c r="BB981" s="0" t="s">
        <v>232</v>
      </c>
      <c r="BC981" s="0">
        <v>2</v>
      </c>
      <c r="BD981" s="0">
        <v>374043</v>
      </c>
      <c r="BE981" s="0">
        <v>70560</v>
      </c>
      <c r="BF981" s="0">
        <v>4</v>
      </c>
      <c r="BG981" s="0" t="s">
        <v>7238</v>
      </c>
      <c r="BI981" s="0">
        <v>4297</v>
      </c>
      <c r="BK981" s="0" t="s">
        <v>7239</v>
      </c>
    </row>
    <row r="982">
      <c r="A982" s="0">
        <v>5682</v>
      </c>
      <c r="B982" s="0" t="s">
        <v>7240</v>
      </c>
      <c r="C982" s="0" t="s">
        <v>315</v>
      </c>
      <c r="D982" s="0" t="s">
        <v>6863</v>
      </c>
      <c r="E982" s="0" t="s">
        <v>7241</v>
      </c>
      <c r="F982" s="0">
        <v>4</v>
      </c>
      <c r="G982" s="0" t="s">
        <v>555</v>
      </c>
      <c r="H982" s="0" t="s">
        <v>593</v>
      </c>
      <c r="I982" s="0" t="s">
        <v>1204</v>
      </c>
      <c r="J982" s="0" t="s">
        <v>508</v>
      </c>
      <c r="K982" s="0" t="s">
        <v>1190</v>
      </c>
      <c r="L982" s="0" t="s">
        <v>1204</v>
      </c>
      <c r="P982" s="0" t="s">
        <v>343</v>
      </c>
      <c r="Q982" s="0" t="s">
        <v>343</v>
      </c>
      <c r="R982" s="0" t="s">
        <v>343</v>
      </c>
      <c r="T982" s="0" t="s">
        <v>7242</v>
      </c>
      <c r="U982" s="0" t="s">
        <v>7243</v>
      </c>
      <c r="W982" s="0" t="s">
        <v>6868</v>
      </c>
      <c r="X982" s="0" t="s">
        <v>347</v>
      </c>
      <c r="Y982" s="0" t="s">
        <v>42</v>
      </c>
      <c r="Z982" s="0" t="s">
        <v>2384</v>
      </c>
      <c r="AA982" s="0" t="s">
        <v>120</v>
      </c>
      <c r="AB982" s="0" t="s">
        <v>531</v>
      </c>
      <c r="AC982" s="0" t="s">
        <v>532</v>
      </c>
      <c r="AD982" s="0" t="s">
        <v>6869</v>
      </c>
      <c r="AE982" s="0" t="s">
        <v>6870</v>
      </c>
      <c r="AF982" s="0" t="s">
        <v>301</v>
      </c>
      <c r="AP982" s="0" t="s">
        <v>305</v>
      </c>
      <c r="BA982" s="0">
        <v>532</v>
      </c>
      <c r="BB982" s="0" t="s">
        <v>232</v>
      </c>
      <c r="BC982" s="0">
        <v>2</v>
      </c>
      <c r="BD982" s="0">
        <v>374043</v>
      </c>
      <c r="BE982" s="0">
        <v>70560</v>
      </c>
      <c r="BF982" s="0">
        <v>4</v>
      </c>
      <c r="BG982" s="0" t="s">
        <v>7244</v>
      </c>
      <c r="BI982" s="0">
        <v>4358</v>
      </c>
      <c r="BK982" s="0" t="s">
        <v>7245</v>
      </c>
    </row>
    <row r="983">
      <c r="A983" s="0">
        <v>5712</v>
      </c>
      <c r="B983" s="0" t="s">
        <v>7246</v>
      </c>
      <c r="C983" s="0" t="s">
        <v>290</v>
      </c>
      <c r="D983" s="0" t="s">
        <v>6524</v>
      </c>
      <c r="E983" s="0" t="s">
        <v>7247</v>
      </c>
      <c r="F983" s="0">
        <v>1</v>
      </c>
      <c r="G983" s="0" t="s">
        <v>293</v>
      </c>
      <c r="H983" s="0" t="s">
        <v>294</v>
      </c>
      <c r="I983" s="0" t="s">
        <v>295</v>
      </c>
      <c r="P983" s="0" t="s">
        <v>343</v>
      </c>
      <c r="Q983" s="0" t="s">
        <v>343</v>
      </c>
      <c r="R983" s="0" t="s">
        <v>343</v>
      </c>
      <c r="T983" s="0" t="s">
        <v>7248</v>
      </c>
      <c r="U983" s="0" t="s">
        <v>7249</v>
      </c>
      <c r="X983" s="0" t="s">
        <v>347</v>
      </c>
      <c r="Y983" s="0" t="s">
        <v>77</v>
      </c>
      <c r="Z983" s="0" t="s">
        <v>3973</v>
      </c>
      <c r="AA983" s="0" t="s">
        <v>128</v>
      </c>
      <c r="AB983" s="0" t="s">
        <v>300</v>
      </c>
      <c r="AF983" s="0" t="s">
        <v>1688</v>
      </c>
      <c r="AP983" s="0" t="s">
        <v>305</v>
      </c>
      <c r="BA983" s="0">
        <v>533</v>
      </c>
      <c r="BB983" s="0" t="s">
        <v>232</v>
      </c>
      <c r="BC983" s="0">
        <v>3</v>
      </c>
      <c r="BD983" s="0">
        <v>374053</v>
      </c>
      <c r="BE983" s="0">
        <v>519953</v>
      </c>
      <c r="BF983" s="0">
        <v>4</v>
      </c>
      <c r="BG983" s="0" t="s">
        <v>7250</v>
      </c>
      <c r="BI983" s="0">
        <v>1953</v>
      </c>
      <c r="BK983" s="0" t="s">
        <v>7251</v>
      </c>
    </row>
    <row r="984">
      <c r="A984" s="0">
        <v>5711</v>
      </c>
      <c r="B984" s="0" t="s">
        <v>7252</v>
      </c>
      <c r="C984" s="0" t="s">
        <v>290</v>
      </c>
      <c r="D984" s="0" t="s">
        <v>6524</v>
      </c>
      <c r="E984" s="0" t="s">
        <v>7253</v>
      </c>
      <c r="F984" s="0">
        <v>1</v>
      </c>
      <c r="G984" s="0" t="s">
        <v>293</v>
      </c>
      <c r="H984" s="0" t="s">
        <v>294</v>
      </c>
      <c r="I984" s="0" t="s">
        <v>295</v>
      </c>
      <c r="T984" s="0" t="s">
        <v>7254</v>
      </c>
      <c r="U984" s="0" t="s">
        <v>7255</v>
      </c>
      <c r="X984" s="0" t="s">
        <v>347</v>
      </c>
      <c r="Y984" s="0" t="s">
        <v>77</v>
      </c>
      <c r="Z984" s="0" t="s">
        <v>3973</v>
      </c>
      <c r="AA984" s="0" t="s">
        <v>128</v>
      </c>
      <c r="AB984" s="0" t="s">
        <v>300</v>
      </c>
      <c r="AF984" s="0" t="s">
        <v>1688</v>
      </c>
      <c r="AP984" s="0" t="s">
        <v>305</v>
      </c>
      <c r="BA984" s="0">
        <v>533</v>
      </c>
      <c r="BB984" s="0" t="s">
        <v>232</v>
      </c>
      <c r="BC984" s="0">
        <v>3</v>
      </c>
      <c r="BD984" s="0">
        <v>374053</v>
      </c>
      <c r="BE984" s="0">
        <v>519953</v>
      </c>
      <c r="BF984" s="0">
        <v>4</v>
      </c>
      <c r="BG984" s="0" t="s">
        <v>7256</v>
      </c>
      <c r="BI984" s="0">
        <v>1710</v>
      </c>
      <c r="BK984" s="0" t="s">
        <v>7257</v>
      </c>
    </row>
    <row r="985">
      <c r="A985" s="0">
        <v>5710</v>
      </c>
      <c r="B985" s="0" t="s">
        <v>7258</v>
      </c>
      <c r="C985" s="0" t="s">
        <v>2620</v>
      </c>
      <c r="D985" s="0" t="s">
        <v>6524</v>
      </c>
      <c r="E985" s="0" t="s">
        <v>7259</v>
      </c>
      <c r="F985" s="0">
        <v>1</v>
      </c>
      <c r="G985" s="0" t="s">
        <v>293</v>
      </c>
      <c r="H985" s="0" t="s">
        <v>294</v>
      </c>
      <c r="I985" s="0" t="s">
        <v>295</v>
      </c>
      <c r="T985" s="0" t="s">
        <v>7260</v>
      </c>
      <c r="X985" s="0" t="s">
        <v>1116</v>
      </c>
      <c r="Y985" s="0" t="s">
        <v>77</v>
      </c>
      <c r="Z985" s="0" t="s">
        <v>3973</v>
      </c>
      <c r="AA985" s="0" t="s">
        <v>128</v>
      </c>
      <c r="AB985" s="0" t="s">
        <v>300</v>
      </c>
      <c r="AF985" s="0" t="s">
        <v>1688</v>
      </c>
      <c r="AP985" s="0" t="s">
        <v>305</v>
      </c>
      <c r="BA985" s="0">
        <v>533</v>
      </c>
      <c r="BB985" s="0" t="s">
        <v>232</v>
      </c>
      <c r="BC985" s="0">
        <v>3</v>
      </c>
      <c r="BD985" s="0">
        <v>34</v>
      </c>
      <c r="BE985" s="0">
        <v>519953</v>
      </c>
      <c r="BF985" s="0">
        <v>1</v>
      </c>
      <c r="BG985" s="0" t="s">
        <v>7261</v>
      </c>
      <c r="BI985" s="0">
        <v>1443</v>
      </c>
      <c r="BK985" s="0" t="s">
        <v>7262</v>
      </c>
    </row>
    <row r="986">
      <c r="A986" s="0">
        <v>5728</v>
      </c>
      <c r="B986" s="0" t="s">
        <v>7263</v>
      </c>
      <c r="C986" s="0" t="s">
        <v>290</v>
      </c>
      <c r="D986" s="0" t="s">
        <v>6524</v>
      </c>
      <c r="E986" s="0" t="s">
        <v>7264</v>
      </c>
      <c r="F986" s="0">
        <v>1</v>
      </c>
      <c r="G986" s="0" t="s">
        <v>293</v>
      </c>
      <c r="H986" s="0" t="s">
        <v>294</v>
      </c>
      <c r="I986" s="0" t="s">
        <v>295</v>
      </c>
      <c r="T986" s="0" t="s">
        <v>7265</v>
      </c>
      <c r="U986" s="0" t="s">
        <v>7266</v>
      </c>
      <c r="X986" s="0" t="s">
        <v>347</v>
      </c>
      <c r="Y986" s="0" t="s">
        <v>77</v>
      </c>
      <c r="Z986" s="0" t="s">
        <v>3973</v>
      </c>
      <c r="AA986" s="0" t="s">
        <v>128</v>
      </c>
      <c r="AB986" s="0" t="s">
        <v>300</v>
      </c>
      <c r="AF986" s="0" t="s">
        <v>1688</v>
      </c>
      <c r="AP986" s="0" t="s">
        <v>305</v>
      </c>
      <c r="BA986" s="0">
        <v>533</v>
      </c>
      <c r="BB986" s="0" t="s">
        <v>232</v>
      </c>
      <c r="BC986" s="0">
        <v>3</v>
      </c>
      <c r="BD986" s="0">
        <v>374053</v>
      </c>
      <c r="BE986" s="0">
        <v>519953</v>
      </c>
      <c r="BF986" s="0">
        <v>4</v>
      </c>
      <c r="BG986" s="0" t="s">
        <v>7267</v>
      </c>
      <c r="BI986" s="0">
        <v>2394</v>
      </c>
      <c r="BK986" s="0" t="s">
        <v>7268</v>
      </c>
    </row>
    <row r="987">
      <c r="A987" s="0">
        <v>5731</v>
      </c>
      <c r="B987" s="0" t="s">
        <v>7269</v>
      </c>
      <c r="C987" s="0" t="s">
        <v>2620</v>
      </c>
      <c r="D987" s="0" t="s">
        <v>6524</v>
      </c>
      <c r="E987" s="0" t="s">
        <v>7270</v>
      </c>
      <c r="F987" s="0">
        <v>1</v>
      </c>
      <c r="G987" s="0" t="s">
        <v>293</v>
      </c>
      <c r="H987" s="0" t="s">
        <v>294</v>
      </c>
      <c r="I987" s="0" t="s">
        <v>7271</v>
      </c>
      <c r="P987" s="0" t="s">
        <v>323</v>
      </c>
      <c r="Q987" s="0" t="s">
        <v>323</v>
      </c>
      <c r="R987" s="0" t="s">
        <v>880</v>
      </c>
      <c r="T987" s="0" t="s">
        <v>7272</v>
      </c>
      <c r="X987" s="0" t="s">
        <v>1116</v>
      </c>
      <c r="Y987" s="0" t="s">
        <v>77</v>
      </c>
      <c r="Z987" s="0" t="s">
        <v>3973</v>
      </c>
      <c r="AA987" s="0" t="s">
        <v>128</v>
      </c>
      <c r="AB987" s="0" t="s">
        <v>300</v>
      </c>
      <c r="AF987" s="0" t="s">
        <v>1688</v>
      </c>
      <c r="AP987" s="0" t="s">
        <v>305</v>
      </c>
      <c r="BA987" s="0">
        <v>533</v>
      </c>
      <c r="BB987" s="0" t="s">
        <v>232</v>
      </c>
      <c r="BC987" s="0">
        <v>3</v>
      </c>
      <c r="BD987" s="0">
        <v>34</v>
      </c>
      <c r="BE987" s="0">
        <v>519953</v>
      </c>
      <c r="BF987" s="0">
        <v>1</v>
      </c>
      <c r="BG987" s="0" t="s">
        <v>7273</v>
      </c>
      <c r="BI987" s="0">
        <v>2939</v>
      </c>
      <c r="BK987" s="0" t="s">
        <v>7274</v>
      </c>
    </row>
    <row r="988">
      <c r="A988" s="0">
        <v>5730</v>
      </c>
      <c r="B988" s="0" t="s">
        <v>7275</v>
      </c>
      <c r="C988" s="0" t="s">
        <v>2620</v>
      </c>
      <c r="D988" s="0" t="s">
        <v>6524</v>
      </c>
      <c r="E988" s="0" t="s">
        <v>7276</v>
      </c>
      <c r="F988" s="0">
        <v>1</v>
      </c>
      <c r="G988" s="0" t="s">
        <v>508</v>
      </c>
      <c r="I988" s="0" t="s">
        <v>5408</v>
      </c>
      <c r="J988" s="0" t="s">
        <v>293</v>
      </c>
      <c r="K988" s="0" t="s">
        <v>294</v>
      </c>
      <c r="L988" s="0" t="s">
        <v>295</v>
      </c>
      <c r="M988" s="0" t="s">
        <v>496</v>
      </c>
      <c r="O988" s="0" t="s">
        <v>469</v>
      </c>
      <c r="P988" s="0" t="s">
        <v>323</v>
      </c>
      <c r="Q988" s="0" t="s">
        <v>323</v>
      </c>
      <c r="R988" s="0" t="s">
        <v>869</v>
      </c>
      <c r="T988" s="0" t="s">
        <v>7272</v>
      </c>
      <c r="X988" s="0" t="s">
        <v>1116</v>
      </c>
      <c r="Y988" s="0" t="s">
        <v>77</v>
      </c>
      <c r="Z988" s="0" t="s">
        <v>3973</v>
      </c>
      <c r="AA988" s="0" t="s">
        <v>128</v>
      </c>
      <c r="AB988" s="0" t="s">
        <v>300</v>
      </c>
      <c r="AF988" s="0" t="s">
        <v>1688</v>
      </c>
      <c r="AP988" s="0" t="s">
        <v>305</v>
      </c>
      <c r="BA988" s="0">
        <v>533</v>
      </c>
      <c r="BB988" s="0" t="s">
        <v>232</v>
      </c>
      <c r="BC988" s="0">
        <v>3</v>
      </c>
      <c r="BD988" s="0">
        <v>34</v>
      </c>
      <c r="BE988" s="0">
        <v>519953</v>
      </c>
      <c r="BF988" s="0">
        <v>1</v>
      </c>
      <c r="BG988" s="0" t="s">
        <v>7277</v>
      </c>
      <c r="BI988" s="0">
        <v>2766</v>
      </c>
      <c r="BK988" s="0" t="s">
        <v>7278</v>
      </c>
    </row>
    <row r="989">
      <c r="A989" s="0">
        <v>5732</v>
      </c>
      <c r="B989" s="0" t="s">
        <v>7279</v>
      </c>
      <c r="C989" s="0" t="s">
        <v>2620</v>
      </c>
      <c r="D989" s="0" t="s">
        <v>6524</v>
      </c>
      <c r="E989" s="0" t="s">
        <v>1634</v>
      </c>
      <c r="F989" s="0">
        <v>1</v>
      </c>
      <c r="G989" s="0" t="s">
        <v>508</v>
      </c>
      <c r="I989" s="0" t="s">
        <v>5408</v>
      </c>
      <c r="J989" s="0" t="s">
        <v>555</v>
      </c>
      <c r="K989" s="0" t="s">
        <v>593</v>
      </c>
      <c r="L989" s="0" t="s">
        <v>5408</v>
      </c>
      <c r="P989" s="0" t="s">
        <v>323</v>
      </c>
      <c r="Q989" s="0" t="s">
        <v>323</v>
      </c>
      <c r="R989" s="0" t="s">
        <v>324</v>
      </c>
      <c r="T989" s="0" t="s">
        <v>7272</v>
      </c>
      <c r="X989" s="0" t="s">
        <v>1116</v>
      </c>
      <c r="Y989" s="0" t="s">
        <v>77</v>
      </c>
      <c r="Z989" s="0" t="s">
        <v>3973</v>
      </c>
      <c r="AA989" s="0" t="s">
        <v>128</v>
      </c>
      <c r="AB989" s="0" t="s">
        <v>300</v>
      </c>
      <c r="AF989" s="0" t="s">
        <v>1688</v>
      </c>
      <c r="AP989" s="0" t="s">
        <v>305</v>
      </c>
      <c r="BA989" s="0">
        <v>533</v>
      </c>
      <c r="BB989" s="0" t="s">
        <v>232</v>
      </c>
      <c r="BC989" s="0">
        <v>3</v>
      </c>
      <c r="BD989" s="0">
        <v>34</v>
      </c>
      <c r="BE989" s="0">
        <v>519953</v>
      </c>
      <c r="BF989" s="0">
        <v>1</v>
      </c>
      <c r="BG989" s="0" t="s">
        <v>7280</v>
      </c>
      <c r="BI989" s="0">
        <v>3106</v>
      </c>
      <c r="BK989" s="0" t="s">
        <v>7281</v>
      </c>
    </row>
    <row r="990">
      <c r="A990" s="0">
        <v>5705</v>
      </c>
      <c r="B990" s="0" t="s">
        <v>7282</v>
      </c>
      <c r="C990" s="0" t="s">
        <v>315</v>
      </c>
      <c r="D990" s="0" t="s">
        <v>6524</v>
      </c>
      <c r="E990" s="0" t="s">
        <v>7283</v>
      </c>
      <c r="F990" s="0">
        <v>1</v>
      </c>
      <c r="G990" s="0" t="s">
        <v>555</v>
      </c>
      <c r="H990" s="0" t="s">
        <v>7284</v>
      </c>
      <c r="I990" s="0" t="s">
        <v>549</v>
      </c>
      <c r="J990" s="0" t="s">
        <v>508</v>
      </c>
      <c r="K990" s="0" t="s">
        <v>1190</v>
      </c>
      <c r="L990" s="0" t="s">
        <v>549</v>
      </c>
      <c r="T990" s="0" t="s">
        <v>7285</v>
      </c>
      <c r="U990" s="0" t="s">
        <v>7286</v>
      </c>
      <c r="X990" s="0" t="s">
        <v>347</v>
      </c>
      <c r="Y990" s="0" t="s">
        <v>77</v>
      </c>
      <c r="Z990" s="0" t="s">
        <v>3973</v>
      </c>
      <c r="AA990" s="0" t="s">
        <v>128</v>
      </c>
      <c r="AB990" s="0" t="s">
        <v>300</v>
      </c>
      <c r="AF990" s="0" t="s">
        <v>1688</v>
      </c>
      <c r="AP990" s="0" t="s">
        <v>305</v>
      </c>
      <c r="BA990" s="0">
        <v>533</v>
      </c>
      <c r="BB990" s="0" t="s">
        <v>232</v>
      </c>
      <c r="BC990" s="0">
        <v>3</v>
      </c>
      <c r="BD990" s="0">
        <v>374043</v>
      </c>
      <c r="BE990" s="0">
        <v>519953</v>
      </c>
      <c r="BF990" s="0">
        <v>4</v>
      </c>
      <c r="BG990" s="0" t="s">
        <v>7287</v>
      </c>
      <c r="BI990" s="0">
        <v>414</v>
      </c>
      <c r="BK990" s="0" t="s">
        <v>7288</v>
      </c>
    </row>
    <row r="991">
      <c r="A991" s="0">
        <v>5707</v>
      </c>
      <c r="B991" s="0" t="s">
        <v>7289</v>
      </c>
      <c r="C991" s="0" t="s">
        <v>315</v>
      </c>
      <c r="D991" s="0" t="s">
        <v>6524</v>
      </c>
      <c r="E991" s="0" t="s">
        <v>7290</v>
      </c>
      <c r="F991" s="0">
        <v>1</v>
      </c>
      <c r="G991" s="0" t="s">
        <v>555</v>
      </c>
      <c r="H991" s="0" t="s">
        <v>593</v>
      </c>
      <c r="I991" s="0" t="s">
        <v>549</v>
      </c>
      <c r="J991" s="0" t="s">
        <v>508</v>
      </c>
      <c r="K991" s="0" t="s">
        <v>1190</v>
      </c>
      <c r="L991" s="0" t="s">
        <v>549</v>
      </c>
      <c r="T991" s="0" t="s">
        <v>7291</v>
      </c>
      <c r="U991" s="0" t="s">
        <v>7292</v>
      </c>
      <c r="X991" s="0" t="s">
        <v>347</v>
      </c>
      <c r="Y991" s="0" t="s">
        <v>77</v>
      </c>
      <c r="Z991" s="0" t="s">
        <v>3973</v>
      </c>
      <c r="AA991" s="0" t="s">
        <v>128</v>
      </c>
      <c r="AB991" s="0" t="s">
        <v>300</v>
      </c>
      <c r="AF991" s="0" t="s">
        <v>1688</v>
      </c>
      <c r="AP991" s="0" t="s">
        <v>305</v>
      </c>
      <c r="BA991" s="0">
        <v>533</v>
      </c>
      <c r="BB991" s="0" t="s">
        <v>232</v>
      </c>
      <c r="BC991" s="0">
        <v>3</v>
      </c>
      <c r="BD991" s="0">
        <v>374043</v>
      </c>
      <c r="BE991" s="0">
        <v>519953</v>
      </c>
      <c r="BF991" s="0">
        <v>4</v>
      </c>
      <c r="BG991" s="0" t="s">
        <v>7293</v>
      </c>
      <c r="BI991" s="0">
        <v>810</v>
      </c>
      <c r="BK991" s="0" t="s">
        <v>7294</v>
      </c>
    </row>
    <row r="992">
      <c r="A992" s="0">
        <v>5709</v>
      </c>
      <c r="B992" s="0" t="s">
        <v>7295</v>
      </c>
      <c r="C992" s="0" t="s">
        <v>315</v>
      </c>
      <c r="D992" s="0" t="s">
        <v>6524</v>
      </c>
      <c r="E992" s="0" t="s">
        <v>7296</v>
      </c>
      <c r="F992" s="0">
        <v>1</v>
      </c>
      <c r="G992" s="0" t="s">
        <v>5599</v>
      </c>
      <c r="I992" s="0" t="s">
        <v>583</v>
      </c>
      <c r="J992" s="0" t="s">
        <v>508</v>
      </c>
      <c r="K992" s="0" t="s">
        <v>1190</v>
      </c>
      <c r="L992" s="0" t="s">
        <v>549</v>
      </c>
      <c r="T992" s="0" t="s">
        <v>7297</v>
      </c>
      <c r="U992" s="0" t="s">
        <v>7298</v>
      </c>
      <c r="X992" s="0" t="s">
        <v>347</v>
      </c>
      <c r="Y992" s="0" t="s">
        <v>77</v>
      </c>
      <c r="Z992" s="0" t="s">
        <v>3973</v>
      </c>
      <c r="AA992" s="0" t="s">
        <v>128</v>
      </c>
      <c r="AB992" s="0" t="s">
        <v>300</v>
      </c>
      <c r="AF992" s="0" t="s">
        <v>1688</v>
      </c>
      <c r="AP992" s="0" t="s">
        <v>305</v>
      </c>
      <c r="BA992" s="0">
        <v>533</v>
      </c>
      <c r="BB992" s="0" t="s">
        <v>232</v>
      </c>
      <c r="BC992" s="0">
        <v>3</v>
      </c>
      <c r="BD992" s="0">
        <v>374043</v>
      </c>
      <c r="BE992" s="0">
        <v>519953</v>
      </c>
      <c r="BF992" s="0">
        <v>4</v>
      </c>
      <c r="BG992" s="0" t="s">
        <v>7299</v>
      </c>
      <c r="BI992" s="0">
        <v>1139</v>
      </c>
      <c r="BK992" s="0" t="s">
        <v>7300</v>
      </c>
    </row>
    <row r="993">
      <c r="A993" s="0">
        <v>5729</v>
      </c>
      <c r="B993" s="0" t="s">
        <v>7301</v>
      </c>
      <c r="C993" s="0" t="s">
        <v>656</v>
      </c>
      <c r="D993" s="0" t="s">
        <v>6524</v>
      </c>
      <c r="E993" s="0" t="s">
        <v>7302</v>
      </c>
      <c r="F993" s="0">
        <v>1</v>
      </c>
      <c r="G993" s="0" t="s">
        <v>319</v>
      </c>
      <c r="H993" s="0" t="s">
        <v>7303</v>
      </c>
      <c r="I993" s="0" t="s">
        <v>659</v>
      </c>
      <c r="J993" s="0" t="s">
        <v>293</v>
      </c>
      <c r="K993" s="0" t="s">
        <v>294</v>
      </c>
      <c r="L993" s="0" t="s">
        <v>918</v>
      </c>
      <c r="P993" s="0" t="s">
        <v>343</v>
      </c>
      <c r="Q993" s="0" t="s">
        <v>343</v>
      </c>
      <c r="T993" s="0" t="s">
        <v>7304</v>
      </c>
      <c r="U993" s="0" t="s">
        <v>7305</v>
      </c>
      <c r="X993" s="0" t="s">
        <v>347</v>
      </c>
      <c r="Y993" s="0" t="s">
        <v>77</v>
      </c>
      <c r="Z993" s="0" t="s">
        <v>3973</v>
      </c>
      <c r="AA993" s="0" t="s">
        <v>128</v>
      </c>
      <c r="AB993" s="0" t="s">
        <v>300</v>
      </c>
      <c r="AF993" s="0" t="s">
        <v>1688</v>
      </c>
      <c r="AP993" s="0" t="s">
        <v>305</v>
      </c>
      <c r="BA993" s="0">
        <v>533</v>
      </c>
      <c r="BB993" s="0" t="s">
        <v>232</v>
      </c>
      <c r="BC993" s="0">
        <v>3</v>
      </c>
      <c r="BD993" s="0">
        <v>10</v>
      </c>
      <c r="BE993" s="0">
        <v>519953</v>
      </c>
      <c r="BF993" s="0">
        <v>4</v>
      </c>
      <c r="BG993" s="0" t="s">
        <v>7306</v>
      </c>
      <c r="BI993" s="0">
        <v>2590</v>
      </c>
      <c r="BK993" s="0" t="s">
        <v>7307</v>
      </c>
    </row>
    <row r="994">
      <c r="A994" s="0">
        <v>5713</v>
      </c>
      <c r="B994" s="0" t="s">
        <v>7308</v>
      </c>
      <c r="C994" s="0" t="s">
        <v>656</v>
      </c>
      <c r="D994" s="0" t="s">
        <v>6524</v>
      </c>
      <c r="E994" s="0" t="s">
        <v>7309</v>
      </c>
      <c r="F994" s="0">
        <v>1</v>
      </c>
      <c r="G994" s="0" t="s">
        <v>293</v>
      </c>
      <c r="H994" s="0" t="s">
        <v>294</v>
      </c>
      <c r="I994" s="0" t="s">
        <v>918</v>
      </c>
      <c r="T994" s="0" t="s">
        <v>7310</v>
      </c>
      <c r="U994" s="0" t="s">
        <v>7311</v>
      </c>
      <c r="X994" s="0" t="s">
        <v>347</v>
      </c>
      <c r="Y994" s="0" t="s">
        <v>77</v>
      </c>
      <c r="Z994" s="0" t="s">
        <v>3973</v>
      </c>
      <c r="AA994" s="0" t="s">
        <v>128</v>
      </c>
      <c r="AB994" s="0" t="s">
        <v>300</v>
      </c>
      <c r="AF994" s="0" t="s">
        <v>1688</v>
      </c>
      <c r="AP994" s="0" t="s">
        <v>305</v>
      </c>
      <c r="BA994" s="0">
        <v>533</v>
      </c>
      <c r="BB994" s="0" t="s">
        <v>232</v>
      </c>
      <c r="BC994" s="0">
        <v>3</v>
      </c>
      <c r="BD994" s="0">
        <v>10</v>
      </c>
      <c r="BE994" s="0">
        <v>519953</v>
      </c>
      <c r="BF994" s="0">
        <v>4</v>
      </c>
      <c r="BG994" s="0" t="s">
        <v>7312</v>
      </c>
      <c r="BI994" s="0">
        <v>2183</v>
      </c>
      <c r="BK994" s="0" t="s">
        <v>7313</v>
      </c>
    </row>
    <row r="995">
      <c r="A995" s="0">
        <v>5739</v>
      </c>
      <c r="B995" s="0" t="s">
        <v>7314</v>
      </c>
      <c r="E995" s="0" t="s">
        <v>1130</v>
      </c>
      <c r="G995" s="0" t="s">
        <v>555</v>
      </c>
      <c r="H995" s="0" t="s">
        <v>1112</v>
      </c>
      <c r="I995" s="0" t="s">
        <v>6249</v>
      </c>
      <c r="J995" s="0" t="s">
        <v>525</v>
      </c>
      <c r="K995" s="0" t="s">
        <v>400</v>
      </c>
      <c r="L995" s="0" t="s">
        <v>1293</v>
      </c>
      <c r="N995" s="0" t="s">
        <v>2487</v>
      </c>
      <c r="O995" s="0" t="s">
        <v>6181</v>
      </c>
      <c r="P995" s="0" t="s">
        <v>343</v>
      </c>
      <c r="Q995" s="0" t="s">
        <v>343</v>
      </c>
      <c r="X995" s="0" t="s">
        <v>1116</v>
      </c>
      <c r="Y995" s="0" t="s">
        <v>36</v>
      </c>
      <c r="Z995" s="0" t="s">
        <v>4002</v>
      </c>
      <c r="AA995" s="0" t="s">
        <v>218</v>
      </c>
      <c r="AB995" s="0" t="s">
        <v>3740</v>
      </c>
      <c r="AF995" s="0" t="s">
        <v>1688</v>
      </c>
      <c r="AP995" s="0" t="s">
        <v>305</v>
      </c>
      <c r="BA995" s="0">
        <v>535</v>
      </c>
      <c r="BB995" s="0" t="s">
        <v>232</v>
      </c>
      <c r="BC995" s="0">
        <v>3</v>
      </c>
      <c r="BE995" s="0">
        <v>134783</v>
      </c>
      <c r="BF995" s="0">
        <v>1</v>
      </c>
      <c r="BG995" s="0" t="s">
        <v>7315</v>
      </c>
      <c r="BI995" s="0">
        <v>1193</v>
      </c>
      <c r="BK995" s="0" t="s">
        <v>7316</v>
      </c>
    </row>
    <row r="996">
      <c r="A996" s="0">
        <v>5737</v>
      </c>
      <c r="B996" s="0" t="s">
        <v>7317</v>
      </c>
      <c r="E996" s="0" t="s">
        <v>7318</v>
      </c>
      <c r="G996" s="0" t="s">
        <v>319</v>
      </c>
      <c r="H996" s="0" t="s">
        <v>398</v>
      </c>
      <c r="I996" s="0" t="s">
        <v>471</v>
      </c>
      <c r="J996" s="0" t="s">
        <v>594</v>
      </c>
      <c r="K996" s="0" t="s">
        <v>1190</v>
      </c>
      <c r="L996" s="0" t="s">
        <v>1293</v>
      </c>
      <c r="M996" s="0" t="s">
        <v>293</v>
      </c>
      <c r="N996" s="0" t="s">
        <v>294</v>
      </c>
      <c r="O996" s="0" t="s">
        <v>1293</v>
      </c>
      <c r="P996" s="0" t="s">
        <v>323</v>
      </c>
      <c r="Q996" s="0" t="s">
        <v>323</v>
      </c>
      <c r="R996" s="0" t="s">
        <v>526</v>
      </c>
      <c r="T996" s="0" t="s">
        <v>7319</v>
      </c>
      <c r="X996" s="0" t="s">
        <v>1116</v>
      </c>
      <c r="Y996" s="0" t="s">
        <v>36</v>
      </c>
      <c r="Z996" s="0" t="s">
        <v>4002</v>
      </c>
      <c r="AA996" s="0" t="s">
        <v>218</v>
      </c>
      <c r="AB996" s="0" t="s">
        <v>3740</v>
      </c>
      <c r="AF996" s="0" t="s">
        <v>1688</v>
      </c>
      <c r="AP996" s="0" t="s">
        <v>305</v>
      </c>
      <c r="BA996" s="0">
        <v>535</v>
      </c>
      <c r="BB996" s="0" t="s">
        <v>232</v>
      </c>
      <c r="BC996" s="0">
        <v>3</v>
      </c>
      <c r="BE996" s="0">
        <v>134783</v>
      </c>
      <c r="BF996" s="0">
        <v>1</v>
      </c>
      <c r="BG996" s="0" t="s">
        <v>7320</v>
      </c>
      <c r="BI996" s="0">
        <v>505</v>
      </c>
      <c r="BK996" s="0" t="s">
        <v>7321</v>
      </c>
    </row>
    <row r="997">
      <c r="A997" s="0">
        <v>5736</v>
      </c>
      <c r="B997" s="0" t="s">
        <v>7322</v>
      </c>
      <c r="E997" s="0" t="s">
        <v>7323</v>
      </c>
      <c r="G997" s="0" t="s">
        <v>319</v>
      </c>
      <c r="H997" s="0" t="s">
        <v>398</v>
      </c>
      <c r="I997" s="0" t="s">
        <v>471</v>
      </c>
      <c r="J997" s="0" t="s">
        <v>594</v>
      </c>
      <c r="K997" s="0" t="s">
        <v>1190</v>
      </c>
      <c r="L997" s="0" t="s">
        <v>1293</v>
      </c>
      <c r="M997" s="0" t="s">
        <v>293</v>
      </c>
      <c r="N997" s="0" t="s">
        <v>294</v>
      </c>
      <c r="O997" s="0" t="s">
        <v>1293</v>
      </c>
      <c r="P997" s="0" t="s">
        <v>323</v>
      </c>
      <c r="Q997" s="0" t="s">
        <v>323</v>
      </c>
      <c r="R997" s="0" t="s">
        <v>526</v>
      </c>
      <c r="T997" s="0" t="s">
        <v>7324</v>
      </c>
      <c r="X997" s="0" t="s">
        <v>1116</v>
      </c>
      <c r="Y997" s="0" t="s">
        <v>36</v>
      </c>
      <c r="Z997" s="0" t="s">
        <v>4002</v>
      </c>
      <c r="AA997" s="0" t="s">
        <v>218</v>
      </c>
      <c r="AB997" s="0" t="s">
        <v>3740</v>
      </c>
      <c r="AF997" s="0" t="s">
        <v>1688</v>
      </c>
      <c r="AP997" s="0" t="s">
        <v>305</v>
      </c>
      <c r="BA997" s="0">
        <v>535</v>
      </c>
      <c r="BB997" s="0" t="s">
        <v>232</v>
      </c>
      <c r="BC997" s="0">
        <v>3</v>
      </c>
      <c r="BE997" s="0">
        <v>134783</v>
      </c>
      <c r="BF997" s="0">
        <v>1</v>
      </c>
      <c r="BG997" s="0" t="s">
        <v>7325</v>
      </c>
      <c r="BI997" s="0">
        <v>45</v>
      </c>
      <c r="BK997" s="0" t="s">
        <v>7326</v>
      </c>
    </row>
    <row r="998">
      <c r="A998" s="0">
        <v>5738</v>
      </c>
      <c r="B998" s="0" t="s">
        <v>7327</v>
      </c>
      <c r="E998" s="0" t="s">
        <v>7328</v>
      </c>
      <c r="G998" s="0" t="s">
        <v>319</v>
      </c>
      <c r="H998" s="0" t="s">
        <v>398</v>
      </c>
      <c r="I998" s="0" t="s">
        <v>471</v>
      </c>
      <c r="J998" s="0" t="s">
        <v>293</v>
      </c>
      <c r="K998" s="0" t="s">
        <v>294</v>
      </c>
      <c r="L998" s="0" t="s">
        <v>5446</v>
      </c>
      <c r="P998" s="0" t="s">
        <v>323</v>
      </c>
      <c r="Q998" s="0" t="s">
        <v>323</v>
      </c>
      <c r="R998" s="0" t="s">
        <v>2393</v>
      </c>
      <c r="T998" s="0" t="s">
        <v>7329</v>
      </c>
      <c r="X998" s="0" t="s">
        <v>1116</v>
      </c>
      <c r="Y998" s="0" t="s">
        <v>36</v>
      </c>
      <c r="Z998" s="0" t="s">
        <v>4002</v>
      </c>
      <c r="AA998" s="0" t="s">
        <v>218</v>
      </c>
      <c r="AB998" s="0" t="s">
        <v>3740</v>
      </c>
      <c r="AF998" s="0" t="s">
        <v>1688</v>
      </c>
      <c r="AP998" s="0" t="s">
        <v>305</v>
      </c>
      <c r="BA998" s="0">
        <v>535</v>
      </c>
      <c r="BB998" s="0" t="s">
        <v>232</v>
      </c>
      <c r="BC998" s="0">
        <v>3</v>
      </c>
      <c r="BE998" s="0">
        <v>134783</v>
      </c>
      <c r="BF998" s="0">
        <v>1</v>
      </c>
      <c r="BG998" s="0" t="s">
        <v>7330</v>
      </c>
      <c r="BI998" s="0">
        <v>864</v>
      </c>
      <c r="BK998" s="0" t="s">
        <v>7331</v>
      </c>
    </row>
    <row r="999">
      <c r="A999" s="0">
        <v>6051</v>
      </c>
      <c r="C999" s="0" t="s">
        <v>339</v>
      </c>
      <c r="D999" s="0" t="s">
        <v>7332</v>
      </c>
      <c r="E999" s="0" t="s">
        <v>7333</v>
      </c>
      <c r="F999" s="0">
        <v>5</v>
      </c>
      <c r="G999" s="0" t="s">
        <v>400</v>
      </c>
      <c r="H999" s="0" t="s">
        <v>1190</v>
      </c>
      <c r="I999" s="0" t="s">
        <v>3204</v>
      </c>
      <c r="T999" s="0" t="s">
        <v>7334</v>
      </c>
      <c r="W999" s="0" t="s">
        <v>7335</v>
      </c>
      <c r="X999" s="0" t="s">
        <v>529</v>
      </c>
      <c r="Y999" s="0" t="s">
        <v>77</v>
      </c>
      <c r="Z999" s="0" t="s">
        <v>3973</v>
      </c>
      <c r="AA999" s="0" t="s">
        <v>133</v>
      </c>
      <c r="AB999" s="0" t="s">
        <v>3740</v>
      </c>
      <c r="AC999" s="0" t="s">
        <v>571</v>
      </c>
      <c r="AD999" s="0" t="s">
        <v>7336</v>
      </c>
      <c r="AF999" s="0" t="s">
        <v>301</v>
      </c>
      <c r="AP999" s="0" t="s">
        <v>305</v>
      </c>
      <c r="BA999" s="0">
        <v>536</v>
      </c>
      <c r="BB999" s="0" t="s">
        <v>232</v>
      </c>
      <c r="BC999" s="0">
        <v>2</v>
      </c>
      <c r="BD999" s="0">
        <v>8</v>
      </c>
      <c r="BE999" s="0">
        <v>519953</v>
      </c>
      <c r="BF999" s="0">
        <v>2</v>
      </c>
      <c r="BG999" s="0" t="s">
        <v>7337</v>
      </c>
      <c r="BI999" s="0">
        <v>2191</v>
      </c>
      <c r="BK999" s="0" t="s">
        <v>7338</v>
      </c>
    </row>
    <row r="1000">
      <c r="A1000" s="0">
        <v>6050</v>
      </c>
      <c r="C1000" s="0" t="s">
        <v>339</v>
      </c>
      <c r="D1000" s="0" t="s">
        <v>7332</v>
      </c>
      <c r="E1000" s="0" t="s">
        <v>7339</v>
      </c>
      <c r="F1000" s="0">
        <v>5</v>
      </c>
      <c r="G1000" s="0" t="s">
        <v>319</v>
      </c>
      <c r="H1000" s="0" t="s">
        <v>523</v>
      </c>
      <c r="I1000" s="0" t="s">
        <v>471</v>
      </c>
      <c r="T1000" s="0" t="s">
        <v>7340</v>
      </c>
      <c r="W1000" s="0" t="s">
        <v>7335</v>
      </c>
      <c r="X1000" s="0" t="s">
        <v>529</v>
      </c>
      <c r="Y1000" s="0" t="s">
        <v>77</v>
      </c>
      <c r="Z1000" s="0" t="s">
        <v>3973</v>
      </c>
      <c r="AA1000" s="0" t="s">
        <v>133</v>
      </c>
      <c r="AB1000" s="0" t="s">
        <v>3740</v>
      </c>
      <c r="AC1000" s="0" t="s">
        <v>571</v>
      </c>
      <c r="AD1000" s="0" t="s">
        <v>7336</v>
      </c>
      <c r="AF1000" s="0" t="s">
        <v>301</v>
      </c>
      <c r="AP1000" s="0" t="s">
        <v>305</v>
      </c>
      <c r="BA1000" s="0">
        <v>536</v>
      </c>
      <c r="BB1000" s="0" t="s">
        <v>232</v>
      </c>
      <c r="BC1000" s="0">
        <v>2</v>
      </c>
      <c r="BD1000" s="0">
        <v>8</v>
      </c>
      <c r="BE1000" s="0">
        <v>519953</v>
      </c>
      <c r="BF1000" s="0">
        <v>2</v>
      </c>
      <c r="BG1000" s="0" t="s">
        <v>7341</v>
      </c>
      <c r="BI1000" s="0">
        <v>1962</v>
      </c>
      <c r="BK1000" s="0" t="s">
        <v>7342</v>
      </c>
    </row>
    <row r="1001">
      <c r="A1001" s="0">
        <v>5813</v>
      </c>
      <c r="B1001" s="0" t="s">
        <v>7343</v>
      </c>
      <c r="C1001" s="0" t="s">
        <v>339</v>
      </c>
      <c r="D1001" s="0" t="s">
        <v>7344</v>
      </c>
      <c r="E1001" s="0" t="s">
        <v>7345</v>
      </c>
      <c r="F1001" s="0">
        <v>2</v>
      </c>
      <c r="G1001" s="0" t="s">
        <v>400</v>
      </c>
      <c r="I1001" s="0" t="s">
        <v>3204</v>
      </c>
      <c r="J1001" s="0" t="s">
        <v>319</v>
      </c>
      <c r="K1001" s="0" t="s">
        <v>398</v>
      </c>
      <c r="L1001" s="0" t="s">
        <v>471</v>
      </c>
      <c r="P1001" s="0" t="s">
        <v>7346</v>
      </c>
      <c r="Q1001" s="0" t="s">
        <v>1686</v>
      </c>
      <c r="R1001" s="0" t="s">
        <v>1253</v>
      </c>
      <c r="T1001" s="0" t="s">
        <v>7347</v>
      </c>
      <c r="U1001" s="0" t="s">
        <v>7348</v>
      </c>
      <c r="W1001" s="0" t="s">
        <v>7335</v>
      </c>
      <c r="X1001" s="0" t="s">
        <v>347</v>
      </c>
      <c r="Y1001" s="0" t="s">
        <v>77</v>
      </c>
      <c r="Z1001" s="0" t="s">
        <v>3973</v>
      </c>
      <c r="AA1001" s="0" t="s">
        <v>133</v>
      </c>
      <c r="AB1001" s="0" t="s">
        <v>3740</v>
      </c>
      <c r="AC1001" s="0" t="s">
        <v>571</v>
      </c>
      <c r="AD1001" s="0" t="s">
        <v>7336</v>
      </c>
      <c r="AF1001" s="0" t="s">
        <v>301</v>
      </c>
      <c r="AP1001" s="0" t="s">
        <v>305</v>
      </c>
      <c r="BA1001" s="0">
        <v>536</v>
      </c>
      <c r="BB1001" s="0" t="s">
        <v>232</v>
      </c>
      <c r="BC1001" s="0">
        <v>2</v>
      </c>
      <c r="BD1001" s="0">
        <v>8</v>
      </c>
      <c r="BE1001" s="0">
        <v>519953</v>
      </c>
      <c r="BF1001" s="0">
        <v>4</v>
      </c>
      <c r="BG1001" s="0" t="s">
        <v>7349</v>
      </c>
      <c r="BI1001" s="0">
        <v>811</v>
      </c>
      <c r="BK1001" s="0" t="s">
        <v>7350</v>
      </c>
    </row>
    <row r="1002">
      <c r="A1002" s="0">
        <v>6049</v>
      </c>
      <c r="B1002" s="0" t="s">
        <v>7351</v>
      </c>
      <c r="C1002" s="0" t="s">
        <v>339</v>
      </c>
      <c r="D1002" s="0" t="s">
        <v>7332</v>
      </c>
      <c r="E1002" s="0" t="s">
        <v>7352</v>
      </c>
      <c r="F1002" s="0">
        <v>3</v>
      </c>
      <c r="G1002" s="0" t="s">
        <v>400</v>
      </c>
      <c r="H1002" s="0" t="s">
        <v>1190</v>
      </c>
      <c r="I1002" s="0" t="s">
        <v>3204</v>
      </c>
      <c r="J1002" s="0" t="s">
        <v>319</v>
      </c>
      <c r="K1002" s="0" t="s">
        <v>523</v>
      </c>
      <c r="L1002" s="0" t="s">
        <v>471</v>
      </c>
      <c r="P1002" s="0" t="s">
        <v>1667</v>
      </c>
      <c r="Q1002" s="0" t="s">
        <v>1686</v>
      </c>
      <c r="R1002" s="0" t="s">
        <v>1253</v>
      </c>
      <c r="T1002" s="0" t="s">
        <v>7353</v>
      </c>
      <c r="U1002" s="0" t="s">
        <v>7354</v>
      </c>
      <c r="W1002" s="0" t="s">
        <v>7335</v>
      </c>
      <c r="X1002" s="0" t="s">
        <v>347</v>
      </c>
      <c r="Y1002" s="0" t="s">
        <v>77</v>
      </c>
      <c r="Z1002" s="0" t="s">
        <v>3973</v>
      </c>
      <c r="AA1002" s="0" t="s">
        <v>133</v>
      </c>
      <c r="AB1002" s="0" t="s">
        <v>3740</v>
      </c>
      <c r="AC1002" s="0" t="s">
        <v>571</v>
      </c>
      <c r="AD1002" s="0" t="s">
        <v>7336</v>
      </c>
      <c r="AF1002" s="0" t="s">
        <v>301</v>
      </c>
      <c r="AP1002" s="0" t="s">
        <v>305</v>
      </c>
      <c r="BA1002" s="0">
        <v>536</v>
      </c>
      <c r="BB1002" s="0" t="s">
        <v>232</v>
      </c>
      <c r="BC1002" s="0">
        <v>2</v>
      </c>
      <c r="BD1002" s="0">
        <v>8</v>
      </c>
      <c r="BE1002" s="0">
        <v>519953</v>
      </c>
      <c r="BF1002" s="0">
        <v>4</v>
      </c>
      <c r="BG1002" s="0" t="s">
        <v>7355</v>
      </c>
      <c r="BI1002" s="0">
        <v>1719</v>
      </c>
      <c r="BK1002" s="0" t="s">
        <v>7356</v>
      </c>
    </row>
    <row r="1003">
      <c r="A1003" s="0">
        <v>6047</v>
      </c>
      <c r="B1003" s="0" t="s">
        <v>7357</v>
      </c>
      <c r="C1003" s="0" t="s">
        <v>339</v>
      </c>
      <c r="D1003" s="0" t="s">
        <v>7332</v>
      </c>
      <c r="E1003" s="0" t="s">
        <v>7358</v>
      </c>
      <c r="F1003" s="0">
        <v>3</v>
      </c>
      <c r="G1003" s="0" t="s">
        <v>400</v>
      </c>
      <c r="I1003" s="0" t="s">
        <v>3204</v>
      </c>
      <c r="J1003" s="0" t="s">
        <v>319</v>
      </c>
      <c r="K1003" s="0" t="s">
        <v>523</v>
      </c>
      <c r="L1003" s="0" t="s">
        <v>471</v>
      </c>
      <c r="P1003" s="0" t="s">
        <v>1667</v>
      </c>
      <c r="Q1003" s="0" t="s">
        <v>1686</v>
      </c>
      <c r="R1003" s="0" t="s">
        <v>1253</v>
      </c>
      <c r="T1003" s="0" t="s">
        <v>7359</v>
      </c>
      <c r="U1003" s="0" t="s">
        <v>7360</v>
      </c>
      <c r="W1003" s="0" t="s">
        <v>7335</v>
      </c>
      <c r="X1003" s="0" t="s">
        <v>347</v>
      </c>
      <c r="Y1003" s="0" t="s">
        <v>77</v>
      </c>
      <c r="Z1003" s="0" t="s">
        <v>3973</v>
      </c>
      <c r="AA1003" s="0" t="s">
        <v>133</v>
      </c>
      <c r="AB1003" s="0" t="s">
        <v>3740</v>
      </c>
      <c r="AC1003" s="0" t="s">
        <v>571</v>
      </c>
      <c r="AD1003" s="0" t="s">
        <v>7336</v>
      </c>
      <c r="AF1003" s="0" t="s">
        <v>301</v>
      </c>
      <c r="AP1003" s="0" t="s">
        <v>305</v>
      </c>
      <c r="BA1003" s="0">
        <v>536</v>
      </c>
      <c r="BB1003" s="0" t="s">
        <v>232</v>
      </c>
      <c r="BC1003" s="0">
        <v>2</v>
      </c>
      <c r="BD1003" s="0">
        <v>8</v>
      </c>
      <c r="BE1003" s="0">
        <v>519953</v>
      </c>
      <c r="BF1003" s="0">
        <v>4</v>
      </c>
      <c r="BG1003" s="0" t="s">
        <v>7361</v>
      </c>
      <c r="BI1003" s="0">
        <v>1148</v>
      </c>
      <c r="BK1003" s="0" t="s">
        <v>7362</v>
      </c>
    </row>
    <row r="1004">
      <c r="A1004" s="0">
        <v>5740</v>
      </c>
      <c r="B1004" s="0" t="s">
        <v>7363</v>
      </c>
      <c r="C1004" s="0" t="s">
        <v>339</v>
      </c>
      <c r="D1004" s="0" t="s">
        <v>7335</v>
      </c>
      <c r="E1004" s="0" t="s">
        <v>7364</v>
      </c>
      <c r="F1004" s="0">
        <v>2</v>
      </c>
      <c r="G1004" s="0" t="s">
        <v>400</v>
      </c>
      <c r="I1004" s="0" t="s">
        <v>3204</v>
      </c>
      <c r="J1004" s="0" t="s">
        <v>319</v>
      </c>
      <c r="K1004" s="0" t="s">
        <v>398</v>
      </c>
      <c r="L1004" s="0" t="s">
        <v>471</v>
      </c>
      <c r="M1004" s="0" t="s">
        <v>759</v>
      </c>
      <c r="O1004" s="0" t="s">
        <v>1685</v>
      </c>
      <c r="U1004" s="0" t="s">
        <v>7365</v>
      </c>
      <c r="W1004" s="0" t="s">
        <v>7335</v>
      </c>
      <c r="X1004" s="0" t="s">
        <v>347</v>
      </c>
      <c r="Y1004" s="0" t="s">
        <v>77</v>
      </c>
      <c r="Z1004" s="0" t="s">
        <v>3973</v>
      </c>
      <c r="AA1004" s="0" t="s">
        <v>133</v>
      </c>
      <c r="AB1004" s="0" t="s">
        <v>3740</v>
      </c>
      <c r="AC1004" s="0" t="s">
        <v>571</v>
      </c>
      <c r="AD1004" s="0" t="s">
        <v>7336</v>
      </c>
      <c r="AF1004" s="0" t="s">
        <v>301</v>
      </c>
      <c r="AP1004" s="0" t="s">
        <v>305</v>
      </c>
      <c r="BA1004" s="0">
        <v>536</v>
      </c>
      <c r="BB1004" s="0" t="s">
        <v>232</v>
      </c>
      <c r="BC1004" s="0">
        <v>2</v>
      </c>
      <c r="BD1004" s="0">
        <v>8</v>
      </c>
      <c r="BE1004" s="0">
        <v>519953</v>
      </c>
      <c r="BF1004" s="0">
        <v>4</v>
      </c>
      <c r="BG1004" s="0" t="s">
        <v>7366</v>
      </c>
      <c r="BI1004" s="0">
        <v>411</v>
      </c>
      <c r="BK1004" s="0" t="s">
        <v>7367</v>
      </c>
    </row>
    <row r="1005">
      <c r="A1005" s="0">
        <v>6048</v>
      </c>
      <c r="B1005" s="0" t="s">
        <v>7368</v>
      </c>
      <c r="C1005" s="0" t="s">
        <v>339</v>
      </c>
      <c r="D1005" s="0" t="s">
        <v>7332</v>
      </c>
      <c r="E1005" s="0" t="s">
        <v>7369</v>
      </c>
      <c r="F1005" s="0">
        <v>3</v>
      </c>
      <c r="G1005" s="0" t="s">
        <v>400</v>
      </c>
      <c r="H1005" s="0" t="s">
        <v>1190</v>
      </c>
      <c r="I1005" s="0" t="s">
        <v>3204</v>
      </c>
      <c r="J1005" s="0" t="s">
        <v>319</v>
      </c>
      <c r="K1005" s="0" t="s">
        <v>523</v>
      </c>
      <c r="L1005" s="0" t="s">
        <v>471</v>
      </c>
      <c r="P1005" s="0" t="s">
        <v>1667</v>
      </c>
      <c r="R1005" s="0" t="s">
        <v>1253</v>
      </c>
      <c r="T1005" s="0" t="s">
        <v>7370</v>
      </c>
      <c r="U1005" s="0" t="s">
        <v>7371</v>
      </c>
      <c r="W1005" s="0" t="s">
        <v>7335</v>
      </c>
      <c r="X1005" s="0" t="s">
        <v>347</v>
      </c>
      <c r="Y1005" s="0" t="s">
        <v>77</v>
      </c>
      <c r="Z1005" s="0" t="s">
        <v>3973</v>
      </c>
      <c r="AA1005" s="0" t="s">
        <v>133</v>
      </c>
      <c r="AB1005" s="0" t="s">
        <v>3740</v>
      </c>
      <c r="AC1005" s="0" t="s">
        <v>571</v>
      </c>
      <c r="AD1005" s="0" t="s">
        <v>7336</v>
      </c>
      <c r="AF1005" s="0" t="s">
        <v>301</v>
      </c>
      <c r="AP1005" s="0" t="s">
        <v>305</v>
      </c>
      <c r="BA1005" s="0">
        <v>536</v>
      </c>
      <c r="BB1005" s="0" t="s">
        <v>232</v>
      </c>
      <c r="BC1005" s="0">
        <v>2</v>
      </c>
      <c r="BD1005" s="0">
        <v>8</v>
      </c>
      <c r="BE1005" s="0">
        <v>519953</v>
      </c>
      <c r="BF1005" s="0">
        <v>4</v>
      </c>
      <c r="BG1005" s="0" t="s">
        <v>7372</v>
      </c>
      <c r="BI1005" s="0">
        <v>1453</v>
      </c>
      <c r="BK1005" s="0" t="s">
        <v>7373</v>
      </c>
    </row>
    <row r="1006">
      <c r="A1006" s="0">
        <v>5745</v>
      </c>
      <c r="B1006" s="0" t="s">
        <v>7374</v>
      </c>
      <c r="C1006" s="0" t="s">
        <v>945</v>
      </c>
      <c r="D1006" s="0" t="s">
        <v>7375</v>
      </c>
      <c r="E1006" s="0" t="s">
        <v>7376</v>
      </c>
      <c r="F1006" s="0">
        <v>1</v>
      </c>
      <c r="G1006" s="0" t="s">
        <v>555</v>
      </c>
      <c r="H1006" s="0" t="s">
        <v>1112</v>
      </c>
      <c r="I1006" s="0" t="s">
        <v>469</v>
      </c>
      <c r="J1006" s="0" t="s">
        <v>525</v>
      </c>
      <c r="K1006" s="0" t="s">
        <v>400</v>
      </c>
      <c r="L1006" s="0" t="s">
        <v>4749</v>
      </c>
      <c r="P1006" s="0" t="s">
        <v>343</v>
      </c>
      <c r="Q1006" s="0" t="s">
        <v>343</v>
      </c>
      <c r="T1006" s="0" t="s">
        <v>7377</v>
      </c>
      <c r="U1006" s="0" t="s">
        <v>7378</v>
      </c>
      <c r="W1006" s="0" t="s">
        <v>6539</v>
      </c>
      <c r="X1006" s="0" t="s">
        <v>347</v>
      </c>
      <c r="Y1006" s="0" t="s">
        <v>36</v>
      </c>
      <c r="Z1006" s="0" t="s">
        <v>4002</v>
      </c>
      <c r="AA1006" s="0" t="s">
        <v>132</v>
      </c>
      <c r="AB1006" s="0" t="s">
        <v>3740</v>
      </c>
      <c r="AD1006" s="0" t="s">
        <v>2385</v>
      </c>
      <c r="AE1006" s="0" t="s">
        <v>7379</v>
      </c>
      <c r="AF1006" s="0" t="s">
        <v>301</v>
      </c>
      <c r="AM1006" s="0" t="s">
        <v>1473</v>
      </c>
      <c r="AN1006" s="0" t="s">
        <v>1473</v>
      </c>
      <c r="AO1006" s="0" t="s">
        <v>1108</v>
      </c>
      <c r="AP1006" s="0" t="s">
        <v>305</v>
      </c>
      <c r="AQ1006" s="0" t="s">
        <v>6380</v>
      </c>
      <c r="AR1006" s="0" t="s">
        <v>1077</v>
      </c>
      <c r="AS1006" s="0">
        <v>864</v>
      </c>
      <c r="AT1006" s="0">
        <v>1744</v>
      </c>
      <c r="AU1006" s="0">
        <v>2030</v>
      </c>
      <c r="AV1006" s="0" t="s">
        <v>332</v>
      </c>
      <c r="AX1006" s="0" t="s">
        <v>302</v>
      </c>
      <c r="AY1006" s="0" t="s">
        <v>924</v>
      </c>
      <c r="AZ1006" s="0" t="s">
        <v>1287</v>
      </c>
      <c r="BA1006" s="0">
        <v>537</v>
      </c>
      <c r="BB1006" s="0" t="s">
        <v>232</v>
      </c>
      <c r="BC1006" s="0">
        <v>2</v>
      </c>
      <c r="BD1006" s="0">
        <v>14</v>
      </c>
      <c r="BE1006" s="0">
        <v>134783</v>
      </c>
      <c r="BF1006" s="0">
        <v>4</v>
      </c>
      <c r="BG1006" s="0" t="s">
        <v>7380</v>
      </c>
      <c r="BI1006" s="0">
        <v>1707</v>
      </c>
      <c r="BK1006" s="0" t="s">
        <v>7381</v>
      </c>
    </row>
    <row r="1007">
      <c r="A1007" s="0">
        <v>5744</v>
      </c>
      <c r="B1007" s="0" t="s">
        <v>7382</v>
      </c>
      <c r="C1007" s="0" t="s">
        <v>945</v>
      </c>
      <c r="D1007" s="0" t="s">
        <v>7375</v>
      </c>
      <c r="E1007" s="0" t="s">
        <v>7383</v>
      </c>
      <c r="F1007" s="0">
        <v>1</v>
      </c>
      <c r="G1007" s="0" t="s">
        <v>555</v>
      </c>
      <c r="H1007" s="0" t="s">
        <v>1112</v>
      </c>
      <c r="I1007" s="0" t="s">
        <v>6249</v>
      </c>
      <c r="J1007" s="0" t="s">
        <v>525</v>
      </c>
      <c r="K1007" s="0" t="s">
        <v>400</v>
      </c>
      <c r="L1007" s="0" t="s">
        <v>4749</v>
      </c>
      <c r="P1007" s="0" t="s">
        <v>343</v>
      </c>
      <c r="Q1007" s="0" t="s">
        <v>343</v>
      </c>
      <c r="T1007" s="0" t="s">
        <v>7384</v>
      </c>
      <c r="U1007" s="0" t="s">
        <v>7385</v>
      </c>
      <c r="W1007" s="0" t="s">
        <v>6539</v>
      </c>
      <c r="X1007" s="0" t="s">
        <v>347</v>
      </c>
      <c r="Y1007" s="0" t="s">
        <v>36</v>
      </c>
      <c r="Z1007" s="0" t="s">
        <v>4002</v>
      </c>
      <c r="AA1007" s="0" t="s">
        <v>132</v>
      </c>
      <c r="AB1007" s="0" t="s">
        <v>3740</v>
      </c>
      <c r="AD1007" s="0" t="s">
        <v>2385</v>
      </c>
      <c r="AE1007" s="0" t="s">
        <v>7379</v>
      </c>
      <c r="AF1007" s="0" t="s">
        <v>301</v>
      </c>
      <c r="AM1007" s="0" t="s">
        <v>816</v>
      </c>
      <c r="AN1007" s="0" t="s">
        <v>816</v>
      </c>
      <c r="AO1007" s="0" t="s">
        <v>302</v>
      </c>
      <c r="AP1007" s="0" t="s">
        <v>305</v>
      </c>
      <c r="AQ1007" s="0" t="s">
        <v>7386</v>
      </c>
      <c r="AR1007" s="0" t="s">
        <v>1415</v>
      </c>
      <c r="AS1007" s="0">
        <v>369</v>
      </c>
      <c r="AT1007" s="0">
        <v>816</v>
      </c>
      <c r="AU1007" s="0">
        <v>915</v>
      </c>
      <c r="AV1007" s="0" t="s">
        <v>332</v>
      </c>
      <c r="AX1007" s="0" t="s">
        <v>391</v>
      </c>
      <c r="AY1007" s="0" t="s">
        <v>1066</v>
      </c>
      <c r="AZ1007" s="0" t="s">
        <v>1287</v>
      </c>
      <c r="BA1007" s="0">
        <v>537</v>
      </c>
      <c r="BB1007" s="0" t="s">
        <v>232</v>
      </c>
      <c r="BC1007" s="0">
        <v>2</v>
      </c>
      <c r="BD1007" s="0">
        <v>14</v>
      </c>
      <c r="BE1007" s="0">
        <v>134783</v>
      </c>
      <c r="BF1007" s="0">
        <v>4</v>
      </c>
      <c r="BG1007" s="0" t="s">
        <v>7387</v>
      </c>
      <c r="BI1007" s="0">
        <v>1440</v>
      </c>
      <c r="BK1007" s="0" t="s">
        <v>7388</v>
      </c>
    </row>
    <row r="1008">
      <c r="A1008" s="0">
        <v>5755</v>
      </c>
      <c r="B1008" s="0" t="s">
        <v>4644</v>
      </c>
      <c r="C1008" s="0" t="s">
        <v>945</v>
      </c>
      <c r="D1008" s="0" t="s">
        <v>7375</v>
      </c>
      <c r="E1008" s="0" t="s">
        <v>4645</v>
      </c>
      <c r="F1008" s="0">
        <v>1</v>
      </c>
      <c r="G1008" s="0" t="s">
        <v>319</v>
      </c>
      <c r="H1008" s="0" t="s">
        <v>658</v>
      </c>
      <c r="I1008" s="0" t="s">
        <v>7389</v>
      </c>
      <c r="P1008" s="0" t="s">
        <v>323</v>
      </c>
      <c r="Q1008" s="0" t="s">
        <v>343</v>
      </c>
      <c r="R1008" s="0" t="s">
        <v>556</v>
      </c>
      <c r="T1008" s="0" t="s">
        <v>7390</v>
      </c>
      <c r="U1008" s="0" t="s">
        <v>7391</v>
      </c>
      <c r="W1008" s="0" t="s">
        <v>6539</v>
      </c>
      <c r="X1008" s="0" t="s">
        <v>347</v>
      </c>
      <c r="Y1008" s="0" t="s">
        <v>36</v>
      </c>
      <c r="Z1008" s="0" t="s">
        <v>4002</v>
      </c>
      <c r="AA1008" s="0" t="s">
        <v>132</v>
      </c>
      <c r="AB1008" s="0" t="s">
        <v>3740</v>
      </c>
      <c r="AD1008" s="0" t="s">
        <v>2385</v>
      </c>
      <c r="AE1008" s="0" t="s">
        <v>7379</v>
      </c>
      <c r="AF1008" s="0" t="s">
        <v>301</v>
      </c>
      <c r="AM1008" s="0" t="s">
        <v>912</v>
      </c>
      <c r="AN1008" s="0" t="s">
        <v>1472</v>
      </c>
      <c r="AO1008" s="0" t="s">
        <v>474</v>
      </c>
      <c r="AP1008" s="0" t="s">
        <v>305</v>
      </c>
      <c r="AQ1008" s="0" t="s">
        <v>502</v>
      </c>
      <c r="AR1008" s="0" t="s">
        <v>1012</v>
      </c>
      <c r="AS1008" s="0">
        <v>88</v>
      </c>
      <c r="AT1008" s="0">
        <v>176</v>
      </c>
      <c r="AU1008" s="0">
        <v>208</v>
      </c>
      <c r="AV1008" s="0" t="s">
        <v>332</v>
      </c>
      <c r="AX1008" s="0" t="s">
        <v>490</v>
      </c>
      <c r="AY1008" s="0" t="s">
        <v>372</v>
      </c>
      <c r="AZ1008" s="0" t="s">
        <v>311</v>
      </c>
      <c r="BA1008" s="0">
        <v>537</v>
      </c>
      <c r="BB1008" s="0" t="s">
        <v>232</v>
      </c>
      <c r="BC1008" s="0">
        <v>2</v>
      </c>
      <c r="BD1008" s="0">
        <v>14</v>
      </c>
      <c r="BE1008" s="0">
        <v>134783</v>
      </c>
      <c r="BF1008" s="0">
        <v>4</v>
      </c>
      <c r="BG1008" s="0" t="s">
        <v>7392</v>
      </c>
      <c r="BI1008" s="0">
        <v>3512</v>
      </c>
      <c r="BK1008" s="0" t="s">
        <v>7393</v>
      </c>
    </row>
    <row r="1009">
      <c r="A1009" s="0">
        <v>5749</v>
      </c>
      <c r="B1009" s="0" t="s">
        <v>7394</v>
      </c>
      <c r="C1009" s="0" t="s">
        <v>945</v>
      </c>
      <c r="D1009" s="0" t="s">
        <v>7375</v>
      </c>
      <c r="E1009" s="0" t="s">
        <v>7395</v>
      </c>
      <c r="F1009" s="0">
        <v>1</v>
      </c>
      <c r="G1009" s="0" t="s">
        <v>555</v>
      </c>
      <c r="H1009" s="0" t="s">
        <v>1112</v>
      </c>
      <c r="I1009" s="0" t="s">
        <v>4748</v>
      </c>
      <c r="J1009" s="0" t="s">
        <v>594</v>
      </c>
      <c r="K1009" s="0" t="s">
        <v>1190</v>
      </c>
      <c r="L1009" s="0" t="s">
        <v>4749</v>
      </c>
      <c r="P1009" s="0" t="s">
        <v>323</v>
      </c>
      <c r="Q1009" s="0" t="s">
        <v>7396</v>
      </c>
      <c r="R1009" s="0" t="s">
        <v>3998</v>
      </c>
      <c r="T1009" s="0" t="s">
        <v>7397</v>
      </c>
      <c r="U1009" s="0" t="s">
        <v>7398</v>
      </c>
      <c r="W1009" s="0" t="s">
        <v>6539</v>
      </c>
      <c r="X1009" s="0" t="s">
        <v>347</v>
      </c>
      <c r="Y1009" s="0" t="s">
        <v>36</v>
      </c>
      <c r="Z1009" s="0" t="s">
        <v>4002</v>
      </c>
      <c r="AA1009" s="0" t="s">
        <v>132</v>
      </c>
      <c r="AB1009" s="0" t="s">
        <v>3740</v>
      </c>
      <c r="AD1009" s="0" t="s">
        <v>2385</v>
      </c>
      <c r="AE1009" s="0" t="s">
        <v>7379</v>
      </c>
      <c r="AF1009" s="0" t="s">
        <v>301</v>
      </c>
      <c r="AM1009" s="0" t="s">
        <v>303</v>
      </c>
      <c r="AN1009" s="0" t="s">
        <v>1920</v>
      </c>
      <c r="AO1009" s="0" t="s">
        <v>1875</v>
      </c>
      <c r="AP1009" s="0" t="s">
        <v>305</v>
      </c>
      <c r="AQ1009" s="0" t="s">
        <v>6026</v>
      </c>
      <c r="AR1009" s="0" t="s">
        <v>1182</v>
      </c>
      <c r="AS1009" s="0">
        <v>164</v>
      </c>
      <c r="AT1009" s="0">
        <v>356</v>
      </c>
      <c r="AU1009" s="0">
        <v>412</v>
      </c>
      <c r="AV1009" s="0" t="s">
        <v>308</v>
      </c>
      <c r="AX1009" s="0" t="s">
        <v>964</v>
      </c>
      <c r="AY1009" s="0" t="s">
        <v>6274</v>
      </c>
      <c r="AZ1009" s="0" t="s">
        <v>350</v>
      </c>
      <c r="BA1009" s="0">
        <v>537</v>
      </c>
      <c r="BB1009" s="0" t="s">
        <v>232</v>
      </c>
      <c r="BC1009" s="0">
        <v>2</v>
      </c>
      <c r="BD1009" s="0">
        <v>14</v>
      </c>
      <c r="BE1009" s="0">
        <v>134783</v>
      </c>
      <c r="BF1009" s="0">
        <v>4</v>
      </c>
      <c r="BG1009" s="0" t="s">
        <v>7399</v>
      </c>
      <c r="BI1009" s="0">
        <v>2588</v>
      </c>
      <c r="BK1009" s="0" t="s">
        <v>7400</v>
      </c>
    </row>
    <row r="1010">
      <c r="A1010" s="0">
        <v>5750</v>
      </c>
      <c r="B1010" s="0" t="s">
        <v>7401</v>
      </c>
      <c r="C1010" s="0" t="s">
        <v>945</v>
      </c>
      <c r="D1010" s="0" t="s">
        <v>7375</v>
      </c>
      <c r="E1010" s="0" t="s">
        <v>7402</v>
      </c>
      <c r="F1010" s="0">
        <v>1</v>
      </c>
      <c r="G1010" s="0" t="s">
        <v>555</v>
      </c>
      <c r="H1010" s="0" t="s">
        <v>1112</v>
      </c>
      <c r="I1010" s="0" t="s">
        <v>4748</v>
      </c>
      <c r="J1010" s="0" t="s">
        <v>594</v>
      </c>
      <c r="K1010" s="0" t="s">
        <v>1190</v>
      </c>
      <c r="L1010" s="0" t="s">
        <v>4749</v>
      </c>
      <c r="P1010" s="0" t="s">
        <v>323</v>
      </c>
      <c r="Q1010" s="0" t="s">
        <v>7396</v>
      </c>
      <c r="R1010" s="0" t="s">
        <v>3998</v>
      </c>
      <c r="T1010" s="0" t="s">
        <v>7403</v>
      </c>
      <c r="U1010" s="0" t="s">
        <v>7404</v>
      </c>
      <c r="W1010" s="0" t="s">
        <v>6539</v>
      </c>
      <c r="X1010" s="0" t="s">
        <v>347</v>
      </c>
      <c r="Y1010" s="0" t="s">
        <v>36</v>
      </c>
      <c r="Z1010" s="0" t="s">
        <v>4002</v>
      </c>
      <c r="AA1010" s="0" t="s">
        <v>132</v>
      </c>
      <c r="AB1010" s="0" t="s">
        <v>3740</v>
      </c>
      <c r="AD1010" s="0" t="s">
        <v>2385</v>
      </c>
      <c r="AE1010" s="0" t="s">
        <v>7379</v>
      </c>
      <c r="AF1010" s="0" t="s">
        <v>301</v>
      </c>
      <c r="AM1010" s="0" t="s">
        <v>3045</v>
      </c>
      <c r="AN1010" s="0" t="s">
        <v>862</v>
      </c>
      <c r="AO1010" s="0" t="s">
        <v>1066</v>
      </c>
      <c r="AP1010" s="0" t="s">
        <v>305</v>
      </c>
      <c r="AQ1010" s="0" t="s">
        <v>1450</v>
      </c>
      <c r="AR1010" s="0" t="s">
        <v>1084</v>
      </c>
      <c r="AS1010" s="0">
        <v>30</v>
      </c>
      <c r="AT1010" s="0">
        <v>66</v>
      </c>
      <c r="AU1010" s="0">
        <v>66</v>
      </c>
      <c r="AV1010" s="0" t="s">
        <v>332</v>
      </c>
      <c r="AX1010" s="0" t="s">
        <v>611</v>
      </c>
      <c r="AY1010" s="0" t="s">
        <v>7405</v>
      </c>
      <c r="AZ1010" s="0" t="s">
        <v>391</v>
      </c>
      <c r="BA1010" s="0">
        <v>537</v>
      </c>
      <c r="BB1010" s="0" t="s">
        <v>232</v>
      </c>
      <c r="BC1010" s="0">
        <v>2</v>
      </c>
      <c r="BD1010" s="0">
        <v>14</v>
      </c>
      <c r="BE1010" s="0">
        <v>134783</v>
      </c>
      <c r="BF1010" s="0">
        <v>4</v>
      </c>
      <c r="BG1010" s="0" t="s">
        <v>7406</v>
      </c>
      <c r="BI1010" s="0">
        <v>2765</v>
      </c>
      <c r="BK1010" s="0" t="s">
        <v>7407</v>
      </c>
    </row>
    <row r="1011">
      <c r="A1011" s="0">
        <v>5751</v>
      </c>
      <c r="B1011" s="0" t="s">
        <v>7408</v>
      </c>
      <c r="C1011" s="0" t="s">
        <v>945</v>
      </c>
      <c r="D1011" s="0" t="s">
        <v>7375</v>
      </c>
      <c r="E1011" s="0" t="s">
        <v>7409</v>
      </c>
      <c r="F1011" s="0">
        <v>1</v>
      </c>
      <c r="G1011" s="0" t="s">
        <v>555</v>
      </c>
      <c r="H1011" s="0" t="s">
        <v>1112</v>
      </c>
      <c r="I1011" s="0" t="s">
        <v>4748</v>
      </c>
      <c r="J1011" s="0" t="s">
        <v>594</v>
      </c>
      <c r="K1011" s="0" t="s">
        <v>1190</v>
      </c>
      <c r="L1011" s="0" t="s">
        <v>1293</v>
      </c>
      <c r="P1011" s="0" t="s">
        <v>323</v>
      </c>
      <c r="Q1011" s="0" t="s">
        <v>343</v>
      </c>
      <c r="R1011" s="0" t="s">
        <v>3998</v>
      </c>
      <c r="T1011" s="0" t="s">
        <v>7410</v>
      </c>
      <c r="U1011" s="0" t="s">
        <v>7411</v>
      </c>
      <c r="W1011" s="0" t="s">
        <v>6539</v>
      </c>
      <c r="X1011" s="0" t="s">
        <v>347</v>
      </c>
      <c r="Y1011" s="0" t="s">
        <v>36</v>
      </c>
      <c r="Z1011" s="0" t="s">
        <v>4002</v>
      </c>
      <c r="AA1011" s="0" t="s">
        <v>132</v>
      </c>
      <c r="AB1011" s="0" t="s">
        <v>3740</v>
      </c>
      <c r="AD1011" s="0" t="s">
        <v>2385</v>
      </c>
      <c r="AE1011" s="0" t="s">
        <v>7379</v>
      </c>
      <c r="AF1011" s="0" t="s">
        <v>301</v>
      </c>
      <c r="AM1011" s="0" t="s">
        <v>3045</v>
      </c>
      <c r="AN1011" s="0" t="s">
        <v>912</v>
      </c>
      <c r="AO1011" s="0" t="s">
        <v>1066</v>
      </c>
      <c r="AP1011" s="0" t="s">
        <v>305</v>
      </c>
      <c r="AQ1011" s="0" t="s">
        <v>1850</v>
      </c>
      <c r="AR1011" s="0" t="s">
        <v>502</v>
      </c>
      <c r="AS1011" s="0">
        <v>63</v>
      </c>
      <c r="AT1011" s="0">
        <v>144</v>
      </c>
      <c r="AU1011" s="0">
        <v>144</v>
      </c>
      <c r="AV1011" s="0" t="s">
        <v>332</v>
      </c>
      <c r="AX1011" s="0" t="s">
        <v>611</v>
      </c>
      <c r="AY1011" s="0" t="s">
        <v>1066</v>
      </c>
      <c r="AZ1011" s="0" t="s">
        <v>391</v>
      </c>
      <c r="BA1011" s="0">
        <v>537</v>
      </c>
      <c r="BB1011" s="0" t="s">
        <v>232</v>
      </c>
      <c r="BC1011" s="0">
        <v>2</v>
      </c>
      <c r="BD1011" s="0">
        <v>14</v>
      </c>
      <c r="BE1011" s="0">
        <v>134783</v>
      </c>
      <c r="BF1011" s="0">
        <v>4</v>
      </c>
      <c r="BG1011" s="0" t="s">
        <v>7412</v>
      </c>
      <c r="BI1011" s="0">
        <v>2938</v>
      </c>
      <c r="BK1011" s="0" t="s">
        <v>7413</v>
      </c>
    </row>
    <row r="1012">
      <c r="A1012" s="0">
        <v>6040</v>
      </c>
      <c r="B1012" s="0" t="s">
        <v>7414</v>
      </c>
      <c r="C1012" s="0" t="s">
        <v>315</v>
      </c>
      <c r="D1012" s="0" t="s">
        <v>7415</v>
      </c>
      <c r="E1012" s="0" t="s">
        <v>7416</v>
      </c>
      <c r="F1012" s="0">
        <v>1</v>
      </c>
      <c r="G1012" s="0" t="s">
        <v>319</v>
      </c>
      <c r="H1012" s="0" t="s">
        <v>398</v>
      </c>
      <c r="I1012" s="0" t="s">
        <v>471</v>
      </c>
      <c r="J1012" s="0" t="s">
        <v>594</v>
      </c>
      <c r="K1012" s="0" t="s">
        <v>1190</v>
      </c>
      <c r="L1012" s="0" t="s">
        <v>7417</v>
      </c>
      <c r="P1012" s="0" t="s">
        <v>323</v>
      </c>
      <c r="Q1012" s="0" t="s">
        <v>323</v>
      </c>
      <c r="R1012" s="0" t="s">
        <v>2103</v>
      </c>
      <c r="T1012" s="0" t="s">
        <v>7418</v>
      </c>
      <c r="U1012" s="0" t="s">
        <v>7419</v>
      </c>
      <c r="W1012" s="0" t="s">
        <v>6539</v>
      </c>
      <c r="X1012" s="0" t="s">
        <v>347</v>
      </c>
      <c r="Y1012" s="0" t="s">
        <v>36</v>
      </c>
      <c r="Z1012" s="0" t="s">
        <v>4002</v>
      </c>
      <c r="AA1012" s="0" t="s">
        <v>132</v>
      </c>
      <c r="AB1012" s="0" t="s">
        <v>3740</v>
      </c>
      <c r="AD1012" s="0" t="s">
        <v>2385</v>
      </c>
      <c r="AE1012" s="0" t="s">
        <v>7379</v>
      </c>
      <c r="AF1012" s="0" t="s">
        <v>301</v>
      </c>
      <c r="AP1012" s="0" t="s">
        <v>305</v>
      </c>
      <c r="BA1012" s="0">
        <v>537</v>
      </c>
      <c r="BB1012" s="0" t="s">
        <v>232</v>
      </c>
      <c r="BC1012" s="0">
        <v>2</v>
      </c>
      <c r="BD1012" s="0">
        <v>374043</v>
      </c>
      <c r="BE1012" s="0">
        <v>134783</v>
      </c>
      <c r="BF1012" s="0">
        <v>4</v>
      </c>
      <c r="BG1012" s="0" t="s">
        <v>7420</v>
      </c>
      <c r="BI1012" s="0">
        <v>3923</v>
      </c>
      <c r="BK1012" s="0" t="s">
        <v>7421</v>
      </c>
    </row>
    <row r="1013">
      <c r="A1013" s="0">
        <v>5743</v>
      </c>
      <c r="B1013" s="0" t="s">
        <v>7422</v>
      </c>
      <c r="C1013" s="0" t="s">
        <v>315</v>
      </c>
      <c r="D1013" s="0" t="s">
        <v>7375</v>
      </c>
      <c r="E1013" s="0" t="s">
        <v>7318</v>
      </c>
      <c r="F1013" s="0">
        <v>1</v>
      </c>
      <c r="G1013" s="0" t="s">
        <v>319</v>
      </c>
      <c r="H1013" s="0" t="s">
        <v>398</v>
      </c>
      <c r="I1013" s="0" t="s">
        <v>471</v>
      </c>
      <c r="J1013" s="0" t="s">
        <v>594</v>
      </c>
      <c r="K1013" s="0" t="s">
        <v>1190</v>
      </c>
      <c r="L1013" s="0" t="s">
        <v>4749</v>
      </c>
      <c r="M1013" s="0" t="s">
        <v>594</v>
      </c>
      <c r="N1013" s="0" t="s">
        <v>1190</v>
      </c>
      <c r="O1013" s="0" t="s">
        <v>4749</v>
      </c>
      <c r="P1013" s="0" t="s">
        <v>323</v>
      </c>
      <c r="Q1013" s="0" t="s">
        <v>323</v>
      </c>
      <c r="R1013" s="0" t="s">
        <v>526</v>
      </c>
      <c r="T1013" s="0" t="s">
        <v>7423</v>
      </c>
      <c r="U1013" s="0" t="s">
        <v>7424</v>
      </c>
      <c r="W1013" s="0" t="s">
        <v>6539</v>
      </c>
      <c r="X1013" s="0" t="s">
        <v>347</v>
      </c>
      <c r="Y1013" s="0" t="s">
        <v>36</v>
      </c>
      <c r="Z1013" s="0" t="s">
        <v>4002</v>
      </c>
      <c r="AA1013" s="0" t="s">
        <v>132</v>
      </c>
      <c r="AB1013" s="0" t="s">
        <v>3740</v>
      </c>
      <c r="AD1013" s="0" t="s">
        <v>2385</v>
      </c>
      <c r="AE1013" s="0" t="s">
        <v>7379</v>
      </c>
      <c r="AF1013" s="0" t="s">
        <v>301</v>
      </c>
      <c r="AP1013" s="0" t="s">
        <v>305</v>
      </c>
      <c r="BA1013" s="0">
        <v>537</v>
      </c>
      <c r="BB1013" s="0" t="s">
        <v>232</v>
      </c>
      <c r="BC1013" s="0">
        <v>2</v>
      </c>
      <c r="BD1013" s="0">
        <v>374043</v>
      </c>
      <c r="BE1013" s="0">
        <v>134783</v>
      </c>
      <c r="BF1013" s="0">
        <v>4</v>
      </c>
      <c r="BG1013" s="0" t="s">
        <v>7425</v>
      </c>
      <c r="BI1013" s="0">
        <v>1137</v>
      </c>
      <c r="BK1013" s="0" t="s">
        <v>7426</v>
      </c>
    </row>
    <row r="1014">
      <c r="A1014" s="0">
        <v>5742</v>
      </c>
      <c r="B1014" s="0" t="s">
        <v>7427</v>
      </c>
      <c r="C1014" s="0" t="s">
        <v>315</v>
      </c>
      <c r="D1014" s="0" t="s">
        <v>7375</v>
      </c>
      <c r="E1014" s="0" t="s">
        <v>7323</v>
      </c>
      <c r="F1014" s="0">
        <v>1</v>
      </c>
      <c r="G1014" s="0" t="s">
        <v>319</v>
      </c>
      <c r="H1014" s="0" t="s">
        <v>398</v>
      </c>
      <c r="I1014" s="0" t="s">
        <v>471</v>
      </c>
      <c r="J1014" s="0" t="s">
        <v>594</v>
      </c>
      <c r="K1014" s="0" t="s">
        <v>1190</v>
      </c>
      <c r="L1014" s="0" t="s">
        <v>4749</v>
      </c>
      <c r="M1014" s="0" t="s">
        <v>594</v>
      </c>
      <c r="N1014" s="0" t="s">
        <v>1190</v>
      </c>
      <c r="O1014" s="0" t="s">
        <v>4749</v>
      </c>
      <c r="P1014" s="0" t="s">
        <v>323</v>
      </c>
      <c r="Q1014" s="0" t="s">
        <v>323</v>
      </c>
      <c r="R1014" s="0" t="s">
        <v>526</v>
      </c>
      <c r="T1014" s="0" t="s">
        <v>7428</v>
      </c>
      <c r="U1014" s="0" t="s">
        <v>7429</v>
      </c>
      <c r="W1014" s="0" t="s">
        <v>6539</v>
      </c>
      <c r="X1014" s="0" t="s">
        <v>347</v>
      </c>
      <c r="Y1014" s="0" t="s">
        <v>36</v>
      </c>
      <c r="Z1014" s="0" t="s">
        <v>4002</v>
      </c>
      <c r="AA1014" s="0" t="s">
        <v>132</v>
      </c>
      <c r="AB1014" s="0" t="s">
        <v>3740</v>
      </c>
      <c r="AD1014" s="0" t="s">
        <v>2385</v>
      </c>
      <c r="AE1014" s="0" t="s">
        <v>7379</v>
      </c>
      <c r="AF1014" s="0" t="s">
        <v>301</v>
      </c>
      <c r="AP1014" s="0" t="s">
        <v>305</v>
      </c>
      <c r="BA1014" s="0">
        <v>537</v>
      </c>
      <c r="BB1014" s="0" t="s">
        <v>232</v>
      </c>
      <c r="BC1014" s="0">
        <v>2</v>
      </c>
      <c r="BD1014" s="0">
        <v>374043</v>
      </c>
      <c r="BE1014" s="0">
        <v>134783</v>
      </c>
      <c r="BF1014" s="0">
        <v>4</v>
      </c>
      <c r="BG1014" s="0" t="s">
        <v>7430</v>
      </c>
      <c r="BI1014" s="0">
        <v>808</v>
      </c>
      <c r="BK1014" s="0" t="s">
        <v>7431</v>
      </c>
    </row>
    <row r="1015">
      <c r="A1015" s="0">
        <v>5747</v>
      </c>
      <c r="B1015" s="0" t="s">
        <v>7432</v>
      </c>
      <c r="C1015" s="0" t="s">
        <v>315</v>
      </c>
      <c r="D1015" s="0" t="s">
        <v>7375</v>
      </c>
      <c r="E1015" s="0" t="s">
        <v>7433</v>
      </c>
      <c r="F1015" s="0">
        <v>1</v>
      </c>
      <c r="G1015" s="0" t="s">
        <v>543</v>
      </c>
      <c r="H1015" s="0" t="s">
        <v>1112</v>
      </c>
      <c r="I1015" s="0" t="s">
        <v>524</v>
      </c>
      <c r="J1015" s="0" t="s">
        <v>293</v>
      </c>
      <c r="K1015" s="0" t="s">
        <v>294</v>
      </c>
      <c r="L1015" s="0" t="s">
        <v>5446</v>
      </c>
      <c r="M1015" s="0" t="s">
        <v>594</v>
      </c>
      <c r="N1015" s="0" t="s">
        <v>1190</v>
      </c>
      <c r="O1015" s="0" t="s">
        <v>5473</v>
      </c>
      <c r="P1015" s="0" t="s">
        <v>323</v>
      </c>
      <c r="Q1015" s="0" t="s">
        <v>323</v>
      </c>
      <c r="R1015" s="0" t="s">
        <v>2393</v>
      </c>
      <c r="T1015" s="0" t="s">
        <v>7434</v>
      </c>
      <c r="U1015" s="0" t="s">
        <v>7435</v>
      </c>
      <c r="W1015" s="0" t="s">
        <v>6539</v>
      </c>
      <c r="X1015" s="0" t="s">
        <v>347</v>
      </c>
      <c r="Y1015" s="0" t="s">
        <v>36</v>
      </c>
      <c r="Z1015" s="0" t="s">
        <v>4002</v>
      </c>
      <c r="AA1015" s="0" t="s">
        <v>132</v>
      </c>
      <c r="AB1015" s="0" t="s">
        <v>3740</v>
      </c>
      <c r="AD1015" s="0" t="s">
        <v>2385</v>
      </c>
      <c r="AE1015" s="0" t="s">
        <v>7379</v>
      </c>
      <c r="AF1015" s="0" t="s">
        <v>301</v>
      </c>
      <c r="AP1015" s="0" t="s">
        <v>305</v>
      </c>
      <c r="BA1015" s="0">
        <v>537</v>
      </c>
      <c r="BB1015" s="0" t="s">
        <v>232</v>
      </c>
      <c r="BC1015" s="0">
        <v>2</v>
      </c>
      <c r="BD1015" s="0">
        <v>374043</v>
      </c>
      <c r="BE1015" s="0">
        <v>134783</v>
      </c>
      <c r="BF1015" s="0">
        <v>4</v>
      </c>
      <c r="BG1015" s="0" t="s">
        <v>7436</v>
      </c>
      <c r="BI1015" s="0">
        <v>2181</v>
      </c>
      <c r="BK1015" s="0" t="s">
        <v>7437</v>
      </c>
    </row>
    <row r="1016">
      <c r="A1016" s="0">
        <v>5748</v>
      </c>
      <c r="B1016" s="0" t="s">
        <v>7438</v>
      </c>
      <c r="C1016" s="0" t="s">
        <v>315</v>
      </c>
      <c r="D1016" s="0" t="s">
        <v>7375</v>
      </c>
      <c r="E1016" s="0" t="s">
        <v>7439</v>
      </c>
      <c r="F1016" s="0">
        <v>1</v>
      </c>
      <c r="G1016" s="0" t="s">
        <v>543</v>
      </c>
      <c r="H1016" s="0" t="s">
        <v>1112</v>
      </c>
      <c r="I1016" s="0" t="s">
        <v>524</v>
      </c>
      <c r="J1016" s="0" t="s">
        <v>293</v>
      </c>
      <c r="K1016" s="0" t="s">
        <v>294</v>
      </c>
      <c r="L1016" s="0" t="s">
        <v>5446</v>
      </c>
      <c r="M1016" s="0" t="s">
        <v>594</v>
      </c>
      <c r="N1016" s="0" t="s">
        <v>1190</v>
      </c>
      <c r="O1016" s="0" t="s">
        <v>5473</v>
      </c>
      <c r="P1016" s="0" t="s">
        <v>323</v>
      </c>
      <c r="Q1016" s="0" t="s">
        <v>323</v>
      </c>
      <c r="R1016" s="0" t="s">
        <v>2393</v>
      </c>
      <c r="T1016" s="0" t="s">
        <v>7440</v>
      </c>
      <c r="U1016" s="0" t="s">
        <v>7441</v>
      </c>
      <c r="W1016" s="0" t="s">
        <v>6539</v>
      </c>
      <c r="X1016" s="0" t="s">
        <v>347</v>
      </c>
      <c r="Y1016" s="0" t="s">
        <v>36</v>
      </c>
      <c r="Z1016" s="0" t="s">
        <v>4002</v>
      </c>
      <c r="AA1016" s="0" t="s">
        <v>132</v>
      </c>
      <c r="AB1016" s="0" t="s">
        <v>3740</v>
      </c>
      <c r="AD1016" s="0" t="s">
        <v>2385</v>
      </c>
      <c r="AE1016" s="0" t="s">
        <v>7379</v>
      </c>
      <c r="AF1016" s="0" t="s">
        <v>301</v>
      </c>
      <c r="AP1016" s="0" t="s">
        <v>305</v>
      </c>
      <c r="BA1016" s="0">
        <v>537</v>
      </c>
      <c r="BB1016" s="0" t="s">
        <v>232</v>
      </c>
      <c r="BC1016" s="0">
        <v>2</v>
      </c>
      <c r="BD1016" s="0">
        <v>374043</v>
      </c>
      <c r="BE1016" s="0">
        <v>134783</v>
      </c>
      <c r="BF1016" s="0">
        <v>4</v>
      </c>
      <c r="BG1016" s="0" t="s">
        <v>7442</v>
      </c>
      <c r="BI1016" s="0">
        <v>2393</v>
      </c>
      <c r="BK1016" s="0" t="s">
        <v>7443</v>
      </c>
    </row>
    <row r="1017">
      <c r="A1017" s="0">
        <v>5825</v>
      </c>
      <c r="B1017" s="0" t="s">
        <v>7444</v>
      </c>
      <c r="C1017" s="0" t="s">
        <v>315</v>
      </c>
      <c r="D1017" s="0" t="s">
        <v>7344</v>
      </c>
      <c r="E1017" s="0" t="s">
        <v>7445</v>
      </c>
      <c r="F1017" s="0">
        <v>1</v>
      </c>
      <c r="G1017" s="0" t="s">
        <v>319</v>
      </c>
      <c r="H1017" s="0" t="s">
        <v>398</v>
      </c>
      <c r="I1017" s="0" t="s">
        <v>471</v>
      </c>
      <c r="J1017" s="0" t="s">
        <v>594</v>
      </c>
      <c r="K1017" s="0" t="s">
        <v>1190</v>
      </c>
      <c r="L1017" s="0" t="s">
        <v>4749</v>
      </c>
      <c r="P1017" s="0" t="s">
        <v>323</v>
      </c>
      <c r="Q1017" s="0" t="s">
        <v>323</v>
      </c>
      <c r="R1017" s="0" t="s">
        <v>2488</v>
      </c>
      <c r="T1017" s="0" t="s">
        <v>7446</v>
      </c>
      <c r="U1017" s="0" t="s">
        <v>7447</v>
      </c>
      <c r="W1017" s="0" t="s">
        <v>6539</v>
      </c>
      <c r="X1017" s="0" t="s">
        <v>347</v>
      </c>
      <c r="Y1017" s="0" t="s">
        <v>36</v>
      </c>
      <c r="Z1017" s="0" t="s">
        <v>4002</v>
      </c>
      <c r="AA1017" s="0" t="s">
        <v>132</v>
      </c>
      <c r="AB1017" s="0" t="s">
        <v>3740</v>
      </c>
      <c r="AD1017" s="0" t="s">
        <v>2385</v>
      </c>
      <c r="AE1017" s="0" t="s">
        <v>7379</v>
      </c>
      <c r="AF1017" s="0" t="s">
        <v>301</v>
      </c>
      <c r="AP1017" s="0" t="s">
        <v>305</v>
      </c>
      <c r="BA1017" s="0">
        <v>537</v>
      </c>
      <c r="BB1017" s="0" t="s">
        <v>232</v>
      </c>
      <c r="BC1017" s="0">
        <v>2</v>
      </c>
      <c r="BD1017" s="0">
        <v>374043</v>
      </c>
      <c r="BE1017" s="0">
        <v>134783</v>
      </c>
      <c r="BF1017" s="0">
        <v>4</v>
      </c>
      <c r="BG1017" s="0" t="s">
        <v>7448</v>
      </c>
      <c r="BI1017" s="0">
        <v>3735</v>
      </c>
      <c r="BK1017" s="0" t="s">
        <v>7449</v>
      </c>
    </row>
    <row r="1018">
      <c r="A1018" s="0">
        <v>5753</v>
      </c>
      <c r="B1018" s="0" t="s">
        <v>7450</v>
      </c>
      <c r="C1018" s="0" t="s">
        <v>315</v>
      </c>
      <c r="D1018" s="0" t="s">
        <v>7375</v>
      </c>
      <c r="E1018" s="0" t="s">
        <v>7451</v>
      </c>
      <c r="F1018" s="0">
        <v>1</v>
      </c>
      <c r="G1018" s="0" t="s">
        <v>319</v>
      </c>
      <c r="H1018" s="0" t="s">
        <v>398</v>
      </c>
      <c r="I1018" s="0" t="s">
        <v>471</v>
      </c>
      <c r="J1018" s="0" t="s">
        <v>594</v>
      </c>
      <c r="K1018" s="0" t="s">
        <v>1190</v>
      </c>
      <c r="L1018" s="0" t="s">
        <v>4749</v>
      </c>
      <c r="M1018" s="0" t="s">
        <v>594</v>
      </c>
      <c r="N1018" s="0" t="s">
        <v>1190</v>
      </c>
      <c r="O1018" s="0" t="s">
        <v>4749</v>
      </c>
      <c r="P1018" s="0" t="s">
        <v>323</v>
      </c>
      <c r="Q1018" s="0" t="s">
        <v>323</v>
      </c>
      <c r="R1018" s="0" t="s">
        <v>2488</v>
      </c>
      <c r="T1018" s="0" t="s">
        <v>7452</v>
      </c>
      <c r="U1018" s="0" t="s">
        <v>7453</v>
      </c>
      <c r="W1018" s="0" t="s">
        <v>6539</v>
      </c>
      <c r="X1018" s="0" t="s">
        <v>347</v>
      </c>
      <c r="Y1018" s="0" t="s">
        <v>36</v>
      </c>
      <c r="Z1018" s="0" t="s">
        <v>4002</v>
      </c>
      <c r="AA1018" s="0" t="s">
        <v>132</v>
      </c>
      <c r="AB1018" s="0" t="s">
        <v>3740</v>
      </c>
      <c r="AD1018" s="0" t="s">
        <v>2385</v>
      </c>
      <c r="AE1018" s="0" t="s">
        <v>7379</v>
      </c>
      <c r="AF1018" s="0" t="s">
        <v>301</v>
      </c>
      <c r="AP1018" s="0" t="s">
        <v>305</v>
      </c>
      <c r="BA1018" s="0">
        <v>537</v>
      </c>
      <c r="BB1018" s="0" t="s">
        <v>232</v>
      </c>
      <c r="BC1018" s="0">
        <v>2</v>
      </c>
      <c r="BD1018" s="0">
        <v>374043</v>
      </c>
      <c r="BE1018" s="0">
        <v>134783</v>
      </c>
      <c r="BF1018" s="0">
        <v>4</v>
      </c>
      <c r="BG1018" s="0" t="s">
        <v>7454</v>
      </c>
      <c r="BI1018" s="0">
        <v>3255</v>
      </c>
      <c r="BK1018" s="0" t="s">
        <v>7455</v>
      </c>
    </row>
    <row r="1019">
      <c r="A1019" s="0">
        <v>5754</v>
      </c>
      <c r="B1019" s="0" t="s">
        <v>7456</v>
      </c>
      <c r="C1019" s="0" t="s">
        <v>339</v>
      </c>
      <c r="D1019" s="0" t="s">
        <v>7375</v>
      </c>
      <c r="E1019" s="0" t="s">
        <v>7457</v>
      </c>
      <c r="F1019" s="0">
        <v>1</v>
      </c>
      <c r="G1019" s="0" t="s">
        <v>543</v>
      </c>
      <c r="H1019" s="0" t="s">
        <v>1987</v>
      </c>
      <c r="I1019" s="0" t="s">
        <v>524</v>
      </c>
      <c r="P1019" s="0" t="s">
        <v>323</v>
      </c>
      <c r="Q1019" s="0" t="s">
        <v>4015</v>
      </c>
      <c r="R1019" s="0" t="s">
        <v>3998</v>
      </c>
      <c r="T1019" s="0" t="s">
        <v>7458</v>
      </c>
      <c r="U1019" s="0" t="s">
        <v>7459</v>
      </c>
      <c r="W1019" s="0" t="s">
        <v>6539</v>
      </c>
      <c r="X1019" s="0" t="s">
        <v>347</v>
      </c>
      <c r="Y1019" s="0" t="s">
        <v>36</v>
      </c>
      <c r="Z1019" s="0" t="s">
        <v>4002</v>
      </c>
      <c r="AA1019" s="0" t="s">
        <v>132</v>
      </c>
      <c r="AB1019" s="0" t="s">
        <v>3740</v>
      </c>
      <c r="AD1019" s="0" t="s">
        <v>2385</v>
      </c>
      <c r="AE1019" s="0" t="s">
        <v>7379</v>
      </c>
      <c r="AF1019" s="0" t="s">
        <v>301</v>
      </c>
      <c r="AP1019" s="0" t="s">
        <v>305</v>
      </c>
      <c r="BA1019" s="0">
        <v>537</v>
      </c>
      <c r="BB1019" s="0" t="s">
        <v>232</v>
      </c>
      <c r="BC1019" s="0">
        <v>2</v>
      </c>
      <c r="BD1019" s="0">
        <v>8</v>
      </c>
      <c r="BE1019" s="0">
        <v>134783</v>
      </c>
      <c r="BF1019" s="0">
        <v>4</v>
      </c>
      <c r="BG1019" s="0" t="s">
        <v>7460</v>
      </c>
      <c r="BI1019" s="0">
        <v>3390</v>
      </c>
      <c r="BK1019" s="0" t="s">
        <v>7461</v>
      </c>
    </row>
    <row r="1020">
      <c r="A1020" s="0">
        <v>5741</v>
      </c>
      <c r="B1020" s="0" t="s">
        <v>7462</v>
      </c>
      <c r="C1020" s="0" t="s">
        <v>315</v>
      </c>
      <c r="D1020" s="0" t="s">
        <v>7375</v>
      </c>
      <c r="E1020" s="0" t="s">
        <v>7328</v>
      </c>
      <c r="F1020" s="0">
        <v>1</v>
      </c>
      <c r="G1020" s="0" t="s">
        <v>319</v>
      </c>
      <c r="H1020" s="0" t="s">
        <v>398</v>
      </c>
      <c r="I1020" s="0" t="s">
        <v>471</v>
      </c>
      <c r="J1020" s="0" t="s">
        <v>293</v>
      </c>
      <c r="K1020" s="0" t="s">
        <v>294</v>
      </c>
      <c r="L1020" s="0" t="s">
        <v>5446</v>
      </c>
      <c r="P1020" s="0" t="s">
        <v>323</v>
      </c>
      <c r="Q1020" s="0" t="s">
        <v>323</v>
      </c>
      <c r="R1020" s="0" t="s">
        <v>2393</v>
      </c>
      <c r="T1020" s="0" t="s">
        <v>7463</v>
      </c>
      <c r="U1020" s="0" t="s">
        <v>7464</v>
      </c>
      <c r="W1020" s="0" t="s">
        <v>6539</v>
      </c>
      <c r="X1020" s="0" t="s">
        <v>347</v>
      </c>
      <c r="Y1020" s="0" t="s">
        <v>36</v>
      </c>
      <c r="Z1020" s="0" t="s">
        <v>4002</v>
      </c>
      <c r="AA1020" s="0" t="s">
        <v>132</v>
      </c>
      <c r="AB1020" s="0" t="s">
        <v>3740</v>
      </c>
      <c r="AD1020" s="0" t="s">
        <v>2385</v>
      </c>
      <c r="AE1020" s="0" t="s">
        <v>7379</v>
      </c>
      <c r="AF1020" s="0" t="s">
        <v>301</v>
      </c>
      <c r="AP1020" s="0" t="s">
        <v>305</v>
      </c>
      <c r="BA1020" s="0">
        <v>537</v>
      </c>
      <c r="BB1020" s="0" t="s">
        <v>232</v>
      </c>
      <c r="BC1020" s="0">
        <v>2</v>
      </c>
      <c r="BD1020" s="0">
        <v>374043</v>
      </c>
      <c r="BE1020" s="0">
        <v>134783</v>
      </c>
      <c r="BF1020" s="0">
        <v>4</v>
      </c>
      <c r="BG1020" s="0" t="s">
        <v>7465</v>
      </c>
      <c r="BI1020" s="0">
        <v>410</v>
      </c>
      <c r="BK1020" s="0" t="s">
        <v>7466</v>
      </c>
    </row>
    <row r="1021">
      <c r="A1021" s="0">
        <v>5746</v>
      </c>
      <c r="B1021" s="0" t="s">
        <v>7467</v>
      </c>
      <c r="C1021" s="0" t="s">
        <v>315</v>
      </c>
      <c r="D1021" s="0" t="s">
        <v>7375</v>
      </c>
      <c r="E1021" s="0" t="s">
        <v>7468</v>
      </c>
      <c r="F1021" s="0">
        <v>1</v>
      </c>
      <c r="G1021" s="0" t="s">
        <v>319</v>
      </c>
      <c r="H1021" s="0" t="s">
        <v>398</v>
      </c>
      <c r="I1021" s="0" t="s">
        <v>471</v>
      </c>
      <c r="J1021" s="0" t="s">
        <v>594</v>
      </c>
      <c r="K1021" s="0" t="s">
        <v>1190</v>
      </c>
      <c r="L1021" s="0" t="s">
        <v>4749</v>
      </c>
      <c r="P1021" s="0" t="s">
        <v>323</v>
      </c>
      <c r="Q1021" s="0" t="s">
        <v>323</v>
      </c>
      <c r="R1021" s="0" t="s">
        <v>3998</v>
      </c>
      <c r="T1021" s="0" t="s">
        <v>7469</v>
      </c>
      <c r="U1021" s="0" t="s">
        <v>7470</v>
      </c>
      <c r="W1021" s="0" t="s">
        <v>6539</v>
      </c>
      <c r="X1021" s="0" t="s">
        <v>347</v>
      </c>
      <c r="Y1021" s="0" t="s">
        <v>36</v>
      </c>
      <c r="Z1021" s="0" t="s">
        <v>4002</v>
      </c>
      <c r="AA1021" s="0" t="s">
        <v>132</v>
      </c>
      <c r="AB1021" s="0" t="s">
        <v>3740</v>
      </c>
      <c r="AD1021" s="0" t="s">
        <v>2385</v>
      </c>
      <c r="AE1021" s="0" t="s">
        <v>7379</v>
      </c>
      <c r="AF1021" s="0" t="s">
        <v>301</v>
      </c>
      <c r="AP1021" s="0" t="s">
        <v>305</v>
      </c>
      <c r="BA1021" s="0">
        <v>537</v>
      </c>
      <c r="BB1021" s="0" t="s">
        <v>232</v>
      </c>
      <c r="BC1021" s="0">
        <v>2</v>
      </c>
      <c r="BD1021" s="0">
        <v>374043</v>
      </c>
      <c r="BE1021" s="0">
        <v>134783</v>
      </c>
      <c r="BF1021" s="0">
        <v>4</v>
      </c>
      <c r="BG1021" s="0" t="s">
        <v>7471</v>
      </c>
      <c r="BI1021" s="0">
        <v>1950</v>
      </c>
      <c r="BK1021" s="0" t="s">
        <v>7472</v>
      </c>
    </row>
    <row r="1022">
      <c r="A1022" s="0">
        <v>5752</v>
      </c>
      <c r="B1022" s="0" t="s">
        <v>7473</v>
      </c>
      <c r="C1022" s="0" t="s">
        <v>339</v>
      </c>
      <c r="D1022" s="0" t="s">
        <v>7375</v>
      </c>
      <c r="E1022" s="0" t="s">
        <v>6377</v>
      </c>
      <c r="F1022" s="0">
        <v>1</v>
      </c>
      <c r="G1022" s="0" t="s">
        <v>319</v>
      </c>
      <c r="H1022" s="0" t="s">
        <v>523</v>
      </c>
      <c r="I1022" s="0" t="s">
        <v>1268</v>
      </c>
      <c r="J1022" s="0" t="s">
        <v>594</v>
      </c>
      <c r="L1022" s="0" t="s">
        <v>1268</v>
      </c>
      <c r="P1022" s="0" t="s">
        <v>343</v>
      </c>
      <c r="Q1022" s="0" t="s">
        <v>343</v>
      </c>
      <c r="R1022" s="0" t="s">
        <v>343</v>
      </c>
      <c r="T1022" s="0" t="s">
        <v>7474</v>
      </c>
      <c r="U1022" s="0" t="s">
        <v>7475</v>
      </c>
      <c r="W1022" s="0" t="s">
        <v>6539</v>
      </c>
      <c r="X1022" s="0" t="s">
        <v>347</v>
      </c>
      <c r="Y1022" s="0" t="s">
        <v>36</v>
      </c>
      <c r="Z1022" s="0" t="s">
        <v>4002</v>
      </c>
      <c r="AA1022" s="0" t="s">
        <v>132</v>
      </c>
      <c r="AB1022" s="0" t="s">
        <v>3740</v>
      </c>
      <c r="AD1022" s="0" t="s">
        <v>2385</v>
      </c>
      <c r="AE1022" s="0" t="s">
        <v>7379</v>
      </c>
      <c r="AF1022" s="0" t="s">
        <v>301</v>
      </c>
      <c r="AP1022" s="0" t="s">
        <v>305</v>
      </c>
      <c r="BA1022" s="0">
        <v>537</v>
      </c>
      <c r="BB1022" s="0" t="s">
        <v>232</v>
      </c>
      <c r="BC1022" s="0">
        <v>2</v>
      </c>
      <c r="BD1022" s="0">
        <v>8</v>
      </c>
      <c r="BE1022" s="0">
        <v>134783</v>
      </c>
      <c r="BF1022" s="0">
        <v>4</v>
      </c>
      <c r="BG1022" s="0" t="s">
        <v>7476</v>
      </c>
      <c r="BI1022" s="0">
        <v>3105</v>
      </c>
      <c r="BK1022" s="0" t="s">
        <v>7477</v>
      </c>
    </row>
    <row r="1023">
      <c r="A1023" s="0">
        <v>5826</v>
      </c>
      <c r="B1023" s="0" t="s">
        <v>7478</v>
      </c>
      <c r="C1023" s="0" t="s">
        <v>945</v>
      </c>
      <c r="D1023" s="0" t="s">
        <v>7344</v>
      </c>
      <c r="E1023" s="0" t="s">
        <v>7479</v>
      </c>
      <c r="F1023" s="0">
        <v>1</v>
      </c>
      <c r="G1023" s="0" t="s">
        <v>543</v>
      </c>
      <c r="H1023" s="0" t="s">
        <v>1987</v>
      </c>
      <c r="I1023" s="0" t="s">
        <v>524</v>
      </c>
      <c r="J1023" s="0" t="s">
        <v>594</v>
      </c>
      <c r="K1023" s="0" t="s">
        <v>1190</v>
      </c>
      <c r="L1023" s="0" t="s">
        <v>4749</v>
      </c>
      <c r="P1023" s="0" t="s">
        <v>323</v>
      </c>
      <c r="Q1023" s="0" t="s">
        <v>343</v>
      </c>
      <c r="R1023" s="0" t="s">
        <v>661</v>
      </c>
      <c r="T1023" s="0" t="s">
        <v>7480</v>
      </c>
      <c r="U1023" s="0" t="s">
        <v>7481</v>
      </c>
      <c r="W1023" s="0" t="s">
        <v>6539</v>
      </c>
      <c r="X1023" s="0" t="s">
        <v>347</v>
      </c>
      <c r="Y1023" s="0" t="s">
        <v>36</v>
      </c>
      <c r="Z1023" s="0" t="s">
        <v>4002</v>
      </c>
      <c r="AA1023" s="0" t="s">
        <v>132</v>
      </c>
      <c r="AB1023" s="0" t="s">
        <v>3740</v>
      </c>
      <c r="AD1023" s="0" t="s">
        <v>2385</v>
      </c>
      <c r="AE1023" s="0" t="s">
        <v>7379</v>
      </c>
      <c r="AF1023" s="0" t="s">
        <v>301</v>
      </c>
      <c r="AM1023" s="0" t="s">
        <v>1472</v>
      </c>
      <c r="AN1023" s="0" t="s">
        <v>310</v>
      </c>
      <c r="AO1023" s="0" t="s">
        <v>651</v>
      </c>
      <c r="AP1023" s="0" t="s">
        <v>305</v>
      </c>
      <c r="AQ1023" s="0" t="s">
        <v>1077</v>
      </c>
      <c r="AR1023" s="0" t="s">
        <v>3402</v>
      </c>
      <c r="AS1023" s="0">
        <v>147</v>
      </c>
      <c r="AT1023" s="0">
        <v>282</v>
      </c>
      <c r="AU1023" s="0">
        <v>342</v>
      </c>
      <c r="AV1023" s="0" t="s">
        <v>332</v>
      </c>
      <c r="AX1023" s="0" t="s">
        <v>372</v>
      </c>
      <c r="AY1023" s="0" t="s">
        <v>780</v>
      </c>
      <c r="AZ1023" s="0" t="s">
        <v>302</v>
      </c>
      <c r="BA1023" s="0">
        <v>537</v>
      </c>
      <c r="BB1023" s="0" t="s">
        <v>232</v>
      </c>
      <c r="BC1023" s="0">
        <v>2</v>
      </c>
      <c r="BD1023" s="0">
        <v>14</v>
      </c>
      <c r="BE1023" s="0">
        <v>134783</v>
      </c>
      <c r="BF1023" s="0">
        <v>4</v>
      </c>
      <c r="BG1023" s="0" t="s">
        <v>7482</v>
      </c>
      <c r="BI1023" s="0">
        <v>3832</v>
      </c>
      <c r="BK1023" s="0" t="s">
        <v>7483</v>
      </c>
    </row>
    <row r="1024">
      <c r="A1024" s="0">
        <v>5758</v>
      </c>
      <c r="B1024" s="0" t="s">
        <v>7484</v>
      </c>
      <c r="C1024" s="0" t="s">
        <v>945</v>
      </c>
      <c r="D1024" s="0" t="s">
        <v>7375</v>
      </c>
      <c r="E1024" s="0" t="s">
        <v>7485</v>
      </c>
      <c r="F1024" s="0">
        <v>1</v>
      </c>
      <c r="G1024" s="0" t="s">
        <v>319</v>
      </c>
      <c r="H1024" s="0" t="s">
        <v>7486</v>
      </c>
      <c r="I1024" s="0" t="s">
        <v>7487</v>
      </c>
      <c r="J1024" s="0" t="s">
        <v>594</v>
      </c>
      <c r="K1024" s="0" t="s">
        <v>1190</v>
      </c>
      <c r="L1024" s="0" t="s">
        <v>4749</v>
      </c>
      <c r="P1024" s="0" t="s">
        <v>323</v>
      </c>
      <c r="Q1024" s="0" t="s">
        <v>343</v>
      </c>
      <c r="R1024" s="0" t="s">
        <v>661</v>
      </c>
      <c r="T1024" s="0" t="s">
        <v>7488</v>
      </c>
      <c r="U1024" s="0" t="s">
        <v>7489</v>
      </c>
      <c r="W1024" s="0" t="s">
        <v>6539</v>
      </c>
      <c r="X1024" s="0" t="s">
        <v>347</v>
      </c>
      <c r="Y1024" s="0" t="s">
        <v>36</v>
      </c>
      <c r="Z1024" s="0" t="s">
        <v>4002</v>
      </c>
      <c r="AA1024" s="0" t="s">
        <v>132</v>
      </c>
      <c r="AB1024" s="0" t="s">
        <v>3740</v>
      </c>
      <c r="AD1024" s="0" t="s">
        <v>2385</v>
      </c>
      <c r="AE1024" s="0" t="s">
        <v>7379</v>
      </c>
      <c r="AF1024" s="0" t="s">
        <v>301</v>
      </c>
      <c r="AM1024" s="0" t="s">
        <v>1472</v>
      </c>
      <c r="AN1024" s="0" t="s">
        <v>310</v>
      </c>
      <c r="AO1024" s="0" t="s">
        <v>491</v>
      </c>
      <c r="AP1024" s="0" t="s">
        <v>305</v>
      </c>
      <c r="AQ1024" s="0" t="s">
        <v>6380</v>
      </c>
      <c r="AR1024" s="0" t="s">
        <v>1415</v>
      </c>
      <c r="AS1024" s="0">
        <v>117</v>
      </c>
      <c r="AT1024" s="0">
        <v>249</v>
      </c>
      <c r="AU1024" s="0">
        <v>312</v>
      </c>
      <c r="AV1024" s="0" t="s">
        <v>332</v>
      </c>
      <c r="AX1024" s="0" t="s">
        <v>372</v>
      </c>
      <c r="AY1024" s="0" t="s">
        <v>1472</v>
      </c>
      <c r="AZ1024" s="0" t="s">
        <v>303</v>
      </c>
      <c r="BA1024" s="0">
        <v>537</v>
      </c>
      <c r="BB1024" s="0" t="s">
        <v>232</v>
      </c>
      <c r="BC1024" s="0">
        <v>2</v>
      </c>
      <c r="BD1024" s="0">
        <v>14</v>
      </c>
      <c r="BE1024" s="0">
        <v>134783</v>
      </c>
      <c r="BF1024" s="0">
        <v>4</v>
      </c>
      <c r="BG1024" s="0" t="s">
        <v>7490</v>
      </c>
      <c r="BI1024" s="0">
        <v>3734</v>
      </c>
      <c r="BK1024" s="0" t="s">
        <v>7491</v>
      </c>
    </row>
    <row r="1025">
      <c r="A1025" s="0">
        <v>5793</v>
      </c>
      <c r="B1025" s="0" t="s">
        <v>7492</v>
      </c>
      <c r="C1025" s="0" t="s">
        <v>6376</v>
      </c>
      <c r="D1025" s="0" t="s">
        <v>6868</v>
      </c>
      <c r="E1025" s="0" t="s">
        <v>7493</v>
      </c>
      <c r="F1025" s="0">
        <v>4</v>
      </c>
      <c r="G1025" s="0" t="s">
        <v>319</v>
      </c>
      <c r="H1025" s="0" t="s">
        <v>523</v>
      </c>
      <c r="I1025" s="0" t="s">
        <v>524</v>
      </c>
      <c r="J1025" s="0" t="s">
        <v>594</v>
      </c>
      <c r="L1025" s="0" t="s">
        <v>469</v>
      </c>
      <c r="P1025" s="0" t="s">
        <v>323</v>
      </c>
      <c r="Q1025" s="0" t="s">
        <v>5490</v>
      </c>
      <c r="R1025" s="0" t="s">
        <v>1142</v>
      </c>
      <c r="T1025" s="0" t="s">
        <v>7494</v>
      </c>
      <c r="U1025" s="0" t="s">
        <v>7495</v>
      </c>
      <c r="W1025" s="0" t="s">
        <v>6868</v>
      </c>
      <c r="X1025" s="0" t="s">
        <v>347</v>
      </c>
      <c r="Y1025" s="0" t="s">
        <v>42</v>
      </c>
      <c r="Z1025" s="0" t="s">
        <v>2384</v>
      </c>
      <c r="AA1025" s="0" t="s">
        <v>118</v>
      </c>
      <c r="AB1025" s="0" t="s">
        <v>531</v>
      </c>
      <c r="AC1025" s="0" t="s">
        <v>532</v>
      </c>
      <c r="AD1025" s="0" t="s">
        <v>7496</v>
      </c>
      <c r="AE1025" s="0" t="s">
        <v>6870</v>
      </c>
      <c r="AF1025" s="0" t="s">
        <v>301</v>
      </c>
      <c r="AM1025" s="0" t="s">
        <v>816</v>
      </c>
      <c r="AN1025" s="0" t="s">
        <v>352</v>
      </c>
      <c r="AO1025" s="0" t="s">
        <v>387</v>
      </c>
      <c r="AP1025" s="0" t="s">
        <v>305</v>
      </c>
      <c r="AQ1025" s="0" t="s">
        <v>5182</v>
      </c>
      <c r="AR1025" s="0" t="s">
        <v>369</v>
      </c>
      <c r="AS1025" s="0">
        <v>98</v>
      </c>
      <c r="AT1025" s="0">
        <v>201</v>
      </c>
      <c r="AU1025" s="0">
        <v>240</v>
      </c>
      <c r="AV1025" s="0" t="s">
        <v>332</v>
      </c>
      <c r="AW1025" s="0" t="s">
        <v>332</v>
      </c>
      <c r="AX1025" s="0" t="s">
        <v>443</v>
      </c>
      <c r="AY1025" s="0" t="s">
        <v>912</v>
      </c>
      <c r="AZ1025" s="0" t="s">
        <v>1473</v>
      </c>
      <c r="BA1025" s="0">
        <v>538</v>
      </c>
      <c r="BB1025" s="0" t="s">
        <v>232</v>
      </c>
      <c r="BC1025" s="0">
        <v>2</v>
      </c>
      <c r="BD1025" s="0">
        <v>374103</v>
      </c>
      <c r="BE1025" s="0">
        <v>70560</v>
      </c>
      <c r="BF1025" s="0">
        <v>4</v>
      </c>
      <c r="BG1025" s="0" t="s">
        <v>7497</v>
      </c>
      <c r="BI1025" s="0">
        <v>4733</v>
      </c>
      <c r="BK1025" s="0" t="s">
        <v>7498</v>
      </c>
    </row>
    <row r="1026">
      <c r="A1026" s="0">
        <v>5792</v>
      </c>
      <c r="B1026" s="0" t="s">
        <v>7499</v>
      </c>
      <c r="C1026" s="0" t="s">
        <v>6376</v>
      </c>
      <c r="D1026" s="0" t="s">
        <v>6868</v>
      </c>
      <c r="E1026" s="0" t="s">
        <v>7500</v>
      </c>
      <c r="F1026" s="0">
        <v>2</v>
      </c>
      <c r="G1026" s="0" t="s">
        <v>319</v>
      </c>
      <c r="H1026" s="0" t="s">
        <v>523</v>
      </c>
      <c r="I1026" s="0" t="s">
        <v>524</v>
      </c>
      <c r="J1026" s="0" t="s">
        <v>594</v>
      </c>
      <c r="L1026" s="0" t="s">
        <v>469</v>
      </c>
      <c r="P1026" s="0" t="s">
        <v>323</v>
      </c>
      <c r="Q1026" s="0" t="s">
        <v>323</v>
      </c>
      <c r="R1026" s="0" t="s">
        <v>1142</v>
      </c>
      <c r="T1026" s="0" t="s">
        <v>7501</v>
      </c>
      <c r="U1026" s="0" t="s">
        <v>7502</v>
      </c>
      <c r="W1026" s="0" t="s">
        <v>6868</v>
      </c>
      <c r="X1026" s="0" t="s">
        <v>347</v>
      </c>
      <c r="Y1026" s="0" t="s">
        <v>42</v>
      </c>
      <c r="Z1026" s="0" t="s">
        <v>2384</v>
      </c>
      <c r="AA1026" s="0" t="s">
        <v>118</v>
      </c>
      <c r="AB1026" s="0" t="s">
        <v>531</v>
      </c>
      <c r="AC1026" s="0" t="s">
        <v>532</v>
      </c>
      <c r="AD1026" s="0" t="s">
        <v>7496</v>
      </c>
      <c r="AE1026" s="0" t="s">
        <v>6870</v>
      </c>
      <c r="AF1026" s="0" t="s">
        <v>301</v>
      </c>
      <c r="AM1026" s="0" t="s">
        <v>1398</v>
      </c>
      <c r="AN1026" s="0" t="s">
        <v>7503</v>
      </c>
      <c r="AO1026" s="0" t="s">
        <v>6338</v>
      </c>
      <c r="AP1026" s="0" t="s">
        <v>305</v>
      </c>
      <c r="AQ1026" s="0" t="s">
        <v>7504</v>
      </c>
      <c r="AR1026" s="0" t="s">
        <v>7505</v>
      </c>
      <c r="AS1026" s="0">
        <v>11</v>
      </c>
      <c r="AT1026" s="0">
        <v>22</v>
      </c>
      <c r="AU1026" s="0">
        <v>30</v>
      </c>
      <c r="AV1026" s="0" t="s">
        <v>1840</v>
      </c>
      <c r="AW1026" s="0" t="s">
        <v>308</v>
      </c>
      <c r="AX1026" s="0" t="s">
        <v>7506</v>
      </c>
      <c r="AY1026" s="0" t="s">
        <v>7507</v>
      </c>
      <c r="AZ1026" s="0" t="s">
        <v>7508</v>
      </c>
      <c r="BA1026" s="0">
        <v>538</v>
      </c>
      <c r="BB1026" s="0" t="s">
        <v>232</v>
      </c>
      <c r="BC1026" s="0">
        <v>2</v>
      </c>
      <c r="BD1026" s="0">
        <v>374103</v>
      </c>
      <c r="BE1026" s="0">
        <v>70560</v>
      </c>
      <c r="BF1026" s="0">
        <v>4</v>
      </c>
      <c r="BG1026" s="0" t="s">
        <v>7509</v>
      </c>
      <c r="BI1026" s="0">
        <v>4709</v>
      </c>
      <c r="BK1026" s="0" t="s">
        <v>7510</v>
      </c>
    </row>
    <row r="1027">
      <c r="A1027" s="0">
        <v>5809</v>
      </c>
      <c r="B1027" s="0" t="s">
        <v>7511</v>
      </c>
      <c r="C1027" s="0" t="s">
        <v>6376</v>
      </c>
      <c r="D1027" s="0" t="s">
        <v>6868</v>
      </c>
      <c r="E1027" s="0" t="s">
        <v>7512</v>
      </c>
      <c r="F1027" s="0">
        <v>4</v>
      </c>
      <c r="G1027" s="0" t="s">
        <v>319</v>
      </c>
      <c r="H1027" s="0" t="s">
        <v>7513</v>
      </c>
      <c r="I1027" s="0" t="s">
        <v>1268</v>
      </c>
      <c r="J1027" s="0" t="s">
        <v>594</v>
      </c>
      <c r="L1027" s="0" t="s">
        <v>469</v>
      </c>
      <c r="M1027" s="0" t="s">
        <v>594</v>
      </c>
      <c r="O1027" s="0" t="s">
        <v>469</v>
      </c>
      <c r="P1027" s="0" t="s">
        <v>323</v>
      </c>
      <c r="Q1027" s="0" t="s">
        <v>343</v>
      </c>
      <c r="R1027" s="0" t="s">
        <v>568</v>
      </c>
      <c r="T1027" s="0" t="s">
        <v>7514</v>
      </c>
      <c r="U1027" s="0" t="s">
        <v>7515</v>
      </c>
      <c r="W1027" s="0" t="s">
        <v>6868</v>
      </c>
      <c r="X1027" s="0" t="s">
        <v>347</v>
      </c>
      <c r="Y1027" s="0" t="s">
        <v>42</v>
      </c>
      <c r="Z1027" s="0" t="s">
        <v>2384</v>
      </c>
      <c r="AA1027" s="0" t="s">
        <v>118</v>
      </c>
      <c r="AB1027" s="0" t="s">
        <v>531</v>
      </c>
      <c r="AC1027" s="0" t="s">
        <v>532</v>
      </c>
      <c r="AD1027" s="0" t="s">
        <v>7496</v>
      </c>
      <c r="AE1027" s="0" t="s">
        <v>6870</v>
      </c>
      <c r="AF1027" s="0" t="s">
        <v>301</v>
      </c>
      <c r="AM1027" s="0" t="s">
        <v>426</v>
      </c>
      <c r="AN1027" s="0" t="s">
        <v>780</v>
      </c>
      <c r="AO1027" s="0" t="s">
        <v>474</v>
      </c>
      <c r="AP1027" s="0" t="s">
        <v>305</v>
      </c>
      <c r="AQ1027" s="0" t="s">
        <v>5183</v>
      </c>
      <c r="AR1027" s="0" t="s">
        <v>7516</v>
      </c>
      <c r="AS1027" s="0">
        <v>120</v>
      </c>
      <c r="AT1027" s="0">
        <v>258</v>
      </c>
      <c r="AU1027" s="0">
        <v>324</v>
      </c>
      <c r="AV1027" s="0" t="s">
        <v>332</v>
      </c>
      <c r="AW1027" s="0" t="s">
        <v>332</v>
      </c>
      <c r="AX1027" s="0" t="s">
        <v>608</v>
      </c>
      <c r="AY1027" s="0" t="s">
        <v>309</v>
      </c>
      <c r="AZ1027" s="0" t="s">
        <v>1473</v>
      </c>
      <c r="BA1027" s="0">
        <v>538</v>
      </c>
      <c r="BB1027" s="0" t="s">
        <v>232</v>
      </c>
      <c r="BC1027" s="0">
        <v>2</v>
      </c>
      <c r="BD1027" s="0">
        <v>374103</v>
      </c>
      <c r="BE1027" s="0">
        <v>70560</v>
      </c>
      <c r="BF1027" s="0">
        <v>4</v>
      </c>
      <c r="BG1027" s="0" t="s">
        <v>7517</v>
      </c>
      <c r="BI1027" s="0">
        <v>4997</v>
      </c>
      <c r="BK1027" s="0" t="s">
        <v>7518</v>
      </c>
    </row>
    <row r="1028">
      <c r="A1028" s="0">
        <v>5794</v>
      </c>
      <c r="B1028" s="0" t="s">
        <v>7519</v>
      </c>
      <c r="C1028" s="0" t="s">
        <v>6376</v>
      </c>
      <c r="D1028" s="0" t="s">
        <v>6868</v>
      </c>
      <c r="E1028" s="0" t="s">
        <v>7520</v>
      </c>
      <c r="F1028" s="0">
        <v>2</v>
      </c>
      <c r="G1028" s="0" t="s">
        <v>319</v>
      </c>
      <c r="H1028" s="0" t="s">
        <v>523</v>
      </c>
      <c r="I1028" s="0" t="s">
        <v>1268</v>
      </c>
      <c r="J1028" s="0" t="s">
        <v>594</v>
      </c>
      <c r="L1028" s="0" t="s">
        <v>469</v>
      </c>
      <c r="P1028" s="0" t="s">
        <v>323</v>
      </c>
      <c r="Q1028" s="0" t="s">
        <v>5490</v>
      </c>
      <c r="R1028" s="0" t="s">
        <v>568</v>
      </c>
      <c r="T1028" s="0" t="s">
        <v>7521</v>
      </c>
      <c r="U1028" s="0" t="s">
        <v>7522</v>
      </c>
      <c r="W1028" s="0" t="s">
        <v>6868</v>
      </c>
      <c r="X1028" s="0" t="s">
        <v>347</v>
      </c>
      <c r="Y1028" s="0" t="s">
        <v>42</v>
      </c>
      <c r="Z1028" s="0" t="s">
        <v>2384</v>
      </c>
      <c r="AA1028" s="0" t="s">
        <v>118</v>
      </c>
      <c r="AB1028" s="0" t="s">
        <v>531</v>
      </c>
      <c r="AC1028" s="0" t="s">
        <v>532</v>
      </c>
      <c r="AD1028" s="0" t="s">
        <v>7496</v>
      </c>
      <c r="AE1028" s="0" t="s">
        <v>6870</v>
      </c>
      <c r="AF1028" s="0" t="s">
        <v>301</v>
      </c>
      <c r="AM1028" s="0" t="s">
        <v>7523</v>
      </c>
      <c r="AN1028" s="0" t="s">
        <v>7524</v>
      </c>
      <c r="AO1028" s="0" t="s">
        <v>3213</v>
      </c>
      <c r="AP1028" s="0" t="s">
        <v>305</v>
      </c>
      <c r="AQ1028" s="0" t="s">
        <v>7525</v>
      </c>
      <c r="AR1028" s="0" t="s">
        <v>7526</v>
      </c>
      <c r="AS1028" s="0">
        <v>22</v>
      </c>
      <c r="AT1028" s="0">
        <v>46</v>
      </c>
      <c r="AU1028" s="0">
        <v>60</v>
      </c>
      <c r="AV1028" s="0" t="s">
        <v>332</v>
      </c>
      <c r="AW1028" s="0" t="s">
        <v>977</v>
      </c>
      <c r="AX1028" s="0" t="s">
        <v>7527</v>
      </c>
      <c r="AY1028" s="0" t="s">
        <v>7528</v>
      </c>
      <c r="AZ1028" s="0" t="s">
        <v>7529</v>
      </c>
      <c r="BA1028" s="0">
        <v>538</v>
      </c>
      <c r="BB1028" s="0" t="s">
        <v>232</v>
      </c>
      <c r="BC1028" s="0">
        <v>2</v>
      </c>
      <c r="BD1028" s="0">
        <v>374103</v>
      </c>
      <c r="BE1028" s="0">
        <v>70560</v>
      </c>
      <c r="BF1028" s="0">
        <v>4</v>
      </c>
      <c r="BG1028" s="0" t="s">
        <v>7530</v>
      </c>
      <c r="BI1028" s="0">
        <v>4771</v>
      </c>
      <c r="BK1028" s="0" t="s">
        <v>7531</v>
      </c>
    </row>
    <row r="1029">
      <c r="A1029" s="0">
        <v>5801</v>
      </c>
      <c r="B1029" s="0" t="s">
        <v>7532</v>
      </c>
      <c r="C1029" s="0" t="s">
        <v>656</v>
      </c>
      <c r="D1029" s="0" t="s">
        <v>6868</v>
      </c>
      <c r="E1029" s="0" t="s">
        <v>7533</v>
      </c>
      <c r="F1029" s="0">
        <v>2</v>
      </c>
      <c r="G1029" s="0" t="s">
        <v>293</v>
      </c>
      <c r="H1029" s="0" t="s">
        <v>294</v>
      </c>
      <c r="I1029" s="0" t="s">
        <v>295</v>
      </c>
      <c r="J1029" s="0" t="s">
        <v>555</v>
      </c>
      <c r="K1029" s="0" t="s">
        <v>1020</v>
      </c>
      <c r="L1029" s="0" t="s">
        <v>2947</v>
      </c>
      <c r="P1029" s="0" t="s">
        <v>323</v>
      </c>
      <c r="Q1029" s="0" t="s">
        <v>323</v>
      </c>
      <c r="R1029" s="0" t="s">
        <v>5880</v>
      </c>
      <c r="T1029" s="0" t="s">
        <v>7534</v>
      </c>
      <c r="U1029" s="0" t="s">
        <v>7535</v>
      </c>
      <c r="W1029" s="0" t="s">
        <v>6868</v>
      </c>
      <c r="X1029" s="0" t="s">
        <v>347</v>
      </c>
      <c r="Y1029" s="0" t="s">
        <v>42</v>
      </c>
      <c r="Z1029" s="0" t="s">
        <v>2384</v>
      </c>
      <c r="AA1029" s="0" t="s">
        <v>118</v>
      </c>
      <c r="AB1029" s="0" t="s">
        <v>531</v>
      </c>
      <c r="AC1029" s="0" t="s">
        <v>532</v>
      </c>
      <c r="AD1029" s="0" t="s">
        <v>7496</v>
      </c>
      <c r="AE1029" s="0" t="s">
        <v>6870</v>
      </c>
      <c r="AF1029" s="0" t="s">
        <v>301</v>
      </c>
      <c r="AM1029" s="0" t="s">
        <v>7536</v>
      </c>
      <c r="AN1029" s="0" t="s">
        <v>7537</v>
      </c>
      <c r="AO1029" s="0" t="s">
        <v>7538</v>
      </c>
      <c r="AP1029" s="0" t="s">
        <v>305</v>
      </c>
      <c r="AQ1029" s="0" t="s">
        <v>7539</v>
      </c>
      <c r="AR1029" s="0" t="s">
        <v>7540</v>
      </c>
      <c r="AU1029" s="0">
        <v>20</v>
      </c>
      <c r="AV1029" s="0" t="s">
        <v>3800</v>
      </c>
      <c r="AW1029" s="0" t="s">
        <v>331</v>
      </c>
      <c r="AX1029" s="0" t="s">
        <v>7541</v>
      </c>
      <c r="AY1029" s="0" t="s">
        <v>7542</v>
      </c>
      <c r="AZ1029" s="0" t="s">
        <v>7543</v>
      </c>
      <c r="BA1029" s="0">
        <v>538</v>
      </c>
      <c r="BB1029" s="0" t="s">
        <v>232</v>
      </c>
      <c r="BC1029" s="0">
        <v>2</v>
      </c>
      <c r="BD1029" s="0">
        <v>10</v>
      </c>
      <c r="BE1029" s="0">
        <v>70560</v>
      </c>
      <c r="BF1029" s="0">
        <v>4</v>
      </c>
      <c r="BG1029" s="0" t="s">
        <v>7544</v>
      </c>
      <c r="BI1029" s="0">
        <v>4807</v>
      </c>
      <c r="BK1029" s="0" t="s">
        <v>7545</v>
      </c>
    </row>
    <row r="1030">
      <c r="A1030" s="0">
        <v>5799</v>
      </c>
      <c r="B1030" s="0" t="s">
        <v>7546</v>
      </c>
      <c r="C1030" s="0" t="s">
        <v>290</v>
      </c>
      <c r="D1030" s="0" t="s">
        <v>6868</v>
      </c>
      <c r="E1030" s="0" t="s">
        <v>7547</v>
      </c>
      <c r="F1030" s="0">
        <v>2</v>
      </c>
      <c r="G1030" s="0" t="s">
        <v>293</v>
      </c>
      <c r="H1030" s="0" t="s">
        <v>294</v>
      </c>
      <c r="I1030" s="0" t="s">
        <v>295</v>
      </c>
      <c r="J1030" s="0" t="s">
        <v>400</v>
      </c>
      <c r="K1030" s="0" t="s">
        <v>1190</v>
      </c>
      <c r="L1030" s="0" t="s">
        <v>469</v>
      </c>
      <c r="P1030" s="0" t="s">
        <v>5490</v>
      </c>
      <c r="Q1030" s="0" t="s">
        <v>5490</v>
      </c>
      <c r="T1030" s="0" t="s">
        <v>7548</v>
      </c>
      <c r="U1030" s="0" t="s">
        <v>7549</v>
      </c>
      <c r="W1030" s="0" t="s">
        <v>6868</v>
      </c>
      <c r="X1030" s="0" t="s">
        <v>347</v>
      </c>
      <c r="Y1030" s="0" t="s">
        <v>42</v>
      </c>
      <c r="Z1030" s="0" t="s">
        <v>2384</v>
      </c>
      <c r="AA1030" s="0" t="s">
        <v>118</v>
      </c>
      <c r="AB1030" s="0" t="s">
        <v>531</v>
      </c>
      <c r="AC1030" s="0" t="s">
        <v>532</v>
      </c>
      <c r="AD1030" s="0" t="s">
        <v>7496</v>
      </c>
      <c r="AE1030" s="0" t="s">
        <v>6870</v>
      </c>
      <c r="AF1030" s="0" t="s">
        <v>301</v>
      </c>
      <c r="AP1030" s="0" t="s">
        <v>305</v>
      </c>
      <c r="BA1030" s="0">
        <v>538</v>
      </c>
      <c r="BB1030" s="0" t="s">
        <v>232</v>
      </c>
      <c r="BC1030" s="0">
        <v>2</v>
      </c>
      <c r="BD1030" s="0">
        <v>374053</v>
      </c>
      <c r="BE1030" s="0">
        <v>70560</v>
      </c>
      <c r="BF1030" s="0">
        <v>4</v>
      </c>
      <c r="BG1030" s="0" t="s">
        <v>7550</v>
      </c>
      <c r="BI1030" s="0">
        <v>4929</v>
      </c>
      <c r="BK1030" s="0" t="s">
        <v>7551</v>
      </c>
    </row>
    <row r="1031">
      <c r="A1031" s="0">
        <v>5789</v>
      </c>
      <c r="B1031" s="0" t="s">
        <v>7552</v>
      </c>
      <c r="C1031" s="0" t="s">
        <v>339</v>
      </c>
      <c r="D1031" s="0" t="s">
        <v>6868</v>
      </c>
      <c r="E1031" s="0" t="s">
        <v>7553</v>
      </c>
      <c r="F1031" s="0">
        <v>4</v>
      </c>
      <c r="G1031" s="0" t="s">
        <v>319</v>
      </c>
      <c r="H1031" s="0" t="s">
        <v>1745</v>
      </c>
      <c r="I1031" s="0" t="s">
        <v>6530</v>
      </c>
      <c r="J1031" s="0" t="s">
        <v>293</v>
      </c>
      <c r="K1031" s="0" t="s">
        <v>294</v>
      </c>
      <c r="L1031" s="0" t="s">
        <v>295</v>
      </c>
      <c r="M1031" s="0" t="s">
        <v>400</v>
      </c>
      <c r="N1031" s="0" t="s">
        <v>1190</v>
      </c>
      <c r="O1031" s="0" t="s">
        <v>549</v>
      </c>
      <c r="P1031" s="0" t="s">
        <v>343</v>
      </c>
      <c r="Q1031" s="0" t="s">
        <v>323</v>
      </c>
      <c r="R1031" s="0" t="s">
        <v>1021</v>
      </c>
      <c r="U1031" s="0" t="s">
        <v>7554</v>
      </c>
      <c r="W1031" s="0" t="s">
        <v>6868</v>
      </c>
      <c r="X1031" s="0" t="s">
        <v>347</v>
      </c>
      <c r="Y1031" s="0" t="s">
        <v>42</v>
      </c>
      <c r="Z1031" s="0" t="s">
        <v>2384</v>
      </c>
      <c r="AA1031" s="0" t="s">
        <v>118</v>
      </c>
      <c r="AB1031" s="0" t="s">
        <v>531</v>
      </c>
      <c r="AC1031" s="0" t="s">
        <v>532</v>
      </c>
      <c r="AD1031" s="0" t="s">
        <v>7496</v>
      </c>
      <c r="AE1031" s="0" t="s">
        <v>6870</v>
      </c>
      <c r="AF1031" s="0" t="s">
        <v>301</v>
      </c>
      <c r="AM1031" s="0" t="s">
        <v>309</v>
      </c>
      <c r="AN1031" s="0" t="s">
        <v>310</v>
      </c>
      <c r="AO1031" s="0" t="s">
        <v>666</v>
      </c>
      <c r="AP1031" s="0" t="s">
        <v>305</v>
      </c>
      <c r="AQ1031" s="0" t="s">
        <v>7555</v>
      </c>
      <c r="AR1031" s="0" t="s">
        <v>882</v>
      </c>
      <c r="AS1031" s="0">
        <v>81</v>
      </c>
      <c r="AT1031" s="0">
        <v>171</v>
      </c>
      <c r="AU1031" s="0">
        <v>228</v>
      </c>
      <c r="AV1031" s="0" t="s">
        <v>332</v>
      </c>
      <c r="AW1031" s="0" t="s">
        <v>332</v>
      </c>
      <c r="AX1031" s="0" t="s">
        <v>349</v>
      </c>
      <c r="AY1031" s="0" t="s">
        <v>780</v>
      </c>
      <c r="AZ1031" s="0" t="s">
        <v>352</v>
      </c>
      <c r="BA1031" s="0">
        <v>538</v>
      </c>
      <c r="BB1031" s="0" t="s">
        <v>232</v>
      </c>
      <c r="BC1031" s="0">
        <v>2</v>
      </c>
      <c r="BD1031" s="0">
        <v>8</v>
      </c>
      <c r="BE1031" s="0">
        <v>70560</v>
      </c>
      <c r="BF1031" s="0">
        <v>4</v>
      </c>
      <c r="BG1031" s="0" t="s">
        <v>7556</v>
      </c>
      <c r="BI1031" s="0">
        <v>4645</v>
      </c>
      <c r="BK1031" s="0" t="s">
        <v>7557</v>
      </c>
    </row>
    <row r="1032">
      <c r="A1032" s="0">
        <v>5782</v>
      </c>
      <c r="B1032" s="0" t="s">
        <v>7558</v>
      </c>
      <c r="C1032" s="0" t="s">
        <v>339</v>
      </c>
      <c r="D1032" s="0" t="s">
        <v>6868</v>
      </c>
      <c r="E1032" s="0" t="s">
        <v>7553</v>
      </c>
      <c r="F1032" s="0">
        <v>4</v>
      </c>
      <c r="G1032" s="0" t="s">
        <v>319</v>
      </c>
      <c r="H1032" s="0" t="s">
        <v>1745</v>
      </c>
      <c r="I1032" s="0" t="s">
        <v>948</v>
      </c>
      <c r="J1032" s="0" t="s">
        <v>293</v>
      </c>
      <c r="K1032" s="0" t="s">
        <v>294</v>
      </c>
      <c r="L1032" s="0" t="s">
        <v>295</v>
      </c>
      <c r="M1032" s="0" t="s">
        <v>400</v>
      </c>
      <c r="N1032" s="0" t="s">
        <v>1190</v>
      </c>
      <c r="O1032" s="0" t="s">
        <v>1683</v>
      </c>
      <c r="P1032" s="0" t="s">
        <v>323</v>
      </c>
      <c r="Q1032" s="0" t="s">
        <v>323</v>
      </c>
      <c r="R1032" s="0" t="s">
        <v>903</v>
      </c>
      <c r="U1032" s="0" t="s">
        <v>7559</v>
      </c>
      <c r="W1032" s="0" t="s">
        <v>6868</v>
      </c>
      <c r="X1032" s="0" t="s">
        <v>347</v>
      </c>
      <c r="Y1032" s="0" t="s">
        <v>42</v>
      </c>
      <c r="Z1032" s="0" t="s">
        <v>2384</v>
      </c>
      <c r="AA1032" s="0" t="s">
        <v>118</v>
      </c>
      <c r="AB1032" s="0" t="s">
        <v>531</v>
      </c>
      <c r="AC1032" s="0" t="s">
        <v>532</v>
      </c>
      <c r="AD1032" s="0" t="s">
        <v>7496</v>
      </c>
      <c r="AE1032" s="0" t="s">
        <v>6870</v>
      </c>
      <c r="AF1032" s="0" t="s">
        <v>301</v>
      </c>
      <c r="AM1032" s="0" t="s">
        <v>309</v>
      </c>
      <c r="AN1032" s="0" t="s">
        <v>310</v>
      </c>
      <c r="AO1032" s="0" t="s">
        <v>666</v>
      </c>
      <c r="AP1032" s="0" t="s">
        <v>305</v>
      </c>
      <c r="AQ1032" s="0" t="s">
        <v>7555</v>
      </c>
      <c r="AR1032" s="0" t="s">
        <v>882</v>
      </c>
      <c r="AS1032" s="0">
        <v>81</v>
      </c>
      <c r="AT1032" s="0">
        <v>171</v>
      </c>
      <c r="AU1032" s="0">
        <v>228</v>
      </c>
      <c r="AV1032" s="0" t="s">
        <v>332</v>
      </c>
      <c r="AW1032" s="0" t="s">
        <v>332</v>
      </c>
      <c r="AX1032" s="0" t="s">
        <v>349</v>
      </c>
      <c r="AY1032" s="0" t="s">
        <v>780</v>
      </c>
      <c r="AZ1032" s="0" t="s">
        <v>352</v>
      </c>
      <c r="BA1032" s="0">
        <v>538</v>
      </c>
      <c r="BB1032" s="0" t="s">
        <v>232</v>
      </c>
      <c r="BC1032" s="0">
        <v>2</v>
      </c>
      <c r="BD1032" s="0">
        <v>8</v>
      </c>
      <c r="BE1032" s="0">
        <v>70560</v>
      </c>
      <c r="BF1032" s="0">
        <v>4</v>
      </c>
      <c r="BG1032" s="0" t="s">
        <v>7560</v>
      </c>
      <c r="BI1032" s="0">
        <v>4231</v>
      </c>
      <c r="BK1032" s="0" t="s">
        <v>7561</v>
      </c>
    </row>
    <row r="1033">
      <c r="A1033" s="0">
        <v>5807</v>
      </c>
      <c r="B1033" s="0" t="s">
        <v>7562</v>
      </c>
      <c r="C1033" s="0" t="s">
        <v>315</v>
      </c>
      <c r="D1033" s="0" t="s">
        <v>6868</v>
      </c>
      <c r="E1033" s="0" t="s">
        <v>7563</v>
      </c>
      <c r="F1033" s="0">
        <v>4</v>
      </c>
      <c r="G1033" s="0" t="s">
        <v>555</v>
      </c>
      <c r="H1033" s="0" t="s">
        <v>2414</v>
      </c>
      <c r="I1033" s="0" t="s">
        <v>549</v>
      </c>
      <c r="K1033" s="0" t="s">
        <v>400</v>
      </c>
      <c r="L1033" s="0" t="s">
        <v>705</v>
      </c>
      <c r="P1033" s="0" t="s">
        <v>323</v>
      </c>
      <c r="Q1033" s="0" t="s">
        <v>343</v>
      </c>
      <c r="R1033" s="0" t="s">
        <v>673</v>
      </c>
      <c r="T1033" s="0" t="s">
        <v>7564</v>
      </c>
      <c r="U1033" s="0" t="s">
        <v>7565</v>
      </c>
      <c r="W1033" s="0" t="s">
        <v>6868</v>
      </c>
      <c r="X1033" s="0" t="s">
        <v>347</v>
      </c>
      <c r="Y1033" s="0" t="s">
        <v>42</v>
      </c>
      <c r="Z1033" s="0" t="s">
        <v>2384</v>
      </c>
      <c r="AA1033" s="0" t="s">
        <v>118</v>
      </c>
      <c r="AB1033" s="0" t="s">
        <v>531</v>
      </c>
      <c r="AC1033" s="0" t="s">
        <v>532</v>
      </c>
      <c r="AD1033" s="0" t="s">
        <v>7496</v>
      </c>
      <c r="AE1033" s="0" t="s">
        <v>6870</v>
      </c>
      <c r="AF1033" s="0" t="s">
        <v>301</v>
      </c>
      <c r="AP1033" s="0" t="s">
        <v>305</v>
      </c>
      <c r="BA1033" s="0">
        <v>538</v>
      </c>
      <c r="BB1033" s="0" t="s">
        <v>232</v>
      </c>
      <c r="BC1033" s="0">
        <v>2</v>
      </c>
      <c r="BD1033" s="0">
        <v>374043</v>
      </c>
      <c r="BE1033" s="0">
        <v>70560</v>
      </c>
      <c r="BF1033" s="0">
        <v>4</v>
      </c>
      <c r="BG1033" s="0" t="s">
        <v>7566</v>
      </c>
      <c r="BI1033" s="0">
        <v>4970</v>
      </c>
      <c r="BK1033" s="0" t="s">
        <v>7567</v>
      </c>
    </row>
    <row r="1034">
      <c r="A1034" s="0">
        <v>5806</v>
      </c>
      <c r="B1034" s="0" t="s">
        <v>7568</v>
      </c>
      <c r="C1034" s="0" t="s">
        <v>315</v>
      </c>
      <c r="D1034" s="0" t="s">
        <v>6868</v>
      </c>
      <c r="E1034" s="0" t="s">
        <v>7569</v>
      </c>
      <c r="F1034" s="0">
        <v>2</v>
      </c>
      <c r="G1034" s="0" t="s">
        <v>555</v>
      </c>
      <c r="H1034" s="0" t="s">
        <v>2414</v>
      </c>
      <c r="I1034" s="0" t="s">
        <v>549</v>
      </c>
      <c r="K1034" s="0" t="s">
        <v>400</v>
      </c>
      <c r="L1034" s="0" t="s">
        <v>705</v>
      </c>
      <c r="P1034" s="0" t="s">
        <v>323</v>
      </c>
      <c r="Q1034" s="0" t="s">
        <v>343</v>
      </c>
      <c r="R1034" s="0" t="s">
        <v>673</v>
      </c>
      <c r="T1034" s="0" t="s">
        <v>7570</v>
      </c>
      <c r="U1034" s="0" t="s">
        <v>7571</v>
      </c>
      <c r="W1034" s="0" t="s">
        <v>6868</v>
      </c>
      <c r="X1034" s="0" t="s">
        <v>347</v>
      </c>
      <c r="Y1034" s="0" t="s">
        <v>42</v>
      </c>
      <c r="Z1034" s="0" t="s">
        <v>2384</v>
      </c>
      <c r="AA1034" s="0" t="s">
        <v>118</v>
      </c>
      <c r="AB1034" s="0" t="s">
        <v>531</v>
      </c>
      <c r="AC1034" s="0" t="s">
        <v>532</v>
      </c>
      <c r="AD1034" s="0" t="s">
        <v>7496</v>
      </c>
      <c r="AE1034" s="0" t="s">
        <v>6870</v>
      </c>
      <c r="AF1034" s="0" t="s">
        <v>301</v>
      </c>
      <c r="AP1034" s="0" t="s">
        <v>305</v>
      </c>
      <c r="BA1034" s="0">
        <v>538</v>
      </c>
      <c r="BB1034" s="0" t="s">
        <v>232</v>
      </c>
      <c r="BC1034" s="0">
        <v>2</v>
      </c>
      <c r="BD1034" s="0">
        <v>374043</v>
      </c>
      <c r="BE1034" s="0">
        <v>70560</v>
      </c>
      <c r="BF1034" s="0">
        <v>4</v>
      </c>
      <c r="BG1034" s="0" t="s">
        <v>7572</v>
      </c>
      <c r="BI1034" s="0">
        <v>4958</v>
      </c>
      <c r="BK1034" s="0" t="s">
        <v>7573</v>
      </c>
    </row>
    <row r="1035">
      <c r="A1035" s="0">
        <v>5785</v>
      </c>
      <c r="B1035" s="0" t="s">
        <v>7574</v>
      </c>
      <c r="C1035" s="0" t="s">
        <v>945</v>
      </c>
      <c r="D1035" s="0" t="s">
        <v>6868</v>
      </c>
      <c r="E1035" s="0" t="s">
        <v>7575</v>
      </c>
      <c r="F1035" s="0">
        <v>2</v>
      </c>
      <c r="G1035" s="0" t="s">
        <v>319</v>
      </c>
      <c r="H1035" s="0" t="s">
        <v>523</v>
      </c>
      <c r="I1035" s="0" t="s">
        <v>1268</v>
      </c>
      <c r="J1035" s="0" t="s">
        <v>594</v>
      </c>
      <c r="L1035" s="0" t="s">
        <v>1268</v>
      </c>
      <c r="P1035" s="0" t="s">
        <v>5490</v>
      </c>
      <c r="Q1035" s="0" t="s">
        <v>5490</v>
      </c>
      <c r="T1035" s="0" t="s">
        <v>7576</v>
      </c>
      <c r="U1035" s="0" t="s">
        <v>7577</v>
      </c>
      <c r="W1035" s="0" t="s">
        <v>6868</v>
      </c>
      <c r="X1035" s="0" t="s">
        <v>347</v>
      </c>
      <c r="Y1035" s="0" t="s">
        <v>42</v>
      </c>
      <c r="Z1035" s="0" t="s">
        <v>2384</v>
      </c>
      <c r="AA1035" s="0" t="s">
        <v>118</v>
      </c>
      <c r="AB1035" s="0" t="s">
        <v>531</v>
      </c>
      <c r="AC1035" s="0" t="s">
        <v>532</v>
      </c>
      <c r="AD1035" s="0" t="s">
        <v>7496</v>
      </c>
      <c r="AE1035" s="0" t="s">
        <v>6870</v>
      </c>
      <c r="AF1035" s="0" t="s">
        <v>301</v>
      </c>
      <c r="AM1035" s="0" t="s">
        <v>3038</v>
      </c>
      <c r="AN1035" s="0" t="s">
        <v>309</v>
      </c>
      <c r="AO1035" s="0" t="s">
        <v>3101</v>
      </c>
      <c r="AP1035" s="0" t="s">
        <v>305</v>
      </c>
      <c r="AQ1035" s="0" t="s">
        <v>7578</v>
      </c>
      <c r="AR1035" s="0" t="s">
        <v>7579</v>
      </c>
      <c r="AS1035" s="0">
        <v>126</v>
      </c>
      <c r="AT1035" s="0">
        <v>273</v>
      </c>
      <c r="AU1035" s="0">
        <v>312</v>
      </c>
      <c r="AV1035" s="0" t="s">
        <v>332</v>
      </c>
      <c r="AW1035" s="0" t="s">
        <v>332</v>
      </c>
      <c r="AX1035" s="0" t="s">
        <v>2749</v>
      </c>
      <c r="AY1035" s="0" t="s">
        <v>349</v>
      </c>
      <c r="AZ1035" s="0" t="s">
        <v>652</v>
      </c>
      <c r="BA1035" s="0">
        <v>538</v>
      </c>
      <c r="BB1035" s="0" t="s">
        <v>232</v>
      </c>
      <c r="BC1035" s="0">
        <v>2</v>
      </c>
      <c r="BD1035" s="0">
        <v>14</v>
      </c>
      <c r="BE1035" s="0">
        <v>70560</v>
      </c>
      <c r="BF1035" s="0">
        <v>4</v>
      </c>
      <c r="BG1035" s="0" t="s">
        <v>7580</v>
      </c>
      <c r="BI1035" s="0">
        <v>4466</v>
      </c>
      <c r="BK1035" s="0" t="s">
        <v>7581</v>
      </c>
    </row>
    <row r="1036">
      <c r="A1036" s="0">
        <v>5796</v>
      </c>
      <c r="B1036" s="0" t="s">
        <v>7582</v>
      </c>
      <c r="C1036" s="0" t="s">
        <v>1139</v>
      </c>
      <c r="D1036" s="0" t="s">
        <v>6868</v>
      </c>
      <c r="E1036" s="0" t="s">
        <v>7583</v>
      </c>
      <c r="F1036" s="0">
        <v>2</v>
      </c>
      <c r="G1036" s="0" t="s">
        <v>293</v>
      </c>
      <c r="H1036" s="0" t="s">
        <v>294</v>
      </c>
      <c r="I1036" s="0" t="s">
        <v>295</v>
      </c>
      <c r="P1036" s="0" t="s">
        <v>323</v>
      </c>
      <c r="Q1036" s="0" t="s">
        <v>323</v>
      </c>
      <c r="R1036" s="0" t="s">
        <v>7584</v>
      </c>
      <c r="T1036" s="0" t="s">
        <v>7585</v>
      </c>
      <c r="U1036" s="0" t="s">
        <v>7586</v>
      </c>
      <c r="W1036" s="0" t="s">
        <v>6868</v>
      </c>
      <c r="X1036" s="0" t="s">
        <v>347</v>
      </c>
      <c r="Y1036" s="0" t="s">
        <v>42</v>
      </c>
      <c r="Z1036" s="0" t="s">
        <v>2384</v>
      </c>
      <c r="AA1036" s="0" t="s">
        <v>118</v>
      </c>
      <c r="AB1036" s="0" t="s">
        <v>531</v>
      </c>
      <c r="AC1036" s="0" t="s">
        <v>532</v>
      </c>
      <c r="AD1036" s="0" t="s">
        <v>7496</v>
      </c>
      <c r="AE1036" s="0" t="s">
        <v>6870</v>
      </c>
      <c r="AF1036" s="0" t="s">
        <v>301</v>
      </c>
      <c r="AM1036" s="0" t="s">
        <v>7587</v>
      </c>
      <c r="AN1036" s="0" t="s">
        <v>7588</v>
      </c>
      <c r="AO1036" s="0" t="s">
        <v>7589</v>
      </c>
      <c r="AP1036" s="0" t="s">
        <v>305</v>
      </c>
      <c r="AQ1036" s="0" t="s">
        <v>7590</v>
      </c>
      <c r="AR1036" s="0" t="s">
        <v>7591</v>
      </c>
      <c r="AS1036" s="0">
        <v>26</v>
      </c>
      <c r="AT1036" s="0">
        <v>61</v>
      </c>
      <c r="AU1036" s="0">
        <v>66</v>
      </c>
      <c r="AV1036" s="0" t="s">
        <v>332</v>
      </c>
      <c r="AW1036" s="0" t="s">
        <v>331</v>
      </c>
      <c r="AX1036" s="0" t="s">
        <v>7592</v>
      </c>
      <c r="AY1036" s="0" t="s">
        <v>7593</v>
      </c>
      <c r="AZ1036" s="0" t="s">
        <v>7594</v>
      </c>
      <c r="BA1036" s="0">
        <v>538</v>
      </c>
      <c r="BB1036" s="0" t="s">
        <v>232</v>
      </c>
      <c r="BC1036" s="0">
        <v>2</v>
      </c>
      <c r="BD1036" s="0">
        <v>38030</v>
      </c>
      <c r="BE1036" s="0">
        <v>70560</v>
      </c>
      <c r="BF1036" s="0">
        <v>4</v>
      </c>
      <c r="BG1036" s="0" t="s">
        <v>7595</v>
      </c>
      <c r="BI1036" s="0">
        <v>4826</v>
      </c>
      <c r="BK1036" s="0" t="s">
        <v>7596</v>
      </c>
    </row>
    <row r="1037">
      <c r="A1037" s="0">
        <v>5797</v>
      </c>
      <c r="B1037" s="0" t="s">
        <v>7597</v>
      </c>
      <c r="C1037" s="0" t="s">
        <v>315</v>
      </c>
      <c r="D1037" s="0" t="s">
        <v>6868</v>
      </c>
      <c r="E1037" s="0" t="s">
        <v>7598</v>
      </c>
      <c r="F1037" s="0">
        <v>2</v>
      </c>
      <c r="G1037" s="0" t="s">
        <v>293</v>
      </c>
      <c r="H1037" s="0" t="s">
        <v>294</v>
      </c>
      <c r="I1037" s="0" t="s">
        <v>295</v>
      </c>
      <c r="J1037" s="0" t="s">
        <v>594</v>
      </c>
      <c r="K1037" s="0" t="s">
        <v>1190</v>
      </c>
      <c r="L1037" s="0" t="s">
        <v>549</v>
      </c>
      <c r="P1037" s="0" t="s">
        <v>5490</v>
      </c>
      <c r="Q1037" s="0" t="s">
        <v>5490</v>
      </c>
      <c r="T1037" s="0" t="s">
        <v>7599</v>
      </c>
      <c r="U1037" s="0" t="s">
        <v>7600</v>
      </c>
      <c r="W1037" s="0" t="s">
        <v>6868</v>
      </c>
      <c r="X1037" s="0" t="s">
        <v>347</v>
      </c>
      <c r="Y1037" s="0" t="s">
        <v>42</v>
      </c>
      <c r="Z1037" s="0" t="s">
        <v>2384</v>
      </c>
      <c r="AA1037" s="0" t="s">
        <v>118</v>
      </c>
      <c r="AB1037" s="0" t="s">
        <v>531</v>
      </c>
      <c r="AC1037" s="0" t="s">
        <v>532</v>
      </c>
      <c r="AD1037" s="0" t="s">
        <v>7496</v>
      </c>
      <c r="AE1037" s="0" t="s">
        <v>6870</v>
      </c>
      <c r="AF1037" s="0" t="s">
        <v>301</v>
      </c>
      <c r="AP1037" s="0" t="s">
        <v>305</v>
      </c>
      <c r="BA1037" s="0">
        <v>538</v>
      </c>
      <c r="BB1037" s="0" t="s">
        <v>232</v>
      </c>
      <c r="BC1037" s="0">
        <v>2</v>
      </c>
      <c r="BD1037" s="0">
        <v>374043</v>
      </c>
      <c r="BE1037" s="0">
        <v>70560</v>
      </c>
      <c r="BF1037" s="0">
        <v>4</v>
      </c>
      <c r="BG1037" s="0" t="s">
        <v>7601</v>
      </c>
      <c r="BI1037" s="0">
        <v>4845</v>
      </c>
      <c r="BK1037" s="0" t="s">
        <v>7602</v>
      </c>
    </row>
    <row r="1038">
      <c r="A1038" s="0">
        <v>5773</v>
      </c>
      <c r="B1038" s="0" t="s">
        <v>7603</v>
      </c>
      <c r="C1038" s="0" t="s">
        <v>315</v>
      </c>
      <c r="D1038" s="0" t="s">
        <v>6868</v>
      </c>
      <c r="E1038" s="0" t="s">
        <v>7604</v>
      </c>
      <c r="F1038" s="0">
        <v>4</v>
      </c>
      <c r="G1038" s="0" t="s">
        <v>319</v>
      </c>
      <c r="H1038" s="0" t="s">
        <v>398</v>
      </c>
      <c r="I1038" s="0" t="s">
        <v>6530</v>
      </c>
      <c r="J1038" s="0" t="s">
        <v>594</v>
      </c>
      <c r="K1038" s="0" t="s">
        <v>1190</v>
      </c>
      <c r="L1038" s="0" t="s">
        <v>469</v>
      </c>
      <c r="P1038" s="0" t="s">
        <v>323</v>
      </c>
      <c r="Q1038" s="0" t="s">
        <v>323</v>
      </c>
      <c r="R1038" s="0" t="s">
        <v>6865</v>
      </c>
      <c r="T1038" s="0" t="s">
        <v>7605</v>
      </c>
      <c r="U1038" s="0" t="s">
        <v>7606</v>
      </c>
      <c r="W1038" s="0" t="s">
        <v>6868</v>
      </c>
      <c r="X1038" s="0" t="s">
        <v>347</v>
      </c>
      <c r="Y1038" s="0" t="s">
        <v>42</v>
      </c>
      <c r="Z1038" s="0" t="s">
        <v>2384</v>
      </c>
      <c r="AA1038" s="0" t="s">
        <v>118</v>
      </c>
      <c r="AB1038" s="0" t="s">
        <v>531</v>
      </c>
      <c r="AC1038" s="0" t="s">
        <v>532</v>
      </c>
      <c r="AD1038" s="0" t="s">
        <v>7496</v>
      </c>
      <c r="AE1038" s="0" t="s">
        <v>6870</v>
      </c>
      <c r="AF1038" s="0" t="s">
        <v>301</v>
      </c>
      <c r="AP1038" s="0" t="s">
        <v>305</v>
      </c>
      <c r="BA1038" s="0">
        <v>538</v>
      </c>
      <c r="BB1038" s="0" t="s">
        <v>232</v>
      </c>
      <c r="BC1038" s="0">
        <v>2</v>
      </c>
      <c r="BD1038" s="0">
        <v>374043</v>
      </c>
      <c r="BE1038" s="0">
        <v>70560</v>
      </c>
      <c r="BF1038" s="0">
        <v>4</v>
      </c>
      <c r="BG1038" s="0" t="s">
        <v>7607</v>
      </c>
      <c r="BI1038" s="0">
        <v>3834</v>
      </c>
      <c r="BK1038" s="0" t="s">
        <v>7608</v>
      </c>
    </row>
    <row r="1039">
      <c r="A1039" s="0">
        <v>5772</v>
      </c>
      <c r="B1039" s="0" t="s">
        <v>7609</v>
      </c>
      <c r="C1039" s="0" t="s">
        <v>315</v>
      </c>
      <c r="D1039" s="0" t="s">
        <v>6868</v>
      </c>
      <c r="E1039" s="0" t="s">
        <v>7610</v>
      </c>
      <c r="F1039" s="0">
        <v>2</v>
      </c>
      <c r="G1039" s="0" t="s">
        <v>319</v>
      </c>
      <c r="H1039" s="0" t="s">
        <v>398</v>
      </c>
      <c r="I1039" s="0" t="s">
        <v>1695</v>
      </c>
      <c r="J1039" s="0" t="s">
        <v>594</v>
      </c>
      <c r="K1039" s="0" t="s">
        <v>1190</v>
      </c>
      <c r="L1039" s="0" t="s">
        <v>469</v>
      </c>
      <c r="P1039" s="0" t="s">
        <v>323</v>
      </c>
      <c r="Q1039" s="0" t="s">
        <v>323</v>
      </c>
      <c r="R1039" s="0" t="s">
        <v>6865</v>
      </c>
      <c r="T1039" s="0" t="s">
        <v>7611</v>
      </c>
      <c r="U1039" s="0" t="s">
        <v>7612</v>
      </c>
      <c r="W1039" s="0" t="s">
        <v>6868</v>
      </c>
      <c r="X1039" s="0" t="s">
        <v>347</v>
      </c>
      <c r="Y1039" s="0" t="s">
        <v>42</v>
      </c>
      <c r="Z1039" s="0" t="s">
        <v>2384</v>
      </c>
      <c r="AA1039" s="0" t="s">
        <v>118</v>
      </c>
      <c r="AB1039" s="0" t="s">
        <v>531</v>
      </c>
      <c r="AC1039" s="0" t="s">
        <v>532</v>
      </c>
      <c r="AD1039" s="0" t="s">
        <v>7496</v>
      </c>
      <c r="AE1039" s="0" t="s">
        <v>6870</v>
      </c>
      <c r="AF1039" s="0" t="s">
        <v>301</v>
      </c>
      <c r="AP1039" s="0" t="s">
        <v>305</v>
      </c>
      <c r="BA1039" s="0">
        <v>538</v>
      </c>
      <c r="BB1039" s="0" t="s">
        <v>232</v>
      </c>
      <c r="BC1039" s="0">
        <v>2</v>
      </c>
      <c r="BD1039" s="0">
        <v>374043</v>
      </c>
      <c r="BE1039" s="0">
        <v>70560</v>
      </c>
      <c r="BF1039" s="0">
        <v>4</v>
      </c>
      <c r="BG1039" s="0" t="s">
        <v>7613</v>
      </c>
      <c r="BI1039" s="0">
        <v>3737</v>
      </c>
      <c r="BK1039" s="0" t="s">
        <v>7614</v>
      </c>
    </row>
    <row r="1040">
      <c r="A1040" s="0">
        <v>5763</v>
      </c>
      <c r="B1040" s="0" t="s">
        <v>7615</v>
      </c>
      <c r="C1040" s="0" t="s">
        <v>945</v>
      </c>
      <c r="D1040" s="0" t="s">
        <v>6868</v>
      </c>
      <c r="E1040" s="0" t="s">
        <v>7616</v>
      </c>
      <c r="F1040" s="0">
        <v>2</v>
      </c>
      <c r="G1040" s="0" t="s">
        <v>555</v>
      </c>
      <c r="H1040" s="0" t="s">
        <v>2414</v>
      </c>
      <c r="I1040" s="0" t="s">
        <v>2947</v>
      </c>
      <c r="J1040" s="0" t="s">
        <v>594</v>
      </c>
      <c r="K1040" s="0" t="s">
        <v>1190</v>
      </c>
      <c r="L1040" s="0" t="s">
        <v>2947</v>
      </c>
      <c r="M1040" s="0" t="s">
        <v>293</v>
      </c>
      <c r="N1040" s="0" t="s">
        <v>294</v>
      </c>
      <c r="O1040" s="0" t="s">
        <v>295</v>
      </c>
      <c r="P1040" s="0" t="s">
        <v>323</v>
      </c>
      <c r="Q1040" s="0" t="s">
        <v>323</v>
      </c>
      <c r="R1040" s="0" t="s">
        <v>7617</v>
      </c>
      <c r="T1040" s="0" t="s">
        <v>7618</v>
      </c>
      <c r="U1040" s="0" t="s">
        <v>7619</v>
      </c>
      <c r="W1040" s="0" t="s">
        <v>6868</v>
      </c>
      <c r="X1040" s="0" t="s">
        <v>347</v>
      </c>
      <c r="Y1040" s="0" t="s">
        <v>42</v>
      </c>
      <c r="Z1040" s="0" t="s">
        <v>2384</v>
      </c>
      <c r="AA1040" s="0" t="s">
        <v>118</v>
      </c>
      <c r="AB1040" s="0" t="s">
        <v>531</v>
      </c>
      <c r="AC1040" s="0" t="s">
        <v>532</v>
      </c>
      <c r="AD1040" s="0" t="s">
        <v>7496</v>
      </c>
      <c r="AE1040" s="0" t="s">
        <v>6870</v>
      </c>
      <c r="AF1040" s="0" t="s">
        <v>301</v>
      </c>
      <c r="AM1040" s="0" t="s">
        <v>7620</v>
      </c>
      <c r="AN1040" s="0" t="s">
        <v>7621</v>
      </c>
      <c r="AO1040" s="0" t="s">
        <v>7622</v>
      </c>
      <c r="AP1040" s="0" t="s">
        <v>305</v>
      </c>
      <c r="AQ1040" s="0" t="s">
        <v>7623</v>
      </c>
      <c r="AR1040" s="0" t="s">
        <v>7624</v>
      </c>
      <c r="AS1040" s="0">
        <v>19</v>
      </c>
      <c r="AT1040" s="0">
        <v>40</v>
      </c>
      <c r="AU1040" s="0">
        <v>49</v>
      </c>
      <c r="AV1040" s="0" t="s">
        <v>7625</v>
      </c>
      <c r="AW1040" s="0" t="s">
        <v>308</v>
      </c>
      <c r="AX1040" s="0" t="s">
        <v>7626</v>
      </c>
      <c r="AY1040" s="0" t="s">
        <v>7627</v>
      </c>
      <c r="AZ1040" s="0" t="s">
        <v>7628</v>
      </c>
      <c r="BA1040" s="0">
        <v>538</v>
      </c>
      <c r="BB1040" s="0" t="s">
        <v>232</v>
      </c>
      <c r="BC1040" s="0">
        <v>2</v>
      </c>
      <c r="BD1040" s="0">
        <v>14</v>
      </c>
      <c r="BE1040" s="0">
        <v>70560</v>
      </c>
      <c r="BF1040" s="0">
        <v>4</v>
      </c>
      <c r="BG1040" s="0" t="s">
        <v>7629</v>
      </c>
      <c r="BI1040" s="0">
        <v>2188</v>
      </c>
      <c r="BK1040" s="0" t="s">
        <v>7630</v>
      </c>
    </row>
    <row r="1041">
      <c r="A1041" s="0">
        <v>5771</v>
      </c>
      <c r="B1041" s="0" t="s">
        <v>7631</v>
      </c>
      <c r="C1041" s="0" t="s">
        <v>315</v>
      </c>
      <c r="D1041" s="0" t="s">
        <v>6868</v>
      </c>
      <c r="E1041" s="0" t="s">
        <v>7632</v>
      </c>
      <c r="F1041" s="0">
        <v>2</v>
      </c>
      <c r="G1041" s="0" t="s">
        <v>555</v>
      </c>
      <c r="H1041" s="0" t="s">
        <v>2414</v>
      </c>
      <c r="I1041" s="0" t="s">
        <v>549</v>
      </c>
      <c r="J1041" s="0" t="s">
        <v>594</v>
      </c>
      <c r="L1041" s="0" t="s">
        <v>549</v>
      </c>
      <c r="M1041" s="0" t="s">
        <v>293</v>
      </c>
      <c r="N1041" s="0" t="s">
        <v>294</v>
      </c>
      <c r="O1041" s="0" t="s">
        <v>295</v>
      </c>
      <c r="P1041" s="0" t="s">
        <v>323</v>
      </c>
      <c r="Q1041" s="0" t="s">
        <v>5490</v>
      </c>
      <c r="R1041" s="0" t="s">
        <v>673</v>
      </c>
      <c r="T1041" s="0" t="s">
        <v>7633</v>
      </c>
      <c r="U1041" s="0" t="s">
        <v>7634</v>
      </c>
      <c r="W1041" s="0" t="s">
        <v>6868</v>
      </c>
      <c r="X1041" s="0" t="s">
        <v>347</v>
      </c>
      <c r="Y1041" s="0" t="s">
        <v>42</v>
      </c>
      <c r="Z1041" s="0" t="s">
        <v>2384</v>
      </c>
      <c r="AA1041" s="0" t="s">
        <v>118</v>
      </c>
      <c r="AB1041" s="0" t="s">
        <v>531</v>
      </c>
      <c r="AC1041" s="0" t="s">
        <v>532</v>
      </c>
      <c r="AD1041" s="0" t="s">
        <v>7496</v>
      </c>
      <c r="AE1041" s="0" t="s">
        <v>6870</v>
      </c>
      <c r="AF1041" s="0" t="s">
        <v>301</v>
      </c>
      <c r="AP1041" s="0" t="s">
        <v>305</v>
      </c>
      <c r="BA1041" s="0">
        <v>538</v>
      </c>
      <c r="BB1041" s="0" t="s">
        <v>232</v>
      </c>
      <c r="BC1041" s="0">
        <v>2</v>
      </c>
      <c r="BD1041" s="0">
        <v>374043</v>
      </c>
      <c r="BE1041" s="0">
        <v>70560</v>
      </c>
      <c r="BF1041" s="0">
        <v>4</v>
      </c>
      <c r="BG1041" s="0" t="s">
        <v>7635</v>
      </c>
      <c r="BI1041" s="0">
        <v>3515</v>
      </c>
      <c r="BK1041" s="0" t="s">
        <v>7636</v>
      </c>
    </row>
    <row r="1042">
      <c r="A1042" s="0">
        <v>5781</v>
      </c>
      <c r="B1042" s="0" t="s">
        <v>7637</v>
      </c>
      <c r="C1042" s="0" t="s">
        <v>315</v>
      </c>
      <c r="D1042" s="0" t="s">
        <v>6868</v>
      </c>
      <c r="E1042" s="0" t="s">
        <v>7638</v>
      </c>
      <c r="F1042" s="0">
        <v>4</v>
      </c>
      <c r="G1042" s="0" t="s">
        <v>555</v>
      </c>
      <c r="H1042" s="0" t="s">
        <v>2414</v>
      </c>
      <c r="I1042" s="0" t="s">
        <v>549</v>
      </c>
      <c r="J1042" s="0" t="s">
        <v>594</v>
      </c>
      <c r="L1042" s="0" t="s">
        <v>549</v>
      </c>
      <c r="M1042" s="0" t="s">
        <v>293</v>
      </c>
      <c r="N1042" s="0" t="s">
        <v>294</v>
      </c>
      <c r="O1042" s="0" t="s">
        <v>295</v>
      </c>
      <c r="P1042" s="0" t="s">
        <v>323</v>
      </c>
      <c r="Q1042" s="0" t="s">
        <v>323</v>
      </c>
      <c r="R1042" s="0" t="s">
        <v>673</v>
      </c>
      <c r="T1042" s="0" t="s">
        <v>7639</v>
      </c>
      <c r="U1042" s="0" t="s">
        <v>7640</v>
      </c>
      <c r="W1042" s="0" t="s">
        <v>6868</v>
      </c>
      <c r="X1042" s="0" t="s">
        <v>347</v>
      </c>
      <c r="Y1042" s="0" t="s">
        <v>42</v>
      </c>
      <c r="Z1042" s="0" t="s">
        <v>2384</v>
      </c>
      <c r="AA1042" s="0" t="s">
        <v>118</v>
      </c>
      <c r="AB1042" s="0" t="s">
        <v>531</v>
      </c>
      <c r="AC1042" s="0" t="s">
        <v>532</v>
      </c>
      <c r="AD1042" s="0" t="s">
        <v>7496</v>
      </c>
      <c r="AE1042" s="0" t="s">
        <v>6870</v>
      </c>
      <c r="AF1042" s="0" t="s">
        <v>301</v>
      </c>
      <c r="AP1042" s="0" t="s">
        <v>305</v>
      </c>
      <c r="BA1042" s="0">
        <v>538</v>
      </c>
      <c r="BB1042" s="0" t="s">
        <v>232</v>
      </c>
      <c r="BC1042" s="0">
        <v>2</v>
      </c>
      <c r="BD1042" s="0">
        <v>374043</v>
      </c>
      <c r="BE1042" s="0">
        <v>70560</v>
      </c>
      <c r="BF1042" s="0">
        <v>4</v>
      </c>
      <c r="BG1042" s="0" t="s">
        <v>7641</v>
      </c>
      <c r="BI1042" s="0">
        <v>3630</v>
      </c>
      <c r="BK1042" s="0" t="s">
        <v>7642</v>
      </c>
    </row>
    <row r="1043">
      <c r="A1043" s="0">
        <v>5798</v>
      </c>
      <c r="B1043" s="0" t="s">
        <v>7643</v>
      </c>
      <c r="C1043" s="0" t="s">
        <v>315</v>
      </c>
      <c r="D1043" s="0" t="s">
        <v>6868</v>
      </c>
      <c r="E1043" s="0" t="s">
        <v>7644</v>
      </c>
      <c r="F1043" s="0">
        <v>2</v>
      </c>
      <c r="G1043" s="0" t="s">
        <v>293</v>
      </c>
      <c r="H1043" s="0" t="s">
        <v>294</v>
      </c>
      <c r="I1043" s="0" t="s">
        <v>295</v>
      </c>
      <c r="J1043" s="0" t="s">
        <v>594</v>
      </c>
      <c r="K1043" s="0" t="s">
        <v>1190</v>
      </c>
      <c r="L1043" s="0" t="s">
        <v>549</v>
      </c>
      <c r="P1043" s="0" t="s">
        <v>5490</v>
      </c>
      <c r="Q1043" s="0" t="s">
        <v>5490</v>
      </c>
      <c r="T1043" s="0" t="s">
        <v>7645</v>
      </c>
      <c r="U1043" s="0" t="s">
        <v>7646</v>
      </c>
      <c r="W1043" s="0" t="s">
        <v>6868</v>
      </c>
      <c r="X1043" s="0" t="s">
        <v>347</v>
      </c>
      <c r="Y1043" s="0" t="s">
        <v>42</v>
      </c>
      <c r="Z1043" s="0" t="s">
        <v>2384</v>
      </c>
      <c r="AA1043" s="0" t="s">
        <v>118</v>
      </c>
      <c r="AB1043" s="0" t="s">
        <v>531</v>
      </c>
      <c r="AC1043" s="0" t="s">
        <v>532</v>
      </c>
      <c r="AD1043" s="0" t="s">
        <v>7496</v>
      </c>
      <c r="AE1043" s="0" t="s">
        <v>6870</v>
      </c>
      <c r="AF1043" s="0" t="s">
        <v>301</v>
      </c>
      <c r="AP1043" s="0" t="s">
        <v>305</v>
      </c>
      <c r="BA1043" s="0">
        <v>538</v>
      </c>
      <c r="BB1043" s="0" t="s">
        <v>232</v>
      </c>
      <c r="BC1043" s="0">
        <v>2</v>
      </c>
      <c r="BD1043" s="0">
        <v>374043</v>
      </c>
      <c r="BE1043" s="0">
        <v>70560</v>
      </c>
      <c r="BF1043" s="0">
        <v>4</v>
      </c>
      <c r="BG1043" s="0" t="s">
        <v>7647</v>
      </c>
      <c r="BI1043" s="0">
        <v>4864</v>
      </c>
      <c r="BK1043" s="0" t="s">
        <v>7648</v>
      </c>
    </row>
    <row r="1044">
      <c r="A1044" s="0">
        <v>5784</v>
      </c>
      <c r="B1044" s="0" t="s">
        <v>7649</v>
      </c>
      <c r="C1044" s="0" t="s">
        <v>339</v>
      </c>
      <c r="D1044" s="0" t="s">
        <v>6868</v>
      </c>
      <c r="E1044" s="0" t="s">
        <v>7650</v>
      </c>
      <c r="F1044" s="0">
        <v>8</v>
      </c>
      <c r="G1044" s="0" t="s">
        <v>319</v>
      </c>
      <c r="H1044" s="0" t="s">
        <v>523</v>
      </c>
      <c r="I1044" s="0" t="s">
        <v>1268</v>
      </c>
      <c r="J1044" s="0" t="s">
        <v>594</v>
      </c>
      <c r="L1044" s="0" t="s">
        <v>1268</v>
      </c>
      <c r="P1044" s="0" t="s">
        <v>323</v>
      </c>
      <c r="Q1044" s="0" t="s">
        <v>5490</v>
      </c>
      <c r="R1044" s="0" t="s">
        <v>7617</v>
      </c>
      <c r="T1044" s="0" t="s">
        <v>7651</v>
      </c>
      <c r="U1044" s="0" t="s">
        <v>7652</v>
      </c>
      <c r="W1044" s="0" t="s">
        <v>6868</v>
      </c>
      <c r="X1044" s="0" t="s">
        <v>347</v>
      </c>
      <c r="Y1044" s="0" t="s">
        <v>42</v>
      </c>
      <c r="Z1044" s="0" t="s">
        <v>2384</v>
      </c>
      <c r="AA1044" s="0" t="s">
        <v>118</v>
      </c>
      <c r="AB1044" s="0" t="s">
        <v>531</v>
      </c>
      <c r="AC1044" s="0" t="s">
        <v>532</v>
      </c>
      <c r="AD1044" s="0" t="s">
        <v>7496</v>
      </c>
      <c r="AE1044" s="0" t="s">
        <v>6870</v>
      </c>
      <c r="AF1044" s="0" t="s">
        <v>301</v>
      </c>
      <c r="AM1044" s="0" t="s">
        <v>780</v>
      </c>
      <c r="AN1044" s="0" t="s">
        <v>1472</v>
      </c>
      <c r="AO1044" s="0" t="s">
        <v>387</v>
      </c>
      <c r="AP1044" s="0" t="s">
        <v>305</v>
      </c>
      <c r="AQ1044" s="0" t="s">
        <v>1077</v>
      </c>
      <c r="AR1044" s="0" t="s">
        <v>502</v>
      </c>
      <c r="AS1044" s="0">
        <v>77</v>
      </c>
      <c r="AT1044" s="0">
        <v>158</v>
      </c>
      <c r="AU1044" s="0">
        <v>203</v>
      </c>
      <c r="AV1044" s="0" t="s">
        <v>332</v>
      </c>
      <c r="AW1044" s="0" t="s">
        <v>332</v>
      </c>
      <c r="AX1044" s="0" t="s">
        <v>349</v>
      </c>
      <c r="AY1044" s="0" t="s">
        <v>372</v>
      </c>
      <c r="AZ1044" s="0" t="s">
        <v>585</v>
      </c>
      <c r="BA1044" s="0">
        <v>538</v>
      </c>
      <c r="BB1044" s="0" t="s">
        <v>232</v>
      </c>
      <c r="BC1044" s="0">
        <v>2</v>
      </c>
      <c r="BD1044" s="0">
        <v>8</v>
      </c>
      <c r="BE1044" s="0">
        <v>70560</v>
      </c>
      <c r="BF1044" s="0">
        <v>4</v>
      </c>
      <c r="BG1044" s="0" t="s">
        <v>7653</v>
      </c>
      <c r="BI1044" s="0">
        <v>4416</v>
      </c>
      <c r="BK1044" s="0" t="s">
        <v>7654</v>
      </c>
    </row>
    <row r="1045">
      <c r="A1045" s="0">
        <v>5759</v>
      </c>
      <c r="B1045" s="0" t="s">
        <v>7655</v>
      </c>
      <c r="C1045" s="0" t="s">
        <v>315</v>
      </c>
      <c r="D1045" s="0" t="s">
        <v>6868</v>
      </c>
      <c r="E1045" s="0" t="s">
        <v>4974</v>
      </c>
      <c r="F1045" s="0">
        <v>2</v>
      </c>
      <c r="G1045" s="0" t="s">
        <v>293</v>
      </c>
      <c r="H1045" s="0" t="s">
        <v>294</v>
      </c>
      <c r="I1045" s="0" t="s">
        <v>295</v>
      </c>
      <c r="J1045" s="0" t="s">
        <v>594</v>
      </c>
      <c r="K1045" s="0" t="s">
        <v>1190</v>
      </c>
      <c r="L1045" s="0" t="s">
        <v>549</v>
      </c>
      <c r="M1045" s="0" t="s">
        <v>7656</v>
      </c>
      <c r="P1045" s="0" t="s">
        <v>323</v>
      </c>
      <c r="Q1045" s="0" t="s">
        <v>323</v>
      </c>
      <c r="R1045" s="0" t="s">
        <v>7657</v>
      </c>
      <c r="T1045" s="0" t="s">
        <v>7658</v>
      </c>
      <c r="U1045" s="0" t="s">
        <v>7659</v>
      </c>
      <c r="W1045" s="0" t="s">
        <v>6868</v>
      </c>
      <c r="X1045" s="0" t="s">
        <v>347</v>
      </c>
      <c r="Y1045" s="0" t="s">
        <v>42</v>
      </c>
      <c r="Z1045" s="0" t="s">
        <v>2384</v>
      </c>
      <c r="AA1045" s="0" t="s">
        <v>118</v>
      </c>
      <c r="AB1045" s="0" t="s">
        <v>531</v>
      </c>
      <c r="AC1045" s="0" t="s">
        <v>532</v>
      </c>
      <c r="AD1045" s="0" t="s">
        <v>7496</v>
      </c>
      <c r="AE1045" s="0" t="s">
        <v>6870</v>
      </c>
      <c r="AF1045" s="0" t="s">
        <v>301</v>
      </c>
      <c r="AP1045" s="0" t="s">
        <v>305</v>
      </c>
      <c r="BA1045" s="0">
        <v>538</v>
      </c>
      <c r="BB1045" s="0" t="s">
        <v>232</v>
      </c>
      <c r="BC1045" s="0">
        <v>2</v>
      </c>
      <c r="BD1045" s="0">
        <v>374043</v>
      </c>
      <c r="BE1045" s="0">
        <v>70560</v>
      </c>
      <c r="BF1045" s="0">
        <v>4</v>
      </c>
      <c r="BG1045" s="0" t="s">
        <v>7660</v>
      </c>
      <c r="BI1045" s="0">
        <v>420</v>
      </c>
      <c r="BK1045" s="0" t="s">
        <v>7661</v>
      </c>
    </row>
    <row r="1046">
      <c r="A1046" s="0">
        <v>5769</v>
      </c>
      <c r="B1046" s="0" t="s">
        <v>7662</v>
      </c>
      <c r="C1046" s="0" t="s">
        <v>945</v>
      </c>
      <c r="D1046" s="0" t="s">
        <v>6868</v>
      </c>
      <c r="E1046" s="0" t="s">
        <v>7663</v>
      </c>
      <c r="F1046" s="0">
        <v>4</v>
      </c>
      <c r="G1046" s="0" t="s">
        <v>555</v>
      </c>
      <c r="H1046" s="0" t="s">
        <v>2414</v>
      </c>
      <c r="I1046" s="0" t="s">
        <v>1204</v>
      </c>
      <c r="J1046" s="0" t="s">
        <v>594</v>
      </c>
      <c r="L1046" s="0" t="s">
        <v>1204</v>
      </c>
      <c r="P1046" s="0" t="s">
        <v>323</v>
      </c>
      <c r="Q1046" s="0" t="s">
        <v>5490</v>
      </c>
      <c r="R1046" s="0" t="s">
        <v>1021</v>
      </c>
      <c r="T1046" s="0" t="s">
        <v>7664</v>
      </c>
      <c r="U1046" s="0" t="s">
        <v>7665</v>
      </c>
      <c r="W1046" s="0" t="s">
        <v>6868</v>
      </c>
      <c r="X1046" s="0" t="s">
        <v>347</v>
      </c>
      <c r="Y1046" s="0" t="s">
        <v>42</v>
      </c>
      <c r="Z1046" s="0" t="s">
        <v>2384</v>
      </c>
      <c r="AA1046" s="0" t="s">
        <v>118</v>
      </c>
      <c r="AB1046" s="0" t="s">
        <v>531</v>
      </c>
      <c r="AC1046" s="0" t="s">
        <v>532</v>
      </c>
      <c r="AD1046" s="0" t="s">
        <v>7496</v>
      </c>
      <c r="AE1046" s="0" t="s">
        <v>6870</v>
      </c>
      <c r="AF1046" s="0" t="s">
        <v>301</v>
      </c>
      <c r="AM1046" s="0" t="s">
        <v>824</v>
      </c>
      <c r="AN1046" s="0" t="s">
        <v>1920</v>
      </c>
      <c r="AO1046" s="0" t="s">
        <v>462</v>
      </c>
      <c r="AP1046" s="0" t="s">
        <v>305</v>
      </c>
      <c r="AQ1046" s="0" t="s">
        <v>977</v>
      </c>
      <c r="AR1046" s="0" t="s">
        <v>1182</v>
      </c>
      <c r="AS1046" s="0">
        <v>92</v>
      </c>
      <c r="AT1046" s="0">
        <v>194</v>
      </c>
      <c r="AU1046" s="0">
        <v>228</v>
      </c>
      <c r="AV1046" s="0" t="s">
        <v>308</v>
      </c>
      <c r="AW1046" s="0" t="s">
        <v>308</v>
      </c>
      <c r="AX1046" s="0" t="s">
        <v>1472</v>
      </c>
      <c r="AY1046" s="0" t="s">
        <v>3367</v>
      </c>
      <c r="AZ1046" s="0" t="s">
        <v>335</v>
      </c>
      <c r="BA1046" s="0">
        <v>538</v>
      </c>
      <c r="BB1046" s="0" t="s">
        <v>232</v>
      </c>
      <c r="BC1046" s="0">
        <v>2</v>
      </c>
      <c r="BD1046" s="0">
        <v>14</v>
      </c>
      <c r="BE1046" s="0">
        <v>70560</v>
      </c>
      <c r="BF1046" s="0">
        <v>4</v>
      </c>
      <c r="BG1046" s="0" t="s">
        <v>7666</v>
      </c>
      <c r="BI1046" s="0">
        <v>3260</v>
      </c>
      <c r="BK1046" s="0" t="s">
        <v>7667</v>
      </c>
    </row>
    <row r="1047">
      <c r="A1047" s="0">
        <v>5768</v>
      </c>
      <c r="B1047" s="0" t="s">
        <v>7668</v>
      </c>
      <c r="C1047" s="0" t="s">
        <v>945</v>
      </c>
      <c r="D1047" s="0" t="s">
        <v>6868</v>
      </c>
      <c r="E1047" s="0" t="s">
        <v>7663</v>
      </c>
      <c r="F1047" s="0">
        <v>4</v>
      </c>
      <c r="G1047" s="0" t="s">
        <v>555</v>
      </c>
      <c r="H1047" s="0" t="s">
        <v>2414</v>
      </c>
      <c r="I1047" s="0" t="s">
        <v>549</v>
      </c>
      <c r="J1047" s="0" t="s">
        <v>594</v>
      </c>
      <c r="L1047" s="0" t="s">
        <v>549</v>
      </c>
      <c r="P1047" s="0" t="s">
        <v>323</v>
      </c>
      <c r="Q1047" s="0" t="s">
        <v>5490</v>
      </c>
      <c r="R1047" s="0" t="s">
        <v>661</v>
      </c>
      <c r="T1047" s="0" t="s">
        <v>7664</v>
      </c>
      <c r="U1047" s="0" t="s">
        <v>7669</v>
      </c>
      <c r="W1047" s="0" t="s">
        <v>6868</v>
      </c>
      <c r="X1047" s="0" t="s">
        <v>347</v>
      </c>
      <c r="Y1047" s="0" t="s">
        <v>42</v>
      </c>
      <c r="Z1047" s="0" t="s">
        <v>2384</v>
      </c>
      <c r="AA1047" s="0" t="s">
        <v>118</v>
      </c>
      <c r="AB1047" s="0" t="s">
        <v>531</v>
      </c>
      <c r="AC1047" s="0" t="s">
        <v>532</v>
      </c>
      <c r="AD1047" s="0" t="s">
        <v>7496</v>
      </c>
      <c r="AE1047" s="0" t="s">
        <v>6870</v>
      </c>
      <c r="AF1047" s="0" t="s">
        <v>301</v>
      </c>
      <c r="AM1047" s="0" t="s">
        <v>824</v>
      </c>
      <c r="AN1047" s="0" t="s">
        <v>1920</v>
      </c>
      <c r="AO1047" s="0" t="s">
        <v>462</v>
      </c>
      <c r="AP1047" s="0" t="s">
        <v>305</v>
      </c>
      <c r="AQ1047" s="0" t="s">
        <v>977</v>
      </c>
      <c r="AR1047" s="0" t="s">
        <v>1182</v>
      </c>
      <c r="AS1047" s="0">
        <v>92</v>
      </c>
      <c r="AT1047" s="0">
        <v>194</v>
      </c>
      <c r="AU1047" s="0">
        <v>228</v>
      </c>
      <c r="AV1047" s="0" t="s">
        <v>308</v>
      </c>
      <c r="AW1047" s="0" t="s">
        <v>308</v>
      </c>
      <c r="AX1047" s="0" t="s">
        <v>1472</v>
      </c>
      <c r="AY1047" s="0" t="s">
        <v>3367</v>
      </c>
      <c r="AZ1047" s="0" t="s">
        <v>335</v>
      </c>
      <c r="BA1047" s="0">
        <v>538</v>
      </c>
      <c r="BB1047" s="0" t="s">
        <v>232</v>
      </c>
      <c r="BC1047" s="0">
        <v>2</v>
      </c>
      <c r="BD1047" s="0">
        <v>14</v>
      </c>
      <c r="BE1047" s="0">
        <v>70560</v>
      </c>
      <c r="BF1047" s="0">
        <v>4</v>
      </c>
      <c r="BG1047" s="0" t="s">
        <v>7670</v>
      </c>
      <c r="BI1047" s="0">
        <v>3109</v>
      </c>
      <c r="BK1047" s="0" t="s">
        <v>7671</v>
      </c>
    </row>
    <row r="1048">
      <c r="A1048" s="0">
        <v>5767</v>
      </c>
      <c r="B1048" s="0" t="s">
        <v>7672</v>
      </c>
      <c r="C1048" s="0" t="s">
        <v>945</v>
      </c>
      <c r="D1048" s="0" t="s">
        <v>6868</v>
      </c>
      <c r="E1048" s="0" t="s">
        <v>7673</v>
      </c>
      <c r="F1048" s="0">
        <v>2</v>
      </c>
      <c r="G1048" s="0" t="s">
        <v>555</v>
      </c>
      <c r="H1048" s="0" t="s">
        <v>2414</v>
      </c>
      <c r="I1048" s="0" t="s">
        <v>549</v>
      </c>
      <c r="J1048" s="0" t="s">
        <v>594</v>
      </c>
      <c r="K1048" s="0" t="s">
        <v>1190</v>
      </c>
      <c r="L1048" s="0" t="s">
        <v>549</v>
      </c>
      <c r="M1048" s="0" t="s">
        <v>3140</v>
      </c>
      <c r="N1048" s="0" t="s">
        <v>582</v>
      </c>
      <c r="O1048" s="0" t="s">
        <v>583</v>
      </c>
      <c r="P1048" s="0" t="s">
        <v>323</v>
      </c>
      <c r="Q1048" s="0" t="s">
        <v>5490</v>
      </c>
      <c r="R1048" s="0" t="s">
        <v>661</v>
      </c>
      <c r="T1048" s="0" t="s">
        <v>7674</v>
      </c>
      <c r="U1048" s="0" t="s">
        <v>7675</v>
      </c>
      <c r="W1048" s="0" t="s">
        <v>6868</v>
      </c>
      <c r="X1048" s="0" t="s">
        <v>347</v>
      </c>
      <c r="Y1048" s="0" t="s">
        <v>42</v>
      </c>
      <c r="Z1048" s="0" t="s">
        <v>2384</v>
      </c>
      <c r="AA1048" s="0" t="s">
        <v>118</v>
      </c>
      <c r="AB1048" s="0" t="s">
        <v>531</v>
      </c>
      <c r="AC1048" s="0" t="s">
        <v>532</v>
      </c>
      <c r="AD1048" s="0" t="s">
        <v>7496</v>
      </c>
      <c r="AE1048" s="0" t="s">
        <v>6870</v>
      </c>
      <c r="AF1048" s="0" t="s">
        <v>301</v>
      </c>
      <c r="AM1048" s="0" t="s">
        <v>7676</v>
      </c>
      <c r="AN1048" s="0" t="s">
        <v>7677</v>
      </c>
      <c r="AO1048" s="0" t="s">
        <v>7678</v>
      </c>
      <c r="AP1048" s="0" t="s">
        <v>305</v>
      </c>
      <c r="AQ1048" s="0" t="s">
        <v>7679</v>
      </c>
      <c r="AR1048" s="0" t="s">
        <v>7680</v>
      </c>
      <c r="AS1048" s="0">
        <v>16</v>
      </c>
      <c r="AT1048" s="0">
        <v>36</v>
      </c>
      <c r="AU1048" s="0">
        <v>39</v>
      </c>
      <c r="AV1048" s="0" t="s">
        <v>308</v>
      </c>
      <c r="AW1048" s="0" t="s">
        <v>308</v>
      </c>
      <c r="AX1048" s="0" t="s">
        <v>7681</v>
      </c>
      <c r="AY1048" s="0" t="s">
        <v>7682</v>
      </c>
      <c r="AZ1048" s="0" t="s">
        <v>7683</v>
      </c>
      <c r="BA1048" s="0">
        <v>538</v>
      </c>
      <c r="BB1048" s="0" t="s">
        <v>232</v>
      </c>
      <c r="BC1048" s="0">
        <v>2</v>
      </c>
      <c r="BD1048" s="0">
        <v>14</v>
      </c>
      <c r="BE1048" s="0">
        <v>70560</v>
      </c>
      <c r="BF1048" s="0">
        <v>4</v>
      </c>
      <c r="BG1048" s="0" t="s">
        <v>7684</v>
      </c>
      <c r="BI1048" s="0">
        <v>2943</v>
      </c>
      <c r="BK1048" s="0" t="s">
        <v>7685</v>
      </c>
    </row>
    <row r="1049">
      <c r="A1049" s="0">
        <v>5787</v>
      </c>
      <c r="B1049" s="0" t="s">
        <v>7686</v>
      </c>
      <c r="C1049" s="0" t="s">
        <v>945</v>
      </c>
      <c r="D1049" s="0" t="s">
        <v>6868</v>
      </c>
      <c r="E1049" s="0" t="s">
        <v>7687</v>
      </c>
      <c r="F1049" s="0">
        <v>8</v>
      </c>
      <c r="G1049" s="0" t="s">
        <v>319</v>
      </c>
      <c r="H1049" s="0" t="s">
        <v>523</v>
      </c>
      <c r="I1049" s="0" t="s">
        <v>6530</v>
      </c>
      <c r="J1049" s="0" t="s">
        <v>594</v>
      </c>
      <c r="L1049" s="0" t="s">
        <v>5139</v>
      </c>
      <c r="P1049" s="0" t="s">
        <v>323</v>
      </c>
      <c r="Q1049" s="0" t="s">
        <v>5490</v>
      </c>
      <c r="R1049" s="0" t="s">
        <v>2103</v>
      </c>
      <c r="T1049" s="0" t="s">
        <v>7688</v>
      </c>
      <c r="U1049" s="0" t="s">
        <v>7689</v>
      </c>
      <c r="W1049" s="0" t="s">
        <v>6868</v>
      </c>
      <c r="X1049" s="0" t="s">
        <v>347</v>
      </c>
      <c r="Y1049" s="0" t="s">
        <v>42</v>
      </c>
      <c r="Z1049" s="0" t="s">
        <v>2384</v>
      </c>
      <c r="AA1049" s="0" t="s">
        <v>118</v>
      </c>
      <c r="AB1049" s="0" t="s">
        <v>531</v>
      </c>
      <c r="AC1049" s="0" t="s">
        <v>532</v>
      </c>
      <c r="AD1049" s="0" t="s">
        <v>7496</v>
      </c>
      <c r="AE1049" s="0" t="s">
        <v>6870</v>
      </c>
      <c r="AF1049" s="0" t="s">
        <v>301</v>
      </c>
      <c r="AM1049" s="0" t="s">
        <v>608</v>
      </c>
      <c r="AN1049" s="0" t="s">
        <v>824</v>
      </c>
      <c r="AO1049" s="0" t="s">
        <v>1321</v>
      </c>
      <c r="AP1049" s="0" t="s">
        <v>305</v>
      </c>
      <c r="AQ1049" s="0" t="s">
        <v>1575</v>
      </c>
      <c r="AR1049" s="0" t="s">
        <v>1450</v>
      </c>
      <c r="AS1049" s="0">
        <v>108</v>
      </c>
      <c r="AT1049" s="0">
        <v>217</v>
      </c>
      <c r="AU1049" s="0">
        <v>256</v>
      </c>
      <c r="AV1049" s="0" t="s">
        <v>332</v>
      </c>
      <c r="AW1049" s="0" t="s">
        <v>332</v>
      </c>
      <c r="AX1049" s="0" t="s">
        <v>912</v>
      </c>
      <c r="AY1049" s="0" t="s">
        <v>2726</v>
      </c>
      <c r="AZ1049" s="0" t="s">
        <v>334</v>
      </c>
      <c r="BA1049" s="0">
        <v>538</v>
      </c>
      <c r="BB1049" s="0" t="s">
        <v>232</v>
      </c>
      <c r="BC1049" s="0">
        <v>2</v>
      </c>
      <c r="BD1049" s="0">
        <v>14</v>
      </c>
      <c r="BE1049" s="0">
        <v>70560</v>
      </c>
      <c r="BF1049" s="0">
        <v>4</v>
      </c>
      <c r="BG1049" s="0" t="s">
        <v>7690</v>
      </c>
      <c r="BI1049" s="0">
        <v>4564</v>
      </c>
      <c r="BK1049" s="0" t="s">
        <v>7691</v>
      </c>
    </row>
    <row r="1050">
      <c r="A1050" s="0">
        <v>5808</v>
      </c>
      <c r="B1050" s="0" t="s">
        <v>7692</v>
      </c>
      <c r="C1050" s="0" t="s">
        <v>945</v>
      </c>
      <c r="D1050" s="0" t="s">
        <v>6868</v>
      </c>
      <c r="E1050" s="0" t="s">
        <v>7693</v>
      </c>
      <c r="F1050" s="0">
        <v>8</v>
      </c>
      <c r="G1050" s="0" t="s">
        <v>319</v>
      </c>
      <c r="H1050" s="0" t="s">
        <v>523</v>
      </c>
      <c r="I1050" s="0" t="s">
        <v>6530</v>
      </c>
      <c r="J1050" s="0" t="s">
        <v>594</v>
      </c>
      <c r="L1050" s="0" t="s">
        <v>5139</v>
      </c>
      <c r="P1050" s="0" t="s">
        <v>323</v>
      </c>
      <c r="Q1050" s="0" t="s">
        <v>343</v>
      </c>
      <c r="R1050" s="0" t="s">
        <v>526</v>
      </c>
      <c r="T1050" s="0" t="s">
        <v>7694</v>
      </c>
      <c r="U1050" s="0" t="s">
        <v>7695</v>
      </c>
      <c r="W1050" s="0" t="s">
        <v>6868</v>
      </c>
      <c r="X1050" s="0" t="s">
        <v>347</v>
      </c>
      <c r="Y1050" s="0" t="s">
        <v>42</v>
      </c>
      <c r="Z1050" s="0" t="s">
        <v>2384</v>
      </c>
      <c r="AA1050" s="0" t="s">
        <v>118</v>
      </c>
      <c r="AB1050" s="0" t="s">
        <v>531</v>
      </c>
      <c r="AC1050" s="0" t="s">
        <v>532</v>
      </c>
      <c r="AD1050" s="0" t="s">
        <v>7496</v>
      </c>
      <c r="AE1050" s="0" t="s">
        <v>6870</v>
      </c>
      <c r="AF1050" s="0" t="s">
        <v>301</v>
      </c>
      <c r="AM1050" s="0" t="s">
        <v>608</v>
      </c>
      <c r="AN1050" s="0" t="s">
        <v>824</v>
      </c>
      <c r="AO1050" s="0" t="s">
        <v>1321</v>
      </c>
      <c r="AP1050" s="0" t="s">
        <v>305</v>
      </c>
      <c r="AQ1050" s="0" t="s">
        <v>1575</v>
      </c>
      <c r="AR1050" s="0" t="s">
        <v>1450</v>
      </c>
      <c r="AS1050" s="0">
        <v>108</v>
      </c>
      <c r="AT1050" s="0">
        <v>217</v>
      </c>
      <c r="AU1050" s="0">
        <v>256</v>
      </c>
      <c r="AV1050" s="0" t="s">
        <v>332</v>
      </c>
      <c r="AW1050" s="0" t="s">
        <v>332</v>
      </c>
      <c r="AX1050" s="0" t="s">
        <v>912</v>
      </c>
      <c r="AY1050" s="0" t="s">
        <v>2726</v>
      </c>
      <c r="AZ1050" s="0" t="s">
        <v>334</v>
      </c>
      <c r="BA1050" s="0">
        <v>538</v>
      </c>
      <c r="BB1050" s="0" t="s">
        <v>232</v>
      </c>
      <c r="BC1050" s="0">
        <v>2</v>
      </c>
      <c r="BD1050" s="0">
        <v>14</v>
      </c>
      <c r="BE1050" s="0">
        <v>70560</v>
      </c>
      <c r="BF1050" s="0">
        <v>4</v>
      </c>
      <c r="BG1050" s="0" t="s">
        <v>7696</v>
      </c>
      <c r="BI1050" s="0">
        <v>4983</v>
      </c>
      <c r="BK1050" s="0" t="s">
        <v>7697</v>
      </c>
    </row>
    <row r="1051">
      <c r="A1051" s="0">
        <v>5790</v>
      </c>
      <c r="B1051" s="0" t="s">
        <v>7698</v>
      </c>
      <c r="C1051" s="0" t="s">
        <v>945</v>
      </c>
      <c r="D1051" s="0" t="s">
        <v>6868</v>
      </c>
      <c r="E1051" s="0" t="s">
        <v>7699</v>
      </c>
      <c r="F1051" s="0">
        <v>2</v>
      </c>
      <c r="G1051" s="0" t="s">
        <v>555</v>
      </c>
      <c r="H1051" s="0" t="s">
        <v>6541</v>
      </c>
      <c r="I1051" s="0" t="s">
        <v>7700</v>
      </c>
      <c r="J1051" s="0" t="s">
        <v>508</v>
      </c>
      <c r="K1051" s="0" t="s">
        <v>1190</v>
      </c>
      <c r="L1051" s="0" t="s">
        <v>469</v>
      </c>
      <c r="M1051" s="0" t="s">
        <v>3140</v>
      </c>
      <c r="N1051" s="0" t="s">
        <v>582</v>
      </c>
      <c r="O1051" s="0" t="s">
        <v>583</v>
      </c>
      <c r="P1051" s="0" t="s">
        <v>323</v>
      </c>
      <c r="Q1051" s="0" t="s">
        <v>323</v>
      </c>
      <c r="R1051" s="0" t="s">
        <v>7701</v>
      </c>
      <c r="T1051" s="0" t="s">
        <v>7702</v>
      </c>
      <c r="U1051" s="0" t="s">
        <v>7703</v>
      </c>
      <c r="W1051" s="0" t="s">
        <v>6868</v>
      </c>
      <c r="X1051" s="0" t="s">
        <v>347</v>
      </c>
      <c r="Y1051" s="0" t="s">
        <v>42</v>
      </c>
      <c r="Z1051" s="0" t="s">
        <v>2384</v>
      </c>
      <c r="AA1051" s="0" t="s">
        <v>118</v>
      </c>
      <c r="AB1051" s="0" t="s">
        <v>531</v>
      </c>
      <c r="AC1051" s="0" t="s">
        <v>532</v>
      </c>
      <c r="AD1051" s="0" t="s">
        <v>7496</v>
      </c>
      <c r="AE1051" s="0" t="s">
        <v>6870</v>
      </c>
      <c r="AF1051" s="0" t="s">
        <v>301</v>
      </c>
      <c r="AM1051" s="0" t="s">
        <v>7704</v>
      </c>
      <c r="AN1051" s="0" t="s">
        <v>7705</v>
      </c>
      <c r="AO1051" s="0" t="s">
        <v>7706</v>
      </c>
      <c r="AP1051" s="0" t="s">
        <v>305</v>
      </c>
      <c r="AQ1051" s="0" t="s">
        <v>7707</v>
      </c>
      <c r="AR1051" s="0" t="s">
        <v>7708</v>
      </c>
      <c r="AS1051" s="0">
        <v>9</v>
      </c>
      <c r="AT1051" s="0">
        <v>16</v>
      </c>
      <c r="AU1051" s="0">
        <v>26</v>
      </c>
      <c r="AV1051" s="0" t="s">
        <v>3165</v>
      </c>
      <c r="AW1051" s="0" t="s">
        <v>977</v>
      </c>
      <c r="AX1051" s="0" t="s">
        <v>7709</v>
      </c>
      <c r="AY1051" s="0" t="s">
        <v>7710</v>
      </c>
      <c r="AZ1051" s="0" t="s">
        <v>1159</v>
      </c>
      <c r="BA1051" s="0">
        <v>538</v>
      </c>
      <c r="BB1051" s="0" t="s">
        <v>232</v>
      </c>
      <c r="BC1051" s="0">
        <v>2</v>
      </c>
      <c r="BD1051" s="0">
        <v>14</v>
      </c>
      <c r="BE1051" s="0">
        <v>70560</v>
      </c>
      <c r="BF1051" s="0">
        <v>4</v>
      </c>
      <c r="BG1051" s="0" t="s">
        <v>7711</v>
      </c>
      <c r="BI1051" s="0">
        <v>4677</v>
      </c>
      <c r="BK1051" s="0" t="s">
        <v>7712</v>
      </c>
    </row>
    <row r="1052">
      <c r="A1052" s="0">
        <v>5764</v>
      </c>
      <c r="B1052" s="0" t="s">
        <v>7713</v>
      </c>
      <c r="C1052" s="0" t="s">
        <v>945</v>
      </c>
      <c r="D1052" s="0" t="s">
        <v>6868</v>
      </c>
      <c r="E1052" s="0" t="s">
        <v>7699</v>
      </c>
      <c r="F1052" s="0">
        <v>2</v>
      </c>
      <c r="G1052" s="0" t="s">
        <v>555</v>
      </c>
      <c r="H1052" s="0" t="s">
        <v>6541</v>
      </c>
      <c r="I1052" s="0" t="s">
        <v>417</v>
      </c>
      <c r="J1052" s="0" t="s">
        <v>594</v>
      </c>
      <c r="K1052" s="0" t="s">
        <v>1190</v>
      </c>
      <c r="L1052" s="0" t="s">
        <v>549</v>
      </c>
      <c r="M1052" s="0" t="s">
        <v>3140</v>
      </c>
      <c r="N1052" s="0" t="s">
        <v>582</v>
      </c>
      <c r="O1052" s="0" t="s">
        <v>583</v>
      </c>
      <c r="P1052" s="0" t="s">
        <v>323</v>
      </c>
      <c r="Q1052" s="0" t="s">
        <v>323</v>
      </c>
      <c r="R1052" s="0" t="s">
        <v>556</v>
      </c>
      <c r="T1052" s="0" t="s">
        <v>7714</v>
      </c>
      <c r="U1052" s="0" t="s">
        <v>7715</v>
      </c>
      <c r="W1052" s="0" t="s">
        <v>6868</v>
      </c>
      <c r="X1052" s="0" t="s">
        <v>347</v>
      </c>
      <c r="Y1052" s="0" t="s">
        <v>42</v>
      </c>
      <c r="Z1052" s="0" t="s">
        <v>2384</v>
      </c>
      <c r="AA1052" s="0" t="s">
        <v>118</v>
      </c>
      <c r="AB1052" s="0" t="s">
        <v>531</v>
      </c>
      <c r="AC1052" s="0" t="s">
        <v>532</v>
      </c>
      <c r="AD1052" s="0" t="s">
        <v>7496</v>
      </c>
      <c r="AE1052" s="0" t="s">
        <v>6870</v>
      </c>
      <c r="AF1052" s="0" t="s">
        <v>301</v>
      </c>
      <c r="AM1052" s="0" t="s">
        <v>7704</v>
      </c>
      <c r="AN1052" s="0" t="s">
        <v>7705</v>
      </c>
      <c r="AO1052" s="0" t="s">
        <v>7706</v>
      </c>
      <c r="AP1052" s="0" t="s">
        <v>305</v>
      </c>
      <c r="AQ1052" s="0" t="s">
        <v>7707</v>
      </c>
      <c r="AR1052" s="0" t="s">
        <v>7708</v>
      </c>
      <c r="AS1052" s="0">
        <v>9</v>
      </c>
      <c r="AT1052" s="0">
        <v>16</v>
      </c>
      <c r="AU1052" s="0">
        <v>26</v>
      </c>
      <c r="AV1052" s="0" t="s">
        <v>3165</v>
      </c>
      <c r="AW1052" s="0" t="s">
        <v>977</v>
      </c>
      <c r="AX1052" s="0" t="s">
        <v>7709</v>
      </c>
      <c r="AY1052" s="0" t="s">
        <v>7710</v>
      </c>
      <c r="AZ1052" s="0" t="s">
        <v>1159</v>
      </c>
      <c r="BA1052" s="0">
        <v>538</v>
      </c>
      <c r="BB1052" s="0" t="s">
        <v>232</v>
      </c>
      <c r="BC1052" s="0">
        <v>2</v>
      </c>
      <c r="BD1052" s="0">
        <v>14</v>
      </c>
      <c r="BE1052" s="0">
        <v>70560</v>
      </c>
      <c r="BF1052" s="0">
        <v>4</v>
      </c>
      <c r="BG1052" s="0" t="s">
        <v>7716</v>
      </c>
      <c r="BI1052" s="0">
        <v>2400</v>
      </c>
      <c r="BK1052" s="0" t="s">
        <v>7717</v>
      </c>
    </row>
    <row r="1053">
      <c r="A1053" s="0">
        <v>5795</v>
      </c>
      <c r="B1053" s="0" t="s">
        <v>7718</v>
      </c>
      <c r="C1053" s="0" t="s">
        <v>656</v>
      </c>
      <c r="D1053" s="0" t="s">
        <v>6868</v>
      </c>
      <c r="E1053" s="0" t="s">
        <v>7719</v>
      </c>
      <c r="F1053" s="0">
        <v>2</v>
      </c>
      <c r="G1053" s="0" t="s">
        <v>293</v>
      </c>
      <c r="H1053" s="0" t="s">
        <v>294</v>
      </c>
      <c r="I1053" s="0" t="s">
        <v>295</v>
      </c>
      <c r="J1053" s="0" t="s">
        <v>555</v>
      </c>
      <c r="K1053" s="0" t="s">
        <v>2414</v>
      </c>
      <c r="L1053" s="0" t="s">
        <v>549</v>
      </c>
      <c r="P1053" s="0" t="s">
        <v>323</v>
      </c>
      <c r="Q1053" s="0" t="s">
        <v>323</v>
      </c>
      <c r="R1053" s="0" t="s">
        <v>7720</v>
      </c>
      <c r="T1053" s="0" t="s">
        <v>7721</v>
      </c>
      <c r="U1053" s="0" t="s">
        <v>7722</v>
      </c>
      <c r="W1053" s="0" t="s">
        <v>6868</v>
      </c>
      <c r="X1053" s="0" t="s">
        <v>347</v>
      </c>
      <c r="Y1053" s="0" t="s">
        <v>42</v>
      </c>
      <c r="Z1053" s="0" t="s">
        <v>2384</v>
      </c>
      <c r="AA1053" s="0" t="s">
        <v>118</v>
      </c>
      <c r="AB1053" s="0" t="s">
        <v>531</v>
      </c>
      <c r="AC1053" s="0" t="s">
        <v>532</v>
      </c>
      <c r="AD1053" s="0" t="s">
        <v>7496</v>
      </c>
      <c r="AE1053" s="0" t="s">
        <v>6870</v>
      </c>
      <c r="AF1053" s="0" t="s">
        <v>301</v>
      </c>
      <c r="AM1053" s="0" t="s">
        <v>7723</v>
      </c>
      <c r="AN1053" s="0" t="s">
        <v>7724</v>
      </c>
      <c r="AO1053" s="0" t="s">
        <v>7725</v>
      </c>
      <c r="AP1053" s="0" t="s">
        <v>305</v>
      </c>
      <c r="AQ1053" s="0" t="s">
        <v>7726</v>
      </c>
      <c r="AR1053" s="0" t="s">
        <v>7727</v>
      </c>
      <c r="AU1053" s="0">
        <v>33</v>
      </c>
      <c r="AV1053" s="0" t="s">
        <v>3800</v>
      </c>
      <c r="AW1053" s="0" t="s">
        <v>331</v>
      </c>
      <c r="AX1053" s="0" t="s">
        <v>7728</v>
      </c>
      <c r="AY1053" s="0" t="s">
        <v>7729</v>
      </c>
      <c r="AZ1053" s="0" t="s">
        <v>7730</v>
      </c>
      <c r="BA1053" s="0">
        <v>538</v>
      </c>
      <c r="BB1053" s="0" t="s">
        <v>232</v>
      </c>
      <c r="BC1053" s="0">
        <v>2</v>
      </c>
      <c r="BD1053" s="0">
        <v>10</v>
      </c>
      <c r="BE1053" s="0">
        <v>70560</v>
      </c>
      <c r="BF1053" s="0">
        <v>4</v>
      </c>
      <c r="BG1053" s="0" t="s">
        <v>7731</v>
      </c>
      <c r="BI1053" s="0">
        <v>4789</v>
      </c>
      <c r="BK1053" s="0" t="s">
        <v>7732</v>
      </c>
    </row>
    <row r="1054">
      <c r="A1054" s="0">
        <v>5788</v>
      </c>
      <c r="B1054" s="0" t="s">
        <v>7733</v>
      </c>
      <c r="C1054" s="0" t="s">
        <v>290</v>
      </c>
      <c r="D1054" s="0" t="s">
        <v>6868</v>
      </c>
      <c r="E1054" s="0" t="s">
        <v>7734</v>
      </c>
      <c r="F1054" s="0">
        <v>2</v>
      </c>
      <c r="G1054" s="0" t="s">
        <v>555</v>
      </c>
      <c r="H1054" s="0" t="s">
        <v>7735</v>
      </c>
      <c r="I1054" s="0" t="s">
        <v>549</v>
      </c>
      <c r="J1054" s="0" t="s">
        <v>508</v>
      </c>
      <c r="K1054" s="0" t="s">
        <v>1190</v>
      </c>
      <c r="L1054" s="0" t="s">
        <v>549</v>
      </c>
      <c r="M1054" s="0" t="s">
        <v>293</v>
      </c>
      <c r="N1054" s="0" t="s">
        <v>294</v>
      </c>
      <c r="O1054" s="0" t="s">
        <v>295</v>
      </c>
      <c r="P1054" s="0" t="s">
        <v>323</v>
      </c>
      <c r="Q1054" s="0" t="s">
        <v>323</v>
      </c>
      <c r="R1054" s="0" t="s">
        <v>324</v>
      </c>
      <c r="T1054" s="0" t="s">
        <v>7736</v>
      </c>
      <c r="U1054" s="0" t="s">
        <v>7737</v>
      </c>
      <c r="W1054" s="0" t="s">
        <v>6868</v>
      </c>
      <c r="X1054" s="0" t="s">
        <v>347</v>
      </c>
      <c r="Y1054" s="0" t="s">
        <v>42</v>
      </c>
      <c r="Z1054" s="0" t="s">
        <v>2384</v>
      </c>
      <c r="AA1054" s="0" t="s">
        <v>118</v>
      </c>
      <c r="AB1054" s="0" t="s">
        <v>531</v>
      </c>
      <c r="AC1054" s="0" t="s">
        <v>532</v>
      </c>
      <c r="AD1054" s="0" t="s">
        <v>7496</v>
      </c>
      <c r="AE1054" s="0" t="s">
        <v>6870</v>
      </c>
      <c r="AF1054" s="0" t="s">
        <v>301</v>
      </c>
      <c r="AP1054" s="0" t="s">
        <v>305</v>
      </c>
      <c r="BA1054" s="0">
        <v>538</v>
      </c>
      <c r="BB1054" s="0" t="s">
        <v>232</v>
      </c>
      <c r="BC1054" s="0">
        <v>2</v>
      </c>
      <c r="BD1054" s="0">
        <v>374053</v>
      </c>
      <c r="BE1054" s="0">
        <v>70560</v>
      </c>
      <c r="BF1054" s="0">
        <v>4</v>
      </c>
      <c r="BG1054" s="0" t="s">
        <v>7738</v>
      </c>
      <c r="BI1054" s="0">
        <v>4608</v>
      </c>
      <c r="BK1054" s="0" t="s">
        <v>7739</v>
      </c>
    </row>
    <row r="1055">
      <c r="A1055" s="0">
        <v>5766</v>
      </c>
      <c r="B1055" s="0" t="s">
        <v>7740</v>
      </c>
      <c r="C1055" s="0" t="s">
        <v>290</v>
      </c>
      <c r="D1055" s="0" t="s">
        <v>6868</v>
      </c>
      <c r="E1055" s="0" t="s">
        <v>7734</v>
      </c>
      <c r="F1055" s="0">
        <v>2</v>
      </c>
      <c r="G1055" s="0" t="s">
        <v>555</v>
      </c>
      <c r="H1055" s="0" t="s">
        <v>2414</v>
      </c>
      <c r="I1055" s="0" t="s">
        <v>1204</v>
      </c>
      <c r="J1055" s="0" t="s">
        <v>594</v>
      </c>
      <c r="K1055" s="0" t="s">
        <v>1190</v>
      </c>
      <c r="L1055" s="0" t="s">
        <v>1204</v>
      </c>
      <c r="M1055" s="0" t="s">
        <v>293</v>
      </c>
      <c r="N1055" s="0" t="s">
        <v>294</v>
      </c>
      <c r="O1055" s="0" t="s">
        <v>295</v>
      </c>
      <c r="P1055" s="0" t="s">
        <v>323</v>
      </c>
      <c r="Q1055" s="0" t="s">
        <v>323</v>
      </c>
      <c r="R1055" s="0" t="s">
        <v>7741</v>
      </c>
      <c r="T1055" s="0" t="s">
        <v>7742</v>
      </c>
      <c r="U1055" s="0" t="s">
        <v>7743</v>
      </c>
      <c r="W1055" s="0" t="s">
        <v>6868</v>
      </c>
      <c r="X1055" s="0" t="s">
        <v>347</v>
      </c>
      <c r="Y1055" s="0" t="s">
        <v>42</v>
      </c>
      <c r="Z1055" s="0" t="s">
        <v>2384</v>
      </c>
      <c r="AA1055" s="0" t="s">
        <v>118</v>
      </c>
      <c r="AB1055" s="0" t="s">
        <v>531</v>
      </c>
      <c r="AC1055" s="0" t="s">
        <v>532</v>
      </c>
      <c r="AD1055" s="0" t="s">
        <v>7496</v>
      </c>
      <c r="AE1055" s="0" t="s">
        <v>6870</v>
      </c>
      <c r="AF1055" s="0" t="s">
        <v>301</v>
      </c>
      <c r="AP1055" s="0" t="s">
        <v>305</v>
      </c>
      <c r="BA1055" s="0">
        <v>538</v>
      </c>
      <c r="BB1055" s="0" t="s">
        <v>232</v>
      </c>
      <c r="BC1055" s="0">
        <v>2</v>
      </c>
      <c r="BD1055" s="0">
        <v>374053</v>
      </c>
      <c r="BE1055" s="0">
        <v>70560</v>
      </c>
      <c r="BF1055" s="0">
        <v>4</v>
      </c>
      <c r="BG1055" s="0" t="s">
        <v>7744</v>
      </c>
      <c r="BI1055" s="0">
        <v>2770</v>
      </c>
      <c r="BK1055" s="0" t="s">
        <v>7745</v>
      </c>
    </row>
    <row r="1056">
      <c r="A1056" s="0">
        <v>5779</v>
      </c>
      <c r="B1056" s="0" t="s">
        <v>7746</v>
      </c>
      <c r="C1056" s="0" t="s">
        <v>315</v>
      </c>
      <c r="D1056" s="0" t="s">
        <v>6868</v>
      </c>
      <c r="E1056" s="0" t="s">
        <v>7747</v>
      </c>
      <c r="F1056" s="0">
        <v>2</v>
      </c>
      <c r="G1056" s="0" t="s">
        <v>293</v>
      </c>
      <c r="H1056" s="0" t="s">
        <v>294</v>
      </c>
      <c r="I1056" s="0" t="s">
        <v>295</v>
      </c>
      <c r="J1056" s="0" t="s">
        <v>594</v>
      </c>
      <c r="K1056" s="0" t="s">
        <v>1190</v>
      </c>
      <c r="L1056" s="0" t="s">
        <v>549</v>
      </c>
      <c r="P1056" s="0" t="s">
        <v>323</v>
      </c>
      <c r="Q1056" s="0" t="s">
        <v>323</v>
      </c>
      <c r="R1056" s="0" t="s">
        <v>661</v>
      </c>
      <c r="T1056" s="0" t="s">
        <v>7748</v>
      </c>
      <c r="U1056" s="0" t="s">
        <v>7749</v>
      </c>
      <c r="W1056" s="0" t="s">
        <v>6868</v>
      </c>
      <c r="X1056" s="0" t="s">
        <v>347</v>
      </c>
      <c r="Y1056" s="0" t="s">
        <v>42</v>
      </c>
      <c r="Z1056" s="0" t="s">
        <v>2384</v>
      </c>
      <c r="AA1056" s="0" t="s">
        <v>118</v>
      </c>
      <c r="AB1056" s="0" t="s">
        <v>531</v>
      </c>
      <c r="AC1056" s="0" t="s">
        <v>532</v>
      </c>
      <c r="AD1056" s="0" t="s">
        <v>7496</v>
      </c>
      <c r="AE1056" s="0" t="s">
        <v>6870</v>
      </c>
      <c r="AF1056" s="0" t="s">
        <v>301</v>
      </c>
      <c r="AP1056" s="0" t="s">
        <v>305</v>
      </c>
      <c r="BA1056" s="0">
        <v>538</v>
      </c>
      <c r="BB1056" s="0" t="s">
        <v>232</v>
      </c>
      <c r="BC1056" s="0">
        <v>2</v>
      </c>
      <c r="BD1056" s="0">
        <v>374043</v>
      </c>
      <c r="BE1056" s="0">
        <v>70560</v>
      </c>
      <c r="BF1056" s="0">
        <v>4</v>
      </c>
      <c r="BG1056" s="0" t="s">
        <v>7750</v>
      </c>
      <c r="BI1056" s="0">
        <v>816</v>
      </c>
      <c r="BK1056" s="0" t="s">
        <v>7751</v>
      </c>
    </row>
    <row r="1057">
      <c r="A1057" s="0">
        <v>5774</v>
      </c>
      <c r="B1057" s="0" t="s">
        <v>7752</v>
      </c>
      <c r="C1057" s="0" t="s">
        <v>315</v>
      </c>
      <c r="D1057" s="0" t="s">
        <v>6868</v>
      </c>
      <c r="E1057" s="0" t="s">
        <v>3335</v>
      </c>
      <c r="F1057" s="0">
        <v>4</v>
      </c>
      <c r="G1057" s="0" t="s">
        <v>555</v>
      </c>
      <c r="H1057" s="0" t="s">
        <v>2414</v>
      </c>
      <c r="I1057" s="0" t="s">
        <v>1189</v>
      </c>
      <c r="J1057" s="0" t="s">
        <v>594</v>
      </c>
      <c r="L1057" s="0" t="s">
        <v>549</v>
      </c>
      <c r="M1057" s="0" t="s">
        <v>293</v>
      </c>
      <c r="N1057" s="0" t="s">
        <v>294</v>
      </c>
      <c r="O1057" s="0" t="s">
        <v>295</v>
      </c>
      <c r="P1057" s="0" t="s">
        <v>5490</v>
      </c>
      <c r="Q1057" s="0" t="s">
        <v>5490</v>
      </c>
      <c r="U1057" s="0" t="s">
        <v>7753</v>
      </c>
      <c r="W1057" s="0" t="s">
        <v>6868</v>
      </c>
      <c r="X1057" s="0" t="s">
        <v>347</v>
      </c>
      <c r="Y1057" s="0" t="s">
        <v>42</v>
      </c>
      <c r="Z1057" s="0" t="s">
        <v>2384</v>
      </c>
      <c r="AA1057" s="0" t="s">
        <v>118</v>
      </c>
      <c r="AB1057" s="0" t="s">
        <v>531</v>
      </c>
      <c r="AC1057" s="0" t="s">
        <v>532</v>
      </c>
      <c r="AD1057" s="0" t="s">
        <v>7496</v>
      </c>
      <c r="AE1057" s="0" t="s">
        <v>6870</v>
      </c>
      <c r="AF1057" s="0" t="s">
        <v>301</v>
      </c>
      <c r="AP1057" s="0" t="s">
        <v>305</v>
      </c>
      <c r="BA1057" s="0">
        <v>538</v>
      </c>
      <c r="BB1057" s="0" t="s">
        <v>232</v>
      </c>
      <c r="BC1057" s="0">
        <v>2</v>
      </c>
      <c r="BD1057" s="0">
        <v>374043</v>
      </c>
      <c r="BE1057" s="0">
        <v>70560</v>
      </c>
      <c r="BF1057" s="0">
        <v>4</v>
      </c>
      <c r="BG1057" s="0" t="s">
        <v>7754</v>
      </c>
      <c r="BI1057" s="0">
        <v>3922</v>
      </c>
      <c r="BK1057" s="0" t="s">
        <v>7755</v>
      </c>
    </row>
    <row r="1058">
      <c r="A1058" s="0">
        <v>5777</v>
      </c>
      <c r="B1058" s="0" t="s">
        <v>7756</v>
      </c>
      <c r="C1058" s="0" t="s">
        <v>315</v>
      </c>
      <c r="D1058" s="0" t="s">
        <v>6868</v>
      </c>
      <c r="E1058" s="0" t="s">
        <v>3335</v>
      </c>
      <c r="F1058" s="0">
        <v>4</v>
      </c>
      <c r="G1058" s="0" t="s">
        <v>555</v>
      </c>
      <c r="H1058" s="0" t="s">
        <v>2414</v>
      </c>
      <c r="I1058" s="0" t="s">
        <v>1204</v>
      </c>
      <c r="J1058" s="0" t="s">
        <v>594</v>
      </c>
      <c r="L1058" s="0" t="s">
        <v>549</v>
      </c>
      <c r="M1058" s="0" t="s">
        <v>293</v>
      </c>
      <c r="N1058" s="0" t="s">
        <v>294</v>
      </c>
      <c r="O1058" s="0" t="s">
        <v>295</v>
      </c>
      <c r="P1058" s="0" t="s">
        <v>5490</v>
      </c>
      <c r="Q1058" s="0" t="s">
        <v>5490</v>
      </c>
      <c r="U1058" s="0" t="s">
        <v>7757</v>
      </c>
      <c r="W1058" s="0" t="s">
        <v>6868</v>
      </c>
      <c r="X1058" s="0" t="s">
        <v>347</v>
      </c>
      <c r="Y1058" s="0" t="s">
        <v>42</v>
      </c>
      <c r="Z1058" s="0" t="s">
        <v>2384</v>
      </c>
      <c r="AA1058" s="0" t="s">
        <v>118</v>
      </c>
      <c r="AB1058" s="0" t="s">
        <v>531</v>
      </c>
      <c r="AC1058" s="0" t="s">
        <v>532</v>
      </c>
      <c r="AD1058" s="0" t="s">
        <v>7496</v>
      </c>
      <c r="AE1058" s="0" t="s">
        <v>6870</v>
      </c>
      <c r="AF1058" s="0" t="s">
        <v>301</v>
      </c>
      <c r="AP1058" s="0" t="s">
        <v>305</v>
      </c>
      <c r="BA1058" s="0">
        <v>538</v>
      </c>
      <c r="BB1058" s="0" t="s">
        <v>232</v>
      </c>
      <c r="BC1058" s="0">
        <v>2</v>
      </c>
      <c r="BD1058" s="0">
        <v>374043</v>
      </c>
      <c r="BE1058" s="0">
        <v>70560</v>
      </c>
      <c r="BF1058" s="0">
        <v>4</v>
      </c>
      <c r="BG1058" s="0" t="s">
        <v>7758</v>
      </c>
      <c r="BI1058" s="0">
        <v>4163</v>
      </c>
      <c r="BK1058" s="0" t="s">
        <v>7759</v>
      </c>
    </row>
    <row r="1059">
      <c r="A1059" s="0">
        <v>5775</v>
      </c>
      <c r="B1059" s="0" t="s">
        <v>7760</v>
      </c>
      <c r="C1059" s="0" t="s">
        <v>315</v>
      </c>
      <c r="D1059" s="0" t="s">
        <v>6868</v>
      </c>
      <c r="E1059" s="0" t="s">
        <v>3335</v>
      </c>
      <c r="F1059" s="0">
        <v>4</v>
      </c>
      <c r="G1059" s="0" t="s">
        <v>555</v>
      </c>
      <c r="H1059" s="0" t="s">
        <v>2414</v>
      </c>
      <c r="I1059" s="0" t="s">
        <v>549</v>
      </c>
      <c r="J1059" s="0" t="s">
        <v>594</v>
      </c>
      <c r="L1059" s="0" t="s">
        <v>549</v>
      </c>
      <c r="M1059" s="0" t="s">
        <v>293</v>
      </c>
      <c r="N1059" s="0" t="s">
        <v>294</v>
      </c>
      <c r="O1059" s="0" t="s">
        <v>295</v>
      </c>
      <c r="P1059" s="0" t="s">
        <v>5490</v>
      </c>
      <c r="Q1059" s="0" t="s">
        <v>5490</v>
      </c>
      <c r="U1059" s="0" t="s">
        <v>7761</v>
      </c>
      <c r="W1059" s="0" t="s">
        <v>6868</v>
      </c>
      <c r="X1059" s="0" t="s">
        <v>347</v>
      </c>
      <c r="Y1059" s="0" t="s">
        <v>42</v>
      </c>
      <c r="Z1059" s="0" t="s">
        <v>2384</v>
      </c>
      <c r="AA1059" s="0" t="s">
        <v>118</v>
      </c>
      <c r="AB1059" s="0" t="s">
        <v>531</v>
      </c>
      <c r="AC1059" s="0" t="s">
        <v>532</v>
      </c>
      <c r="AD1059" s="0" t="s">
        <v>7496</v>
      </c>
      <c r="AE1059" s="0" t="s">
        <v>6870</v>
      </c>
      <c r="AF1059" s="0" t="s">
        <v>301</v>
      </c>
      <c r="AP1059" s="0" t="s">
        <v>305</v>
      </c>
      <c r="BA1059" s="0">
        <v>538</v>
      </c>
      <c r="BB1059" s="0" t="s">
        <v>232</v>
      </c>
      <c r="BC1059" s="0">
        <v>2</v>
      </c>
      <c r="BD1059" s="0">
        <v>374043</v>
      </c>
      <c r="BE1059" s="0">
        <v>70560</v>
      </c>
      <c r="BF1059" s="0">
        <v>4</v>
      </c>
      <c r="BG1059" s="0" t="s">
        <v>7762</v>
      </c>
      <c r="BI1059" s="0">
        <v>4009</v>
      </c>
      <c r="BK1059" s="0" t="s">
        <v>7763</v>
      </c>
    </row>
    <row r="1060">
      <c r="A1060" s="0">
        <v>5776</v>
      </c>
      <c r="B1060" s="0" t="s">
        <v>7764</v>
      </c>
      <c r="C1060" s="0" t="s">
        <v>315</v>
      </c>
      <c r="D1060" s="0" t="s">
        <v>6868</v>
      </c>
      <c r="E1060" s="0" t="s">
        <v>3335</v>
      </c>
      <c r="F1060" s="0">
        <v>4</v>
      </c>
      <c r="G1060" s="0" t="s">
        <v>555</v>
      </c>
      <c r="H1060" s="0" t="s">
        <v>2414</v>
      </c>
      <c r="I1060" s="0" t="s">
        <v>7765</v>
      </c>
      <c r="J1060" s="0" t="s">
        <v>594</v>
      </c>
      <c r="L1060" s="0" t="s">
        <v>549</v>
      </c>
      <c r="M1060" s="0" t="s">
        <v>293</v>
      </c>
      <c r="N1060" s="0" t="s">
        <v>294</v>
      </c>
      <c r="O1060" s="0" t="s">
        <v>295</v>
      </c>
      <c r="P1060" s="0" t="s">
        <v>5490</v>
      </c>
      <c r="Q1060" s="0" t="s">
        <v>5490</v>
      </c>
      <c r="U1060" s="0" t="s">
        <v>7766</v>
      </c>
      <c r="W1060" s="0" t="s">
        <v>6868</v>
      </c>
      <c r="X1060" s="0" t="s">
        <v>347</v>
      </c>
      <c r="Y1060" s="0" t="s">
        <v>42</v>
      </c>
      <c r="Z1060" s="0" t="s">
        <v>2384</v>
      </c>
      <c r="AA1060" s="0" t="s">
        <v>118</v>
      </c>
      <c r="AB1060" s="0" t="s">
        <v>531</v>
      </c>
      <c r="AC1060" s="0" t="s">
        <v>532</v>
      </c>
      <c r="AD1060" s="0" t="s">
        <v>7496</v>
      </c>
      <c r="AE1060" s="0" t="s">
        <v>6870</v>
      </c>
      <c r="AF1060" s="0" t="s">
        <v>301</v>
      </c>
      <c r="AP1060" s="0" t="s">
        <v>305</v>
      </c>
      <c r="BA1060" s="0">
        <v>538</v>
      </c>
      <c r="BB1060" s="0" t="s">
        <v>232</v>
      </c>
      <c r="BC1060" s="0">
        <v>2</v>
      </c>
      <c r="BD1060" s="0">
        <v>374043</v>
      </c>
      <c r="BE1060" s="0">
        <v>70560</v>
      </c>
      <c r="BF1060" s="0">
        <v>4</v>
      </c>
      <c r="BG1060" s="0" t="s">
        <v>7767</v>
      </c>
      <c r="BI1060" s="0">
        <v>4092</v>
      </c>
      <c r="BK1060" s="0" t="s">
        <v>7768</v>
      </c>
    </row>
    <row r="1061">
      <c r="A1061" s="0">
        <v>5802</v>
      </c>
      <c r="B1061" s="0" t="s">
        <v>7769</v>
      </c>
      <c r="C1061" s="0" t="s">
        <v>315</v>
      </c>
      <c r="D1061" s="0" t="s">
        <v>6868</v>
      </c>
      <c r="E1061" s="0" t="s">
        <v>7770</v>
      </c>
      <c r="F1061" s="0">
        <v>2</v>
      </c>
      <c r="G1061" s="0" t="s">
        <v>293</v>
      </c>
      <c r="H1061" s="0" t="s">
        <v>294</v>
      </c>
      <c r="I1061" s="0" t="s">
        <v>295</v>
      </c>
      <c r="J1061" s="0" t="s">
        <v>7656</v>
      </c>
      <c r="P1061" s="0" t="s">
        <v>5490</v>
      </c>
      <c r="Q1061" s="0" t="s">
        <v>5490</v>
      </c>
      <c r="T1061" s="0" t="s">
        <v>7771</v>
      </c>
      <c r="U1061" s="0" t="s">
        <v>7772</v>
      </c>
      <c r="W1061" s="0" t="s">
        <v>6868</v>
      </c>
      <c r="X1061" s="0" t="s">
        <v>347</v>
      </c>
      <c r="Y1061" s="0" t="s">
        <v>42</v>
      </c>
      <c r="Z1061" s="0" t="s">
        <v>2384</v>
      </c>
      <c r="AA1061" s="0" t="s">
        <v>118</v>
      </c>
      <c r="AB1061" s="0" t="s">
        <v>531</v>
      </c>
      <c r="AC1061" s="0" t="s">
        <v>532</v>
      </c>
      <c r="AD1061" s="0" t="s">
        <v>7496</v>
      </c>
      <c r="AE1061" s="0" t="s">
        <v>6870</v>
      </c>
      <c r="AF1061" s="0" t="s">
        <v>301</v>
      </c>
      <c r="AM1061" s="0" t="s">
        <v>350</v>
      </c>
      <c r="AN1061" s="0" t="s">
        <v>350</v>
      </c>
      <c r="AO1061" s="0" t="s">
        <v>627</v>
      </c>
      <c r="AP1061" s="0" t="s">
        <v>305</v>
      </c>
      <c r="AQ1061" s="0" t="s">
        <v>612</v>
      </c>
      <c r="AR1061" s="0" t="s">
        <v>516</v>
      </c>
      <c r="AS1061" s="0">
        <v>192</v>
      </c>
      <c r="AT1061" s="0">
        <v>384</v>
      </c>
      <c r="AU1061" s="0">
        <v>432</v>
      </c>
      <c r="AV1061" s="0" t="s">
        <v>332</v>
      </c>
      <c r="AX1061" s="0" t="s">
        <v>461</v>
      </c>
      <c r="AY1061" s="0" t="s">
        <v>461</v>
      </c>
      <c r="AZ1061" s="0" t="s">
        <v>1434</v>
      </c>
      <c r="BA1061" s="0">
        <v>538</v>
      </c>
      <c r="BB1061" s="0" t="s">
        <v>232</v>
      </c>
      <c r="BC1061" s="0">
        <v>2</v>
      </c>
      <c r="BD1061" s="0">
        <v>374043</v>
      </c>
      <c r="BE1061" s="0">
        <v>70560</v>
      </c>
      <c r="BF1061" s="0">
        <v>4</v>
      </c>
      <c r="BG1061" s="0" t="s">
        <v>7773</v>
      </c>
      <c r="BI1061" s="0">
        <v>4882</v>
      </c>
      <c r="BK1061" s="0" t="s">
        <v>7774</v>
      </c>
    </row>
    <row r="1062">
      <c r="A1062" s="0">
        <v>5803</v>
      </c>
      <c r="B1062" s="0" t="s">
        <v>7775</v>
      </c>
      <c r="C1062" s="0" t="s">
        <v>579</v>
      </c>
      <c r="D1062" s="0" t="s">
        <v>6868</v>
      </c>
      <c r="E1062" s="0" t="s">
        <v>7776</v>
      </c>
      <c r="F1062" s="0">
        <v>2</v>
      </c>
      <c r="G1062" s="0" t="s">
        <v>581</v>
      </c>
      <c r="H1062" s="0" t="s">
        <v>582</v>
      </c>
      <c r="I1062" s="0" t="s">
        <v>582</v>
      </c>
      <c r="J1062" s="0" t="s">
        <v>293</v>
      </c>
      <c r="K1062" s="0" t="s">
        <v>294</v>
      </c>
      <c r="L1062" s="0" t="s">
        <v>295</v>
      </c>
      <c r="P1062" s="0" t="s">
        <v>5490</v>
      </c>
      <c r="Q1062" s="0" t="s">
        <v>5490</v>
      </c>
      <c r="T1062" s="0" t="s">
        <v>7777</v>
      </c>
      <c r="U1062" s="0" t="s">
        <v>7778</v>
      </c>
      <c r="W1062" s="0" t="s">
        <v>6868</v>
      </c>
      <c r="X1062" s="0" t="s">
        <v>347</v>
      </c>
      <c r="Y1062" s="0" t="s">
        <v>42</v>
      </c>
      <c r="Z1062" s="0" t="s">
        <v>2384</v>
      </c>
      <c r="AA1062" s="0" t="s">
        <v>118</v>
      </c>
      <c r="AB1062" s="0" t="s">
        <v>531</v>
      </c>
      <c r="AC1062" s="0" t="s">
        <v>532</v>
      </c>
      <c r="AD1062" s="0" t="s">
        <v>7496</v>
      </c>
      <c r="AE1062" s="0" t="s">
        <v>6870</v>
      </c>
      <c r="AF1062" s="0" t="s">
        <v>301</v>
      </c>
      <c r="AP1062" s="0" t="s">
        <v>305</v>
      </c>
      <c r="BA1062" s="0">
        <v>538</v>
      </c>
      <c r="BB1062" s="0" t="s">
        <v>232</v>
      </c>
      <c r="BC1062" s="0">
        <v>2</v>
      </c>
      <c r="BD1062" s="0">
        <v>374046</v>
      </c>
      <c r="BE1062" s="0">
        <v>70560</v>
      </c>
      <c r="BF1062" s="0">
        <v>4</v>
      </c>
      <c r="BG1062" s="0" t="s">
        <v>7779</v>
      </c>
      <c r="BI1062" s="0">
        <v>4899</v>
      </c>
      <c r="BK1062" s="0" t="s">
        <v>7780</v>
      </c>
    </row>
    <row r="1063">
      <c r="A1063" s="0">
        <v>5770</v>
      </c>
      <c r="B1063" s="0" t="s">
        <v>7781</v>
      </c>
      <c r="C1063" s="0" t="s">
        <v>945</v>
      </c>
      <c r="D1063" s="0" t="s">
        <v>6868</v>
      </c>
      <c r="E1063" s="0" t="s">
        <v>7782</v>
      </c>
      <c r="F1063" s="0">
        <v>4</v>
      </c>
      <c r="G1063" s="0" t="s">
        <v>555</v>
      </c>
      <c r="H1063" s="0" t="s">
        <v>2414</v>
      </c>
      <c r="I1063" s="0" t="s">
        <v>1204</v>
      </c>
      <c r="J1063" s="0" t="s">
        <v>594</v>
      </c>
      <c r="L1063" s="0" t="s">
        <v>1204</v>
      </c>
      <c r="M1063" s="0" t="s">
        <v>293</v>
      </c>
      <c r="N1063" s="0" t="s">
        <v>294</v>
      </c>
      <c r="O1063" s="0" t="s">
        <v>295</v>
      </c>
      <c r="P1063" s="0" t="s">
        <v>323</v>
      </c>
      <c r="Q1063" s="0" t="s">
        <v>323</v>
      </c>
      <c r="R1063" s="0" t="s">
        <v>6865</v>
      </c>
      <c r="T1063" s="0" t="s">
        <v>7783</v>
      </c>
      <c r="U1063" s="0" t="s">
        <v>7784</v>
      </c>
      <c r="W1063" s="0" t="s">
        <v>6868</v>
      </c>
      <c r="X1063" s="0" t="s">
        <v>347</v>
      </c>
      <c r="Y1063" s="0" t="s">
        <v>42</v>
      </c>
      <c r="Z1063" s="0" t="s">
        <v>2384</v>
      </c>
      <c r="AA1063" s="0" t="s">
        <v>118</v>
      </c>
      <c r="AB1063" s="0" t="s">
        <v>531</v>
      </c>
      <c r="AC1063" s="0" t="s">
        <v>532</v>
      </c>
      <c r="AD1063" s="0" t="s">
        <v>7496</v>
      </c>
      <c r="AE1063" s="0" t="s">
        <v>6870</v>
      </c>
      <c r="AF1063" s="0" t="s">
        <v>301</v>
      </c>
      <c r="AM1063" s="0" t="s">
        <v>422</v>
      </c>
      <c r="AN1063" s="0" t="s">
        <v>303</v>
      </c>
      <c r="AO1063" s="0" t="s">
        <v>311</v>
      </c>
      <c r="AP1063" s="0" t="s">
        <v>305</v>
      </c>
      <c r="AQ1063" s="0" t="s">
        <v>977</v>
      </c>
      <c r="AR1063" s="0" t="s">
        <v>1149</v>
      </c>
      <c r="AS1063" s="0">
        <v>144</v>
      </c>
      <c r="AT1063" s="0">
        <v>317</v>
      </c>
      <c r="AU1063" s="0">
        <v>368</v>
      </c>
      <c r="AV1063" s="0" t="s">
        <v>332</v>
      </c>
      <c r="AW1063" s="0" t="s">
        <v>332</v>
      </c>
      <c r="AX1063" s="0" t="s">
        <v>3383</v>
      </c>
      <c r="AY1063" s="0" t="s">
        <v>6274</v>
      </c>
      <c r="AZ1063" s="0" t="s">
        <v>924</v>
      </c>
      <c r="BA1063" s="0">
        <v>538</v>
      </c>
      <c r="BB1063" s="0" t="s">
        <v>232</v>
      </c>
      <c r="BC1063" s="0">
        <v>2</v>
      </c>
      <c r="BD1063" s="0">
        <v>14</v>
      </c>
      <c r="BE1063" s="0">
        <v>70560</v>
      </c>
      <c r="BF1063" s="0">
        <v>4</v>
      </c>
      <c r="BG1063" s="0" t="s">
        <v>7785</v>
      </c>
      <c r="BI1063" s="0">
        <v>3393</v>
      </c>
      <c r="BK1063" s="0" t="s">
        <v>7786</v>
      </c>
    </row>
    <row r="1064">
      <c r="A1064" s="0">
        <v>5805</v>
      </c>
      <c r="B1064" s="0" t="s">
        <v>7787</v>
      </c>
      <c r="C1064" s="0" t="s">
        <v>945</v>
      </c>
      <c r="D1064" s="0" t="s">
        <v>6868</v>
      </c>
      <c r="E1064" s="0" t="s">
        <v>7788</v>
      </c>
      <c r="F1064" s="0">
        <v>2</v>
      </c>
      <c r="G1064" s="0" t="s">
        <v>555</v>
      </c>
      <c r="H1064" s="0" t="s">
        <v>2414</v>
      </c>
      <c r="I1064" s="0" t="s">
        <v>1204</v>
      </c>
      <c r="J1064" s="0" t="s">
        <v>594</v>
      </c>
      <c r="P1064" s="0" t="s">
        <v>323</v>
      </c>
      <c r="Q1064" s="0" t="s">
        <v>343</v>
      </c>
      <c r="R1064" s="0" t="s">
        <v>6865</v>
      </c>
      <c r="T1064" s="0" t="s">
        <v>7789</v>
      </c>
      <c r="U1064" s="0" t="s">
        <v>7790</v>
      </c>
      <c r="W1064" s="0" t="s">
        <v>6868</v>
      </c>
      <c r="X1064" s="0" t="s">
        <v>347</v>
      </c>
      <c r="Y1064" s="0" t="s">
        <v>42</v>
      </c>
      <c r="Z1064" s="0" t="s">
        <v>2384</v>
      </c>
      <c r="AA1064" s="0" t="s">
        <v>118</v>
      </c>
      <c r="AB1064" s="0" t="s">
        <v>531</v>
      </c>
      <c r="AC1064" s="0" t="s">
        <v>532</v>
      </c>
      <c r="AD1064" s="0" t="s">
        <v>7496</v>
      </c>
      <c r="AE1064" s="0" t="s">
        <v>6870</v>
      </c>
      <c r="AF1064" s="0" t="s">
        <v>301</v>
      </c>
      <c r="AM1064" s="0" t="s">
        <v>608</v>
      </c>
      <c r="AN1064" s="0" t="s">
        <v>611</v>
      </c>
      <c r="AO1064" s="0" t="s">
        <v>350</v>
      </c>
      <c r="AP1064" s="0" t="s">
        <v>305</v>
      </c>
      <c r="AQ1064" s="0" t="s">
        <v>5182</v>
      </c>
      <c r="AR1064" s="0" t="s">
        <v>1182</v>
      </c>
      <c r="AS1064" s="0">
        <v>76</v>
      </c>
      <c r="AT1064" s="0">
        <v>162</v>
      </c>
      <c r="AU1064" s="0">
        <v>181</v>
      </c>
      <c r="AV1064" s="0" t="s">
        <v>332</v>
      </c>
      <c r="AW1064" s="0" t="s">
        <v>332</v>
      </c>
      <c r="AX1064" s="0" t="s">
        <v>598</v>
      </c>
      <c r="AY1064" s="0" t="s">
        <v>912</v>
      </c>
      <c r="AZ1064" s="0" t="s">
        <v>422</v>
      </c>
      <c r="BA1064" s="0">
        <v>538</v>
      </c>
      <c r="BB1064" s="0" t="s">
        <v>232</v>
      </c>
      <c r="BC1064" s="0">
        <v>2</v>
      </c>
      <c r="BD1064" s="0">
        <v>14</v>
      </c>
      <c r="BE1064" s="0">
        <v>70560</v>
      </c>
      <c r="BF1064" s="0">
        <v>4</v>
      </c>
      <c r="BG1064" s="0" t="s">
        <v>7791</v>
      </c>
      <c r="BI1064" s="0">
        <v>4945</v>
      </c>
      <c r="BK1064" s="0" t="s">
        <v>7792</v>
      </c>
    </row>
    <row r="1065">
      <c r="A1065" s="0">
        <v>5778</v>
      </c>
      <c r="B1065" s="0" t="s">
        <v>7793</v>
      </c>
      <c r="C1065" s="0" t="s">
        <v>315</v>
      </c>
      <c r="D1065" s="0" t="s">
        <v>6868</v>
      </c>
      <c r="E1065" s="0" t="s">
        <v>7794</v>
      </c>
      <c r="F1065" s="0">
        <v>2</v>
      </c>
      <c r="G1065" s="0" t="s">
        <v>319</v>
      </c>
      <c r="H1065" s="0" t="s">
        <v>7795</v>
      </c>
      <c r="I1065" s="0" t="s">
        <v>7123</v>
      </c>
      <c r="J1065" s="0" t="s">
        <v>594</v>
      </c>
      <c r="L1065" s="0" t="s">
        <v>549</v>
      </c>
      <c r="M1065" s="0" t="s">
        <v>293</v>
      </c>
      <c r="N1065" s="0" t="s">
        <v>294</v>
      </c>
      <c r="O1065" s="0" t="s">
        <v>295</v>
      </c>
      <c r="P1065" s="0" t="s">
        <v>323</v>
      </c>
      <c r="Q1065" s="0" t="s">
        <v>5490</v>
      </c>
      <c r="R1065" s="0" t="s">
        <v>7657</v>
      </c>
      <c r="T1065" s="0" t="s">
        <v>7796</v>
      </c>
      <c r="U1065" s="0" t="s">
        <v>7797</v>
      </c>
      <c r="W1065" s="0" t="s">
        <v>6868</v>
      </c>
      <c r="X1065" s="0" t="s">
        <v>347</v>
      </c>
      <c r="Y1065" s="0" t="s">
        <v>42</v>
      </c>
      <c r="Z1065" s="0" t="s">
        <v>2384</v>
      </c>
      <c r="AA1065" s="0" t="s">
        <v>118</v>
      </c>
      <c r="AB1065" s="0" t="s">
        <v>531</v>
      </c>
      <c r="AC1065" s="0" t="s">
        <v>532</v>
      </c>
      <c r="AD1065" s="0" t="s">
        <v>7496</v>
      </c>
      <c r="AE1065" s="0" t="s">
        <v>6870</v>
      </c>
      <c r="AF1065" s="0" t="s">
        <v>301</v>
      </c>
      <c r="AP1065" s="0" t="s">
        <v>305</v>
      </c>
      <c r="BA1065" s="0">
        <v>538</v>
      </c>
      <c r="BB1065" s="0" t="s">
        <v>232</v>
      </c>
      <c r="BC1065" s="0">
        <v>2</v>
      </c>
      <c r="BD1065" s="0">
        <v>374043</v>
      </c>
      <c r="BE1065" s="0">
        <v>70560</v>
      </c>
      <c r="BF1065" s="0">
        <v>4</v>
      </c>
      <c r="BG1065" s="0" t="s">
        <v>7798</v>
      </c>
      <c r="BI1065" s="0">
        <v>4298</v>
      </c>
      <c r="BK1065" s="0" t="s">
        <v>7799</v>
      </c>
    </row>
    <row r="1066">
      <c r="A1066" s="0">
        <v>5760</v>
      </c>
      <c r="B1066" s="0" t="s">
        <v>7800</v>
      </c>
      <c r="C1066" s="0" t="s">
        <v>315</v>
      </c>
      <c r="D1066" s="0" t="s">
        <v>6868</v>
      </c>
      <c r="E1066" s="0" t="s">
        <v>7801</v>
      </c>
      <c r="F1066" s="0">
        <v>2</v>
      </c>
      <c r="G1066" s="0" t="s">
        <v>555</v>
      </c>
      <c r="H1066" s="0" t="s">
        <v>2414</v>
      </c>
      <c r="I1066" s="0" t="s">
        <v>2947</v>
      </c>
      <c r="J1066" s="0" t="s">
        <v>594</v>
      </c>
      <c r="K1066" s="0" t="s">
        <v>1190</v>
      </c>
      <c r="L1066" s="0" t="s">
        <v>2947</v>
      </c>
      <c r="P1066" s="0" t="s">
        <v>323</v>
      </c>
      <c r="Q1066" s="0" t="s">
        <v>323</v>
      </c>
      <c r="R1066" s="0" t="s">
        <v>5880</v>
      </c>
      <c r="T1066" s="0" t="s">
        <v>7802</v>
      </c>
      <c r="U1066" s="0" t="s">
        <v>7803</v>
      </c>
      <c r="W1066" s="0" t="s">
        <v>6868</v>
      </c>
      <c r="X1066" s="0" t="s">
        <v>347</v>
      </c>
      <c r="Y1066" s="0" t="s">
        <v>42</v>
      </c>
      <c r="Z1066" s="0" t="s">
        <v>2384</v>
      </c>
      <c r="AA1066" s="0" t="s">
        <v>118</v>
      </c>
      <c r="AB1066" s="0" t="s">
        <v>531</v>
      </c>
      <c r="AC1066" s="0" t="s">
        <v>532</v>
      </c>
      <c r="AD1066" s="0" t="s">
        <v>7496</v>
      </c>
      <c r="AE1066" s="0" t="s">
        <v>6870</v>
      </c>
      <c r="AF1066" s="0" t="s">
        <v>301</v>
      </c>
      <c r="AP1066" s="0" t="s">
        <v>305</v>
      </c>
      <c r="BA1066" s="0">
        <v>538</v>
      </c>
      <c r="BB1066" s="0" t="s">
        <v>232</v>
      </c>
      <c r="BC1066" s="0">
        <v>2</v>
      </c>
      <c r="BD1066" s="0">
        <v>374043</v>
      </c>
      <c r="BE1066" s="0">
        <v>70560</v>
      </c>
      <c r="BF1066" s="0">
        <v>4</v>
      </c>
      <c r="BG1066" s="0" t="s">
        <v>7804</v>
      </c>
      <c r="BI1066" s="0">
        <v>1145</v>
      </c>
      <c r="BK1066" s="0" t="s">
        <v>7805</v>
      </c>
    </row>
    <row r="1067">
      <c r="A1067" s="0">
        <v>5780</v>
      </c>
      <c r="B1067" s="0" t="s">
        <v>7806</v>
      </c>
      <c r="C1067" s="0" t="s">
        <v>315</v>
      </c>
      <c r="D1067" s="0" t="s">
        <v>6868</v>
      </c>
      <c r="E1067" s="0" t="s">
        <v>7807</v>
      </c>
      <c r="F1067" s="0">
        <v>2</v>
      </c>
      <c r="G1067" s="0" t="s">
        <v>555</v>
      </c>
      <c r="H1067" s="0" t="s">
        <v>7808</v>
      </c>
      <c r="I1067" s="0" t="s">
        <v>417</v>
      </c>
      <c r="J1067" s="0" t="s">
        <v>594</v>
      </c>
      <c r="K1067" s="0" t="s">
        <v>1190</v>
      </c>
      <c r="L1067" s="0" t="s">
        <v>549</v>
      </c>
      <c r="P1067" s="0" t="s">
        <v>323</v>
      </c>
      <c r="Q1067" s="0" t="s">
        <v>323</v>
      </c>
      <c r="R1067" s="0" t="s">
        <v>556</v>
      </c>
      <c r="T1067" s="0" t="s">
        <v>7809</v>
      </c>
      <c r="U1067" s="0" t="s">
        <v>7810</v>
      </c>
      <c r="W1067" s="0" t="s">
        <v>6868</v>
      </c>
      <c r="X1067" s="0" t="s">
        <v>347</v>
      </c>
      <c r="Y1067" s="0" t="s">
        <v>42</v>
      </c>
      <c r="Z1067" s="0" t="s">
        <v>2384</v>
      </c>
      <c r="AA1067" s="0" t="s">
        <v>118</v>
      </c>
      <c r="AB1067" s="0" t="s">
        <v>531</v>
      </c>
      <c r="AC1067" s="0" t="s">
        <v>532</v>
      </c>
      <c r="AD1067" s="0" t="s">
        <v>7496</v>
      </c>
      <c r="AE1067" s="0" t="s">
        <v>6870</v>
      </c>
      <c r="AF1067" s="0" t="s">
        <v>301</v>
      </c>
      <c r="AP1067" s="0" t="s">
        <v>305</v>
      </c>
      <c r="BA1067" s="0">
        <v>538</v>
      </c>
      <c r="BB1067" s="0" t="s">
        <v>232</v>
      </c>
      <c r="BC1067" s="0">
        <v>2</v>
      </c>
      <c r="BD1067" s="0">
        <v>374043</v>
      </c>
      <c r="BE1067" s="0">
        <v>70560</v>
      </c>
      <c r="BF1067" s="0">
        <v>4</v>
      </c>
      <c r="BG1067" s="0" t="s">
        <v>7811</v>
      </c>
      <c r="BI1067" s="0">
        <v>1449</v>
      </c>
      <c r="BK1067" s="0" t="s">
        <v>7812</v>
      </c>
    </row>
    <row r="1068">
      <c r="A1068" s="0">
        <v>5761</v>
      </c>
      <c r="B1068" s="0" t="s">
        <v>7813</v>
      </c>
      <c r="C1068" s="0" t="s">
        <v>315</v>
      </c>
      <c r="D1068" s="0" t="s">
        <v>6868</v>
      </c>
      <c r="E1068" s="0" t="s">
        <v>7814</v>
      </c>
      <c r="F1068" s="0">
        <v>2</v>
      </c>
      <c r="G1068" s="0" t="s">
        <v>293</v>
      </c>
      <c r="H1068" s="0" t="s">
        <v>294</v>
      </c>
      <c r="I1068" s="0" t="s">
        <v>295</v>
      </c>
      <c r="J1068" s="0" t="s">
        <v>594</v>
      </c>
      <c r="K1068" s="0" t="s">
        <v>1190</v>
      </c>
      <c r="L1068" s="0" t="s">
        <v>549</v>
      </c>
      <c r="M1068" s="0" t="s">
        <v>7656</v>
      </c>
      <c r="P1068" s="0" t="s">
        <v>323</v>
      </c>
      <c r="Q1068" s="0" t="s">
        <v>323</v>
      </c>
      <c r="R1068" s="0" t="s">
        <v>661</v>
      </c>
      <c r="T1068" s="0" t="s">
        <v>7815</v>
      </c>
      <c r="U1068" s="0" t="s">
        <v>7816</v>
      </c>
      <c r="W1068" s="0" t="s">
        <v>6868</v>
      </c>
      <c r="X1068" s="0" t="s">
        <v>347</v>
      </c>
      <c r="Y1068" s="0" t="s">
        <v>42</v>
      </c>
      <c r="Z1068" s="0" t="s">
        <v>2384</v>
      </c>
      <c r="AA1068" s="0" t="s">
        <v>118</v>
      </c>
      <c r="AB1068" s="0" t="s">
        <v>531</v>
      </c>
      <c r="AC1068" s="0" t="s">
        <v>532</v>
      </c>
      <c r="AD1068" s="0" t="s">
        <v>7496</v>
      </c>
      <c r="AE1068" s="0" t="s">
        <v>6870</v>
      </c>
      <c r="AF1068" s="0" t="s">
        <v>301</v>
      </c>
      <c r="AP1068" s="0" t="s">
        <v>305</v>
      </c>
      <c r="BA1068" s="0">
        <v>538</v>
      </c>
      <c r="BB1068" s="0" t="s">
        <v>232</v>
      </c>
      <c r="BC1068" s="0">
        <v>2</v>
      </c>
      <c r="BD1068" s="0">
        <v>374043</v>
      </c>
      <c r="BE1068" s="0">
        <v>70560</v>
      </c>
      <c r="BF1068" s="0">
        <v>4</v>
      </c>
      <c r="BG1068" s="0" t="s">
        <v>7817</v>
      </c>
      <c r="BI1068" s="0">
        <v>1715</v>
      </c>
      <c r="BK1068" s="0" t="s">
        <v>7818</v>
      </c>
    </row>
    <row r="1069">
      <c r="A1069" s="0">
        <v>5800</v>
      </c>
      <c r="B1069" s="0" t="s">
        <v>7819</v>
      </c>
      <c r="C1069" s="0" t="s">
        <v>315</v>
      </c>
      <c r="D1069" s="0" t="s">
        <v>6868</v>
      </c>
      <c r="E1069" s="0" t="s">
        <v>7820</v>
      </c>
      <c r="F1069" s="0">
        <v>4</v>
      </c>
      <c r="G1069" s="0" t="s">
        <v>319</v>
      </c>
      <c r="H1069" s="0" t="s">
        <v>523</v>
      </c>
      <c r="I1069" s="0" t="s">
        <v>1268</v>
      </c>
      <c r="J1069" s="0" t="s">
        <v>594</v>
      </c>
      <c r="L1069" s="0" t="s">
        <v>469</v>
      </c>
      <c r="P1069" s="0" t="s">
        <v>323</v>
      </c>
      <c r="Q1069" s="0" t="s">
        <v>323</v>
      </c>
      <c r="R1069" s="0" t="s">
        <v>568</v>
      </c>
      <c r="T1069" s="0" t="s">
        <v>7821</v>
      </c>
      <c r="U1069" s="0" t="s">
        <v>7822</v>
      </c>
      <c r="W1069" s="0" t="s">
        <v>6868</v>
      </c>
      <c r="X1069" s="0" t="s">
        <v>347</v>
      </c>
      <c r="Y1069" s="0" t="s">
        <v>42</v>
      </c>
      <c r="Z1069" s="0" t="s">
        <v>2384</v>
      </c>
      <c r="AA1069" s="0" t="s">
        <v>118</v>
      </c>
      <c r="AB1069" s="0" t="s">
        <v>531</v>
      </c>
      <c r="AC1069" s="0" t="s">
        <v>532</v>
      </c>
      <c r="AD1069" s="0" t="s">
        <v>7496</v>
      </c>
      <c r="AE1069" s="0" t="s">
        <v>6870</v>
      </c>
      <c r="AF1069" s="0" t="s">
        <v>301</v>
      </c>
      <c r="AP1069" s="0" t="s">
        <v>305</v>
      </c>
      <c r="BA1069" s="0">
        <v>538</v>
      </c>
      <c r="BB1069" s="0" t="s">
        <v>232</v>
      </c>
      <c r="BC1069" s="0">
        <v>2</v>
      </c>
      <c r="BD1069" s="0">
        <v>374043</v>
      </c>
      <c r="BE1069" s="0">
        <v>70560</v>
      </c>
      <c r="BF1069" s="0">
        <v>4</v>
      </c>
      <c r="BG1069" s="0" t="s">
        <v>7823</v>
      </c>
      <c r="BI1069" s="0">
        <v>4752</v>
      </c>
      <c r="BK1069" s="0" t="s">
        <v>7824</v>
      </c>
    </row>
    <row r="1070">
      <c r="A1070" s="0">
        <v>5786</v>
      </c>
      <c r="B1070" s="0" t="s">
        <v>7825</v>
      </c>
      <c r="C1070" s="0" t="s">
        <v>339</v>
      </c>
      <c r="D1070" s="0" t="s">
        <v>6868</v>
      </c>
      <c r="E1070" s="0" t="s">
        <v>7826</v>
      </c>
      <c r="F1070" s="0">
        <v>2</v>
      </c>
      <c r="G1070" s="0" t="s">
        <v>319</v>
      </c>
      <c r="H1070" s="0" t="s">
        <v>523</v>
      </c>
      <c r="I1070" s="0" t="s">
        <v>1268</v>
      </c>
      <c r="J1070" s="0" t="s">
        <v>594</v>
      </c>
      <c r="L1070" s="0" t="s">
        <v>1268</v>
      </c>
      <c r="P1070" s="0" t="s">
        <v>323</v>
      </c>
      <c r="Q1070" s="0" t="s">
        <v>323</v>
      </c>
      <c r="R1070" s="0" t="s">
        <v>7827</v>
      </c>
      <c r="T1070" s="0" t="s">
        <v>7828</v>
      </c>
      <c r="U1070" s="0" t="s">
        <v>7829</v>
      </c>
      <c r="W1070" s="0" t="s">
        <v>6868</v>
      </c>
      <c r="X1070" s="0" t="s">
        <v>347</v>
      </c>
      <c r="Y1070" s="0" t="s">
        <v>42</v>
      </c>
      <c r="Z1070" s="0" t="s">
        <v>2384</v>
      </c>
      <c r="AA1070" s="0" t="s">
        <v>118</v>
      </c>
      <c r="AB1070" s="0" t="s">
        <v>531</v>
      </c>
      <c r="AC1070" s="0" t="s">
        <v>532</v>
      </c>
      <c r="AD1070" s="0" t="s">
        <v>7496</v>
      </c>
      <c r="AE1070" s="0" t="s">
        <v>6870</v>
      </c>
      <c r="AF1070" s="0" t="s">
        <v>301</v>
      </c>
      <c r="AM1070" s="0" t="s">
        <v>6340</v>
      </c>
      <c r="AN1070" s="0" t="s">
        <v>7830</v>
      </c>
      <c r="AO1070" s="0" t="s">
        <v>1398</v>
      </c>
      <c r="AP1070" s="0" t="s">
        <v>305</v>
      </c>
      <c r="AQ1070" s="0" t="s">
        <v>7831</v>
      </c>
      <c r="AR1070" s="0" t="s">
        <v>7832</v>
      </c>
      <c r="AS1070" s="0">
        <v>16</v>
      </c>
      <c r="AT1070" s="0">
        <v>33</v>
      </c>
      <c r="AU1070" s="0">
        <v>38</v>
      </c>
      <c r="AV1070" s="0" t="s">
        <v>332</v>
      </c>
      <c r="AW1070" s="0" t="s">
        <v>977</v>
      </c>
      <c r="AX1070" s="0" t="s">
        <v>3213</v>
      </c>
      <c r="AY1070" s="0" t="s">
        <v>7833</v>
      </c>
      <c r="AZ1070" s="0" t="s">
        <v>1043</v>
      </c>
      <c r="BA1070" s="0">
        <v>538</v>
      </c>
      <c r="BB1070" s="0" t="s">
        <v>232</v>
      </c>
      <c r="BC1070" s="0">
        <v>2</v>
      </c>
      <c r="BD1070" s="0">
        <v>8</v>
      </c>
      <c r="BE1070" s="0">
        <v>70560</v>
      </c>
      <c r="BF1070" s="0">
        <v>4</v>
      </c>
      <c r="BG1070" s="0" t="s">
        <v>7834</v>
      </c>
      <c r="BI1070" s="0">
        <v>4516</v>
      </c>
      <c r="BK1070" s="0" t="s">
        <v>7835</v>
      </c>
    </row>
    <row r="1071">
      <c r="A1071" s="0">
        <v>5783</v>
      </c>
      <c r="B1071" s="0" t="s">
        <v>7836</v>
      </c>
      <c r="C1071" s="0" t="s">
        <v>339</v>
      </c>
      <c r="D1071" s="0" t="s">
        <v>6868</v>
      </c>
      <c r="E1071" s="0" t="s">
        <v>7837</v>
      </c>
      <c r="F1071" s="0">
        <v>2</v>
      </c>
      <c r="G1071" s="0" t="s">
        <v>319</v>
      </c>
      <c r="H1071" s="0" t="s">
        <v>523</v>
      </c>
      <c r="I1071" s="0" t="s">
        <v>1268</v>
      </c>
      <c r="J1071" s="0" t="s">
        <v>594</v>
      </c>
      <c r="L1071" s="0" t="s">
        <v>1268</v>
      </c>
      <c r="P1071" s="0" t="s">
        <v>5490</v>
      </c>
      <c r="Q1071" s="0" t="s">
        <v>5490</v>
      </c>
      <c r="T1071" s="0" t="s">
        <v>7838</v>
      </c>
      <c r="U1071" s="0" t="s">
        <v>7839</v>
      </c>
      <c r="W1071" s="0" t="s">
        <v>6868</v>
      </c>
      <c r="X1071" s="0" t="s">
        <v>347</v>
      </c>
      <c r="Y1071" s="0" t="s">
        <v>42</v>
      </c>
      <c r="Z1071" s="0" t="s">
        <v>2384</v>
      </c>
      <c r="AA1071" s="0" t="s">
        <v>118</v>
      </c>
      <c r="AB1071" s="0" t="s">
        <v>531</v>
      </c>
      <c r="AC1071" s="0" t="s">
        <v>532</v>
      </c>
      <c r="AD1071" s="0" t="s">
        <v>7496</v>
      </c>
      <c r="AE1071" s="0" t="s">
        <v>6870</v>
      </c>
      <c r="AF1071" s="0" t="s">
        <v>301</v>
      </c>
      <c r="AM1071" s="0" t="s">
        <v>7840</v>
      </c>
      <c r="AN1071" s="0" t="s">
        <v>7841</v>
      </c>
      <c r="AO1071" s="0" t="s">
        <v>7842</v>
      </c>
      <c r="AP1071" s="0" t="s">
        <v>305</v>
      </c>
      <c r="AQ1071" s="0" t="s">
        <v>7843</v>
      </c>
      <c r="AR1071" s="0" t="s">
        <v>7844</v>
      </c>
      <c r="AS1071" s="0">
        <v>19</v>
      </c>
      <c r="AT1071" s="0">
        <v>39</v>
      </c>
      <c r="AU1071" s="0">
        <v>50</v>
      </c>
      <c r="AV1071" s="0" t="s">
        <v>332</v>
      </c>
      <c r="AW1071" s="0" t="s">
        <v>331</v>
      </c>
      <c r="AX1071" s="0" t="s">
        <v>7845</v>
      </c>
      <c r="AY1071" s="0" t="s">
        <v>7846</v>
      </c>
      <c r="AZ1071" s="0" t="s">
        <v>7847</v>
      </c>
      <c r="BA1071" s="0">
        <v>538</v>
      </c>
      <c r="BB1071" s="0" t="s">
        <v>232</v>
      </c>
      <c r="BC1071" s="0">
        <v>2</v>
      </c>
      <c r="BD1071" s="0">
        <v>8</v>
      </c>
      <c r="BE1071" s="0">
        <v>70560</v>
      </c>
      <c r="BF1071" s="0">
        <v>4</v>
      </c>
      <c r="BG1071" s="0" t="s">
        <v>7848</v>
      </c>
      <c r="BI1071" s="0">
        <v>4359</v>
      </c>
      <c r="BK1071" s="0" t="s">
        <v>7849</v>
      </c>
    </row>
    <row r="1072">
      <c r="A1072" s="0">
        <v>5804</v>
      </c>
      <c r="B1072" s="0" t="s">
        <v>7850</v>
      </c>
      <c r="C1072" s="0" t="s">
        <v>315</v>
      </c>
      <c r="D1072" s="0" t="s">
        <v>6868</v>
      </c>
      <c r="E1072" s="0" t="s">
        <v>7851</v>
      </c>
      <c r="F1072" s="0">
        <v>2</v>
      </c>
      <c r="G1072" s="0" t="s">
        <v>293</v>
      </c>
      <c r="H1072" s="0" t="s">
        <v>294</v>
      </c>
      <c r="I1072" s="0" t="s">
        <v>295</v>
      </c>
      <c r="J1072" s="0" t="s">
        <v>6090</v>
      </c>
      <c r="L1072" s="0" t="s">
        <v>1204</v>
      </c>
      <c r="P1072" s="0" t="s">
        <v>5490</v>
      </c>
      <c r="Q1072" s="0" t="s">
        <v>5490</v>
      </c>
      <c r="T1072" s="0" t="s">
        <v>7852</v>
      </c>
      <c r="U1072" s="0" t="s">
        <v>7853</v>
      </c>
      <c r="W1072" s="0" t="s">
        <v>6868</v>
      </c>
      <c r="X1072" s="0" t="s">
        <v>347</v>
      </c>
      <c r="Y1072" s="0" t="s">
        <v>42</v>
      </c>
      <c r="Z1072" s="0" t="s">
        <v>2384</v>
      </c>
      <c r="AA1072" s="0" t="s">
        <v>118</v>
      </c>
      <c r="AB1072" s="0" t="s">
        <v>531</v>
      </c>
      <c r="AC1072" s="0" t="s">
        <v>532</v>
      </c>
      <c r="AD1072" s="0" t="s">
        <v>7496</v>
      </c>
      <c r="AE1072" s="0" t="s">
        <v>6870</v>
      </c>
      <c r="AF1072" s="0" t="s">
        <v>301</v>
      </c>
      <c r="AP1072" s="0" t="s">
        <v>305</v>
      </c>
      <c r="BA1072" s="0">
        <v>538</v>
      </c>
      <c r="BB1072" s="0" t="s">
        <v>232</v>
      </c>
      <c r="BC1072" s="0">
        <v>2</v>
      </c>
      <c r="BD1072" s="0">
        <v>374043</v>
      </c>
      <c r="BE1072" s="0">
        <v>70560</v>
      </c>
      <c r="BF1072" s="0">
        <v>4</v>
      </c>
      <c r="BG1072" s="0" t="s">
        <v>7854</v>
      </c>
      <c r="BI1072" s="0">
        <v>4914</v>
      </c>
      <c r="BK1072" s="0" t="s">
        <v>7855</v>
      </c>
    </row>
    <row r="1073">
      <c r="A1073" s="0">
        <v>5765</v>
      </c>
      <c r="B1073" s="0" t="s">
        <v>7856</v>
      </c>
      <c r="C1073" s="0" t="s">
        <v>315</v>
      </c>
      <c r="D1073" s="0" t="s">
        <v>6868</v>
      </c>
      <c r="E1073" s="0" t="s">
        <v>7857</v>
      </c>
      <c r="F1073" s="0">
        <v>2</v>
      </c>
      <c r="G1073" s="0" t="s">
        <v>555</v>
      </c>
      <c r="H1073" s="0" t="s">
        <v>2414</v>
      </c>
      <c r="I1073" s="0" t="s">
        <v>2947</v>
      </c>
      <c r="J1073" s="0" t="s">
        <v>594</v>
      </c>
      <c r="K1073" s="0" t="s">
        <v>1190</v>
      </c>
      <c r="L1073" s="0" t="s">
        <v>497</v>
      </c>
      <c r="M1073" s="0" t="s">
        <v>3140</v>
      </c>
      <c r="N1073" s="0" t="s">
        <v>582</v>
      </c>
      <c r="O1073" s="0" t="s">
        <v>583</v>
      </c>
      <c r="P1073" s="0" t="s">
        <v>323</v>
      </c>
      <c r="Q1073" s="0" t="s">
        <v>323</v>
      </c>
      <c r="R1073" s="0" t="s">
        <v>2103</v>
      </c>
      <c r="T1073" s="0" t="s">
        <v>7858</v>
      </c>
      <c r="U1073" s="0" t="s">
        <v>7859</v>
      </c>
      <c r="W1073" s="0" t="s">
        <v>6868</v>
      </c>
      <c r="X1073" s="0" t="s">
        <v>347</v>
      </c>
      <c r="Y1073" s="0" t="s">
        <v>42</v>
      </c>
      <c r="Z1073" s="0" t="s">
        <v>2384</v>
      </c>
      <c r="AA1073" s="0" t="s">
        <v>118</v>
      </c>
      <c r="AB1073" s="0" t="s">
        <v>531</v>
      </c>
      <c r="AC1073" s="0" t="s">
        <v>532</v>
      </c>
      <c r="AD1073" s="0" t="s">
        <v>7496</v>
      </c>
      <c r="AE1073" s="0" t="s">
        <v>6870</v>
      </c>
      <c r="AF1073" s="0" t="s">
        <v>301</v>
      </c>
      <c r="AP1073" s="0" t="s">
        <v>305</v>
      </c>
      <c r="BA1073" s="0">
        <v>538</v>
      </c>
      <c r="BB1073" s="0" t="s">
        <v>232</v>
      </c>
      <c r="BC1073" s="0">
        <v>2</v>
      </c>
      <c r="BD1073" s="0">
        <v>374043</v>
      </c>
      <c r="BE1073" s="0">
        <v>70560</v>
      </c>
      <c r="BF1073" s="0">
        <v>4</v>
      </c>
      <c r="BG1073" s="0" t="s">
        <v>7860</v>
      </c>
      <c r="BI1073" s="0">
        <v>2595</v>
      </c>
      <c r="BK1073" s="0" t="s">
        <v>7861</v>
      </c>
    </row>
    <row r="1074">
      <c r="A1074" s="0">
        <v>5810</v>
      </c>
      <c r="B1074" s="0" t="s">
        <v>2974</v>
      </c>
      <c r="E1074" s="0" t="s">
        <v>2975</v>
      </c>
      <c r="F1074" s="0">
        <v>1</v>
      </c>
      <c r="G1074" s="0" t="s">
        <v>293</v>
      </c>
      <c r="H1074" s="0" t="s">
        <v>294</v>
      </c>
      <c r="I1074" s="0" t="s">
        <v>918</v>
      </c>
      <c r="P1074" s="0" t="s">
        <v>323</v>
      </c>
      <c r="Q1074" s="0" t="s">
        <v>323</v>
      </c>
      <c r="X1074" s="0" t="s">
        <v>1116</v>
      </c>
      <c r="Y1074" s="0" t="s">
        <v>130</v>
      </c>
      <c r="Z1074" s="0" t="s">
        <v>7862</v>
      </c>
      <c r="AA1074" s="0" t="s">
        <v>129</v>
      </c>
      <c r="AB1074" s="0" t="s">
        <v>531</v>
      </c>
      <c r="AC1074" s="0" t="s">
        <v>571</v>
      </c>
      <c r="AF1074" s="0" t="s">
        <v>301</v>
      </c>
      <c r="AP1074" s="0" t="s">
        <v>305</v>
      </c>
      <c r="BA1074" s="0">
        <v>540</v>
      </c>
      <c r="BB1074" s="0" t="s">
        <v>232</v>
      </c>
      <c r="BC1074" s="0">
        <v>2</v>
      </c>
      <c r="BE1074" s="0">
        <v>366783</v>
      </c>
      <c r="BF1074" s="0">
        <v>1</v>
      </c>
      <c r="BG1074" s="0" t="s">
        <v>7863</v>
      </c>
      <c r="BI1074" s="0">
        <v>35</v>
      </c>
      <c r="BK1074" s="0" t="s">
        <v>7864</v>
      </c>
    </row>
    <row r="1075">
      <c r="A1075" s="0">
        <v>5811</v>
      </c>
      <c r="E1075" s="0" t="s">
        <v>7865</v>
      </c>
      <c r="F1075" s="0">
        <v>1</v>
      </c>
      <c r="G1075" s="0" t="s">
        <v>343</v>
      </c>
      <c r="H1075" s="0" t="s">
        <v>343</v>
      </c>
      <c r="I1075" s="0" t="s">
        <v>343</v>
      </c>
      <c r="P1075" s="0" t="s">
        <v>323</v>
      </c>
      <c r="Q1075" s="0" t="s">
        <v>323</v>
      </c>
      <c r="R1075" s="0" t="s">
        <v>903</v>
      </c>
      <c r="X1075" s="0" t="s">
        <v>1116</v>
      </c>
      <c r="Y1075" s="0" t="s">
        <v>130</v>
      </c>
      <c r="Z1075" s="0" t="s">
        <v>7862</v>
      </c>
      <c r="AA1075" s="0" t="s">
        <v>129</v>
      </c>
      <c r="AB1075" s="0" t="s">
        <v>531</v>
      </c>
      <c r="AC1075" s="0" t="s">
        <v>571</v>
      </c>
      <c r="AF1075" s="0" t="s">
        <v>301</v>
      </c>
      <c r="AP1075" s="0" t="s">
        <v>305</v>
      </c>
      <c r="BA1075" s="0">
        <v>540</v>
      </c>
      <c r="BB1075" s="0" t="s">
        <v>232</v>
      </c>
      <c r="BC1075" s="0">
        <v>2</v>
      </c>
      <c r="BE1075" s="0">
        <v>366783</v>
      </c>
      <c r="BF1075" s="0">
        <v>1</v>
      </c>
      <c r="BG1075" s="0" t="s">
        <v>7866</v>
      </c>
      <c r="BI1075" s="0">
        <v>486</v>
      </c>
      <c r="BK1075" s="0" t="s">
        <v>7867</v>
      </c>
    </row>
    <row r="1076">
      <c r="A1076" s="0">
        <v>5816</v>
      </c>
      <c r="B1076" s="0" t="s">
        <v>7868</v>
      </c>
      <c r="C1076" s="0" t="s">
        <v>656</v>
      </c>
      <c r="D1076" s="0" t="s">
        <v>7869</v>
      </c>
      <c r="E1076" s="0" t="s">
        <v>7870</v>
      </c>
      <c r="F1076" s="0">
        <v>1</v>
      </c>
      <c r="G1076" s="0" t="s">
        <v>319</v>
      </c>
      <c r="H1076" s="0" t="s">
        <v>7871</v>
      </c>
      <c r="I1076" s="0" t="s">
        <v>484</v>
      </c>
      <c r="J1076" s="0" t="s">
        <v>293</v>
      </c>
      <c r="K1076" s="0" t="s">
        <v>294</v>
      </c>
      <c r="L1076" s="0" t="s">
        <v>295</v>
      </c>
      <c r="P1076" s="0" t="s">
        <v>343</v>
      </c>
      <c r="Q1076" s="0" t="s">
        <v>343</v>
      </c>
      <c r="U1076" s="0" t="s">
        <v>7872</v>
      </c>
      <c r="W1076" s="0" t="s">
        <v>7873</v>
      </c>
      <c r="X1076" s="0" t="s">
        <v>347</v>
      </c>
      <c r="Y1076" s="0" t="s">
        <v>107</v>
      </c>
      <c r="Z1076" s="0" t="s">
        <v>7874</v>
      </c>
      <c r="AA1076" s="0" t="s">
        <v>124</v>
      </c>
      <c r="AB1076" s="0" t="s">
        <v>531</v>
      </c>
      <c r="AD1076" s="0" t="s">
        <v>2465</v>
      </c>
      <c r="AF1076" s="0" t="s">
        <v>301</v>
      </c>
      <c r="AP1076" s="0" t="s">
        <v>305</v>
      </c>
      <c r="BA1076" s="0">
        <v>541</v>
      </c>
      <c r="BB1076" s="0" t="s">
        <v>232</v>
      </c>
      <c r="BC1076" s="0">
        <v>2</v>
      </c>
      <c r="BD1076" s="0">
        <v>10</v>
      </c>
      <c r="BE1076" s="0">
        <v>519921</v>
      </c>
      <c r="BF1076" s="0">
        <v>4</v>
      </c>
      <c r="BG1076" s="0" t="s">
        <v>7875</v>
      </c>
      <c r="BI1076" s="0">
        <v>1954</v>
      </c>
      <c r="BK1076" s="0" t="s">
        <v>7876</v>
      </c>
    </row>
    <row r="1077">
      <c r="A1077" s="0">
        <v>5822</v>
      </c>
      <c r="B1077" s="0" t="s">
        <v>7877</v>
      </c>
      <c r="C1077" s="0" t="s">
        <v>656</v>
      </c>
      <c r="D1077" s="0" t="s">
        <v>7869</v>
      </c>
      <c r="E1077" s="0" t="s">
        <v>7878</v>
      </c>
      <c r="F1077" s="0">
        <v>1</v>
      </c>
      <c r="G1077" s="0" t="s">
        <v>293</v>
      </c>
      <c r="H1077" s="0" t="s">
        <v>294</v>
      </c>
      <c r="I1077" s="0" t="s">
        <v>295</v>
      </c>
      <c r="J1077" s="0" t="s">
        <v>7879</v>
      </c>
      <c r="P1077" s="0" t="s">
        <v>343</v>
      </c>
      <c r="Q1077" s="0" t="s">
        <v>343</v>
      </c>
      <c r="U1077" s="0" t="s">
        <v>7880</v>
      </c>
      <c r="W1077" s="0" t="s">
        <v>7873</v>
      </c>
      <c r="X1077" s="0" t="s">
        <v>347</v>
      </c>
      <c r="Y1077" s="0" t="s">
        <v>107</v>
      </c>
      <c r="Z1077" s="0" t="s">
        <v>7874</v>
      </c>
      <c r="AA1077" s="0" t="s">
        <v>124</v>
      </c>
      <c r="AB1077" s="0" t="s">
        <v>531</v>
      </c>
      <c r="AD1077" s="0" t="s">
        <v>2465</v>
      </c>
      <c r="AF1077" s="0" t="s">
        <v>301</v>
      </c>
      <c r="AP1077" s="0" t="s">
        <v>305</v>
      </c>
      <c r="BA1077" s="0">
        <v>541</v>
      </c>
      <c r="BB1077" s="0" t="s">
        <v>232</v>
      </c>
      <c r="BC1077" s="0">
        <v>2</v>
      </c>
      <c r="BD1077" s="0">
        <v>10</v>
      </c>
      <c r="BE1077" s="0">
        <v>519921</v>
      </c>
      <c r="BF1077" s="0">
        <v>4</v>
      </c>
      <c r="BG1077" s="0" t="s">
        <v>7881</v>
      </c>
      <c r="BI1077" s="0">
        <v>2395</v>
      </c>
      <c r="BK1077" s="0" t="s">
        <v>7882</v>
      </c>
    </row>
    <row r="1078">
      <c r="A1078" s="0">
        <v>5823</v>
      </c>
      <c r="B1078" s="0" t="s">
        <v>7883</v>
      </c>
      <c r="C1078" s="0" t="s">
        <v>656</v>
      </c>
      <c r="D1078" s="0" t="s">
        <v>7869</v>
      </c>
      <c r="E1078" s="0" t="s">
        <v>7884</v>
      </c>
      <c r="F1078" s="0">
        <v>1</v>
      </c>
      <c r="G1078" s="0" t="s">
        <v>293</v>
      </c>
      <c r="H1078" s="0" t="s">
        <v>294</v>
      </c>
      <c r="I1078" s="0" t="s">
        <v>295</v>
      </c>
      <c r="J1078" s="0" t="s">
        <v>7879</v>
      </c>
      <c r="P1078" s="0" t="s">
        <v>343</v>
      </c>
      <c r="Q1078" s="0" t="s">
        <v>343</v>
      </c>
      <c r="U1078" s="0" t="s">
        <v>7885</v>
      </c>
      <c r="W1078" s="0" t="s">
        <v>7873</v>
      </c>
      <c r="X1078" s="0" t="s">
        <v>347</v>
      </c>
      <c r="Y1078" s="0" t="s">
        <v>107</v>
      </c>
      <c r="Z1078" s="0" t="s">
        <v>7874</v>
      </c>
      <c r="AA1078" s="0" t="s">
        <v>124</v>
      </c>
      <c r="AB1078" s="0" t="s">
        <v>531</v>
      </c>
      <c r="AD1078" s="0" t="s">
        <v>2465</v>
      </c>
      <c r="AF1078" s="0" t="s">
        <v>301</v>
      </c>
      <c r="AP1078" s="0" t="s">
        <v>305</v>
      </c>
      <c r="BA1078" s="0">
        <v>541</v>
      </c>
      <c r="BB1078" s="0" t="s">
        <v>232</v>
      </c>
      <c r="BC1078" s="0">
        <v>2</v>
      </c>
      <c r="BD1078" s="0">
        <v>10</v>
      </c>
      <c r="BE1078" s="0">
        <v>519921</v>
      </c>
      <c r="BF1078" s="0">
        <v>4</v>
      </c>
      <c r="BG1078" s="0" t="s">
        <v>7886</v>
      </c>
      <c r="BI1078" s="0">
        <v>2591</v>
      </c>
      <c r="BK1078" s="0" t="s">
        <v>7887</v>
      </c>
    </row>
    <row r="1079">
      <c r="A1079" s="0">
        <v>5817</v>
      </c>
      <c r="B1079" s="0" t="s">
        <v>7888</v>
      </c>
      <c r="C1079" s="0" t="s">
        <v>290</v>
      </c>
      <c r="D1079" s="0" t="s">
        <v>7869</v>
      </c>
      <c r="E1079" s="0" t="s">
        <v>7889</v>
      </c>
      <c r="F1079" s="0">
        <v>1</v>
      </c>
      <c r="G1079" s="0" t="s">
        <v>293</v>
      </c>
      <c r="H1079" s="0" t="s">
        <v>294</v>
      </c>
      <c r="I1079" s="0" t="s">
        <v>295</v>
      </c>
      <c r="P1079" s="0" t="s">
        <v>343</v>
      </c>
      <c r="Q1079" s="0" t="s">
        <v>343</v>
      </c>
      <c r="T1079" s="0" t="s">
        <v>7890</v>
      </c>
      <c r="W1079" s="0" t="s">
        <v>7873</v>
      </c>
      <c r="X1079" s="0" t="s">
        <v>529</v>
      </c>
      <c r="Y1079" s="0" t="s">
        <v>107</v>
      </c>
      <c r="Z1079" s="0" t="s">
        <v>7874</v>
      </c>
      <c r="AA1079" s="0" t="s">
        <v>124</v>
      </c>
      <c r="AB1079" s="0" t="s">
        <v>531</v>
      </c>
      <c r="AD1079" s="0" t="s">
        <v>2465</v>
      </c>
      <c r="AF1079" s="0" t="s">
        <v>301</v>
      </c>
      <c r="AP1079" s="0" t="s">
        <v>305</v>
      </c>
      <c r="BA1079" s="0">
        <v>541</v>
      </c>
      <c r="BB1079" s="0" t="s">
        <v>232</v>
      </c>
      <c r="BC1079" s="0">
        <v>2</v>
      </c>
      <c r="BD1079" s="0">
        <v>374053</v>
      </c>
      <c r="BE1079" s="0">
        <v>519921</v>
      </c>
      <c r="BF1079" s="0">
        <v>2</v>
      </c>
      <c r="BG1079" s="0" t="s">
        <v>7891</v>
      </c>
      <c r="BI1079" s="0">
        <v>2767</v>
      </c>
      <c r="BK1079" s="0" t="s">
        <v>7892</v>
      </c>
    </row>
    <row r="1080">
      <c r="A1080" s="0">
        <v>5818</v>
      </c>
      <c r="B1080" s="0" t="s">
        <v>7893</v>
      </c>
      <c r="C1080" s="0" t="s">
        <v>290</v>
      </c>
      <c r="D1080" s="0" t="s">
        <v>7869</v>
      </c>
      <c r="E1080" s="0" t="s">
        <v>7894</v>
      </c>
      <c r="F1080" s="0">
        <v>1</v>
      </c>
      <c r="G1080" s="0" t="s">
        <v>293</v>
      </c>
      <c r="H1080" s="0" t="s">
        <v>294</v>
      </c>
      <c r="I1080" s="0" t="s">
        <v>295</v>
      </c>
      <c r="P1080" s="0" t="s">
        <v>343</v>
      </c>
      <c r="Q1080" s="0" t="s">
        <v>343</v>
      </c>
      <c r="T1080" s="0" t="s">
        <v>7895</v>
      </c>
      <c r="W1080" s="0" t="s">
        <v>7873</v>
      </c>
      <c r="X1080" s="0" t="s">
        <v>529</v>
      </c>
      <c r="Y1080" s="0" t="s">
        <v>107</v>
      </c>
      <c r="Z1080" s="0" t="s">
        <v>7874</v>
      </c>
      <c r="AA1080" s="0" t="s">
        <v>124</v>
      </c>
      <c r="AB1080" s="0" t="s">
        <v>531</v>
      </c>
      <c r="AD1080" s="0" t="s">
        <v>2465</v>
      </c>
      <c r="AF1080" s="0" t="s">
        <v>301</v>
      </c>
      <c r="AP1080" s="0" t="s">
        <v>305</v>
      </c>
      <c r="BA1080" s="0">
        <v>541</v>
      </c>
      <c r="BB1080" s="0" t="s">
        <v>232</v>
      </c>
      <c r="BC1080" s="0">
        <v>2</v>
      </c>
      <c r="BD1080" s="0">
        <v>374053</v>
      </c>
      <c r="BE1080" s="0">
        <v>519921</v>
      </c>
      <c r="BF1080" s="0">
        <v>2</v>
      </c>
      <c r="BG1080" s="0" t="s">
        <v>7896</v>
      </c>
      <c r="BI1080" s="0">
        <v>2940</v>
      </c>
      <c r="BK1080" s="0" t="s">
        <v>7897</v>
      </c>
    </row>
    <row r="1081">
      <c r="A1081" s="0">
        <v>5828</v>
      </c>
      <c r="B1081" s="0" t="s">
        <v>7898</v>
      </c>
      <c r="C1081" s="0" t="s">
        <v>290</v>
      </c>
      <c r="D1081" s="0" t="s">
        <v>7869</v>
      </c>
      <c r="E1081" s="0" t="s">
        <v>7899</v>
      </c>
      <c r="F1081" s="0">
        <v>4</v>
      </c>
      <c r="G1081" s="0" t="s">
        <v>555</v>
      </c>
      <c r="H1081" s="0" t="s">
        <v>1112</v>
      </c>
      <c r="I1081" s="0" t="s">
        <v>2947</v>
      </c>
      <c r="J1081" s="0" t="s">
        <v>293</v>
      </c>
      <c r="K1081" s="0" t="s">
        <v>294</v>
      </c>
      <c r="L1081" s="0" t="s">
        <v>295</v>
      </c>
      <c r="P1081" s="0" t="s">
        <v>343</v>
      </c>
      <c r="Q1081" s="0" t="s">
        <v>343</v>
      </c>
      <c r="T1081" s="0" t="s">
        <v>7900</v>
      </c>
      <c r="W1081" s="0" t="s">
        <v>7873</v>
      </c>
      <c r="X1081" s="0" t="s">
        <v>529</v>
      </c>
      <c r="Y1081" s="0" t="s">
        <v>107</v>
      </c>
      <c r="Z1081" s="0" t="s">
        <v>7874</v>
      </c>
      <c r="AA1081" s="0" t="s">
        <v>124</v>
      </c>
      <c r="AB1081" s="0" t="s">
        <v>531</v>
      </c>
      <c r="AD1081" s="0" t="s">
        <v>2465</v>
      </c>
      <c r="AF1081" s="0" t="s">
        <v>301</v>
      </c>
      <c r="AP1081" s="0" t="s">
        <v>305</v>
      </c>
      <c r="BA1081" s="0">
        <v>541</v>
      </c>
      <c r="BB1081" s="0" t="s">
        <v>232</v>
      </c>
      <c r="BC1081" s="0">
        <v>2</v>
      </c>
      <c r="BD1081" s="0">
        <v>374053</v>
      </c>
      <c r="BE1081" s="0">
        <v>519921</v>
      </c>
      <c r="BF1081" s="0">
        <v>2</v>
      </c>
      <c r="BG1081" s="0" t="s">
        <v>7901</v>
      </c>
      <c r="BI1081" s="0">
        <v>3256</v>
      </c>
      <c r="BK1081" s="0" t="s">
        <v>7902</v>
      </c>
    </row>
    <row r="1082">
      <c r="A1082" s="0">
        <v>5812</v>
      </c>
      <c r="B1082" s="0" t="s">
        <v>7903</v>
      </c>
      <c r="C1082" s="0" t="s">
        <v>290</v>
      </c>
      <c r="D1082" s="0" t="s">
        <v>7869</v>
      </c>
      <c r="E1082" s="0" t="s">
        <v>7904</v>
      </c>
      <c r="F1082" s="0">
        <v>1</v>
      </c>
      <c r="G1082" s="0" t="s">
        <v>555</v>
      </c>
      <c r="H1082" s="0" t="s">
        <v>1112</v>
      </c>
      <c r="I1082" s="0" t="s">
        <v>2947</v>
      </c>
      <c r="J1082" s="0" t="s">
        <v>293</v>
      </c>
      <c r="K1082" s="0" t="s">
        <v>294</v>
      </c>
      <c r="L1082" s="0" t="s">
        <v>295</v>
      </c>
      <c r="P1082" s="0" t="s">
        <v>343</v>
      </c>
      <c r="Q1082" s="0" t="s">
        <v>343</v>
      </c>
      <c r="T1082" s="0" t="s">
        <v>7905</v>
      </c>
      <c r="W1082" s="0" t="s">
        <v>7873</v>
      </c>
      <c r="X1082" s="0" t="s">
        <v>529</v>
      </c>
      <c r="Y1082" s="0" t="s">
        <v>107</v>
      </c>
      <c r="Z1082" s="0" t="s">
        <v>7874</v>
      </c>
      <c r="AA1082" s="0" t="s">
        <v>124</v>
      </c>
      <c r="AB1082" s="0" t="s">
        <v>531</v>
      </c>
      <c r="AD1082" s="0" t="s">
        <v>2465</v>
      </c>
      <c r="AF1082" s="0" t="s">
        <v>301</v>
      </c>
      <c r="AP1082" s="0" t="s">
        <v>305</v>
      </c>
      <c r="BA1082" s="0">
        <v>541</v>
      </c>
      <c r="BB1082" s="0" t="s">
        <v>232</v>
      </c>
      <c r="BC1082" s="0">
        <v>2</v>
      </c>
      <c r="BD1082" s="0">
        <v>374053</v>
      </c>
      <c r="BE1082" s="0">
        <v>519921</v>
      </c>
      <c r="BF1082" s="0">
        <v>2</v>
      </c>
      <c r="BG1082" s="0" t="s">
        <v>7906</v>
      </c>
      <c r="BI1082" s="0">
        <v>418</v>
      </c>
      <c r="BK1082" s="0" t="s">
        <v>7907</v>
      </c>
    </row>
    <row r="1083">
      <c r="A1083" s="0">
        <v>5821</v>
      </c>
      <c r="B1083" s="0" t="s">
        <v>7908</v>
      </c>
      <c r="C1083" s="0" t="s">
        <v>656</v>
      </c>
      <c r="D1083" s="0" t="s">
        <v>7869</v>
      </c>
      <c r="E1083" s="0" t="s">
        <v>7909</v>
      </c>
      <c r="F1083" s="0">
        <v>1</v>
      </c>
      <c r="G1083" s="0" t="s">
        <v>293</v>
      </c>
      <c r="H1083" s="0" t="s">
        <v>294</v>
      </c>
      <c r="I1083" s="0" t="s">
        <v>295</v>
      </c>
      <c r="J1083" s="0" t="s">
        <v>7879</v>
      </c>
      <c r="P1083" s="0" t="s">
        <v>343</v>
      </c>
      <c r="Q1083" s="0" t="s">
        <v>343</v>
      </c>
      <c r="U1083" s="0" t="s">
        <v>7910</v>
      </c>
      <c r="W1083" s="0" t="s">
        <v>7873</v>
      </c>
      <c r="X1083" s="0" t="s">
        <v>347</v>
      </c>
      <c r="Y1083" s="0" t="s">
        <v>107</v>
      </c>
      <c r="Z1083" s="0" t="s">
        <v>7874</v>
      </c>
      <c r="AA1083" s="0" t="s">
        <v>124</v>
      </c>
      <c r="AB1083" s="0" t="s">
        <v>531</v>
      </c>
      <c r="AD1083" s="0" t="s">
        <v>2465</v>
      </c>
      <c r="AF1083" s="0" t="s">
        <v>301</v>
      </c>
      <c r="AP1083" s="0" t="s">
        <v>305</v>
      </c>
      <c r="BA1083" s="0">
        <v>541</v>
      </c>
      <c r="BB1083" s="0" t="s">
        <v>232</v>
      </c>
      <c r="BC1083" s="0">
        <v>2</v>
      </c>
      <c r="BD1083" s="0">
        <v>10</v>
      </c>
      <c r="BE1083" s="0">
        <v>519921</v>
      </c>
      <c r="BF1083" s="0">
        <v>4</v>
      </c>
      <c r="BG1083" s="0" t="s">
        <v>7911</v>
      </c>
      <c r="BI1083" s="0">
        <v>2184</v>
      </c>
      <c r="BK1083" s="0" t="s">
        <v>7912</v>
      </c>
    </row>
    <row r="1084">
      <c r="A1084" s="0">
        <v>5820</v>
      </c>
      <c r="C1084" s="0" t="s">
        <v>339</v>
      </c>
      <c r="D1084" s="0" t="s">
        <v>7869</v>
      </c>
      <c r="E1084" s="0" t="s">
        <v>7913</v>
      </c>
      <c r="F1084" s="0">
        <v>1</v>
      </c>
      <c r="G1084" s="0" t="s">
        <v>319</v>
      </c>
      <c r="H1084" s="0" t="s">
        <v>398</v>
      </c>
      <c r="I1084" s="0" t="s">
        <v>471</v>
      </c>
      <c r="J1084" s="0" t="s">
        <v>594</v>
      </c>
      <c r="P1084" s="0" t="s">
        <v>323</v>
      </c>
      <c r="Q1084" s="0" t="s">
        <v>323</v>
      </c>
      <c r="R1084" s="0" t="s">
        <v>7914</v>
      </c>
      <c r="U1084" s="0" t="s">
        <v>7915</v>
      </c>
      <c r="W1084" s="0" t="s">
        <v>7873</v>
      </c>
      <c r="X1084" s="0" t="s">
        <v>347</v>
      </c>
      <c r="Y1084" s="0" t="s">
        <v>107</v>
      </c>
      <c r="Z1084" s="0" t="s">
        <v>7874</v>
      </c>
      <c r="AA1084" s="0" t="s">
        <v>124</v>
      </c>
      <c r="AB1084" s="0" t="s">
        <v>531</v>
      </c>
      <c r="AD1084" s="0" t="s">
        <v>2465</v>
      </c>
      <c r="AF1084" s="0" t="s">
        <v>301</v>
      </c>
      <c r="AM1084" s="0" t="s">
        <v>443</v>
      </c>
      <c r="AN1084" s="0" t="s">
        <v>1096</v>
      </c>
      <c r="AO1084" s="0" t="s">
        <v>1483</v>
      </c>
      <c r="AP1084" s="0" t="s">
        <v>305</v>
      </c>
      <c r="AQ1084" s="0" t="s">
        <v>7916</v>
      </c>
      <c r="AR1084" s="0" t="s">
        <v>7917</v>
      </c>
      <c r="AS1084" s="0">
        <v>144</v>
      </c>
      <c r="AT1084" s="0">
        <v>302</v>
      </c>
      <c r="AU1084" s="0">
        <v>364</v>
      </c>
      <c r="AV1084" s="0" t="s">
        <v>332</v>
      </c>
      <c r="AW1084" s="0" t="s">
        <v>332</v>
      </c>
      <c r="AX1084" s="0" t="s">
        <v>487</v>
      </c>
      <c r="AY1084" s="0" t="s">
        <v>302</v>
      </c>
      <c r="AZ1084" s="0" t="s">
        <v>2213</v>
      </c>
      <c r="BA1084" s="0">
        <v>541</v>
      </c>
      <c r="BB1084" s="0" t="s">
        <v>232</v>
      </c>
      <c r="BC1084" s="0">
        <v>2</v>
      </c>
      <c r="BD1084" s="0">
        <v>8</v>
      </c>
      <c r="BE1084" s="0">
        <v>519921</v>
      </c>
      <c r="BF1084" s="0">
        <v>4</v>
      </c>
      <c r="BG1084" s="0" t="s">
        <v>7918</v>
      </c>
      <c r="BI1084" s="0">
        <v>1711</v>
      </c>
      <c r="BK1084" s="0" t="s">
        <v>7919</v>
      </c>
    </row>
    <row r="1085">
      <c r="A1085" s="0">
        <v>5814</v>
      </c>
      <c r="C1085" s="0" t="s">
        <v>339</v>
      </c>
      <c r="D1085" s="0" t="s">
        <v>7869</v>
      </c>
      <c r="E1085" s="0" t="s">
        <v>7920</v>
      </c>
      <c r="F1085" s="0">
        <v>1</v>
      </c>
      <c r="G1085" s="0" t="s">
        <v>319</v>
      </c>
      <c r="H1085" s="0" t="s">
        <v>398</v>
      </c>
      <c r="I1085" s="0" t="s">
        <v>471</v>
      </c>
      <c r="J1085" s="0" t="s">
        <v>594</v>
      </c>
      <c r="P1085" s="0" t="s">
        <v>323</v>
      </c>
      <c r="Q1085" s="0" t="s">
        <v>323</v>
      </c>
      <c r="R1085" s="0" t="s">
        <v>7914</v>
      </c>
      <c r="T1085" s="0" t="s">
        <v>7921</v>
      </c>
      <c r="U1085" s="0" t="s">
        <v>7922</v>
      </c>
      <c r="W1085" s="0" t="s">
        <v>7873</v>
      </c>
      <c r="X1085" s="0" t="s">
        <v>347</v>
      </c>
      <c r="Y1085" s="0" t="s">
        <v>107</v>
      </c>
      <c r="Z1085" s="0" t="s">
        <v>7874</v>
      </c>
      <c r="AA1085" s="0" t="s">
        <v>124</v>
      </c>
      <c r="AB1085" s="0" t="s">
        <v>531</v>
      </c>
      <c r="AD1085" s="0" t="s">
        <v>2465</v>
      </c>
      <c r="AF1085" s="0" t="s">
        <v>301</v>
      </c>
      <c r="AM1085" s="0" t="s">
        <v>1583</v>
      </c>
      <c r="AN1085" s="0" t="s">
        <v>664</v>
      </c>
      <c r="AO1085" s="0" t="s">
        <v>1472</v>
      </c>
      <c r="AP1085" s="0" t="s">
        <v>305</v>
      </c>
      <c r="AQ1085" s="0" t="s">
        <v>2941</v>
      </c>
      <c r="AR1085" s="0" t="s">
        <v>6175</v>
      </c>
      <c r="AS1085" s="0">
        <v>18</v>
      </c>
      <c r="AT1085" s="0">
        <v>36</v>
      </c>
      <c r="AU1085" s="0">
        <v>44</v>
      </c>
      <c r="AV1085" s="0" t="s">
        <v>332</v>
      </c>
      <c r="AW1085" s="0" t="s">
        <v>332</v>
      </c>
      <c r="AX1085" s="0" t="s">
        <v>477</v>
      </c>
      <c r="AY1085" s="0" t="s">
        <v>7923</v>
      </c>
      <c r="AZ1085" s="0" t="s">
        <v>349</v>
      </c>
      <c r="BA1085" s="0">
        <v>541</v>
      </c>
      <c r="BB1085" s="0" t="s">
        <v>232</v>
      </c>
      <c r="BC1085" s="0">
        <v>2</v>
      </c>
      <c r="BD1085" s="0">
        <v>8</v>
      </c>
      <c r="BE1085" s="0">
        <v>519921</v>
      </c>
      <c r="BF1085" s="0">
        <v>4</v>
      </c>
      <c r="BG1085" s="0" t="s">
        <v>7924</v>
      </c>
      <c r="BI1085" s="0">
        <v>813</v>
      </c>
      <c r="BK1085" s="0" t="s">
        <v>7925</v>
      </c>
    </row>
    <row r="1086">
      <c r="A1086" s="0">
        <v>5815</v>
      </c>
      <c r="C1086" s="0" t="s">
        <v>339</v>
      </c>
      <c r="D1086" s="0" t="s">
        <v>7869</v>
      </c>
      <c r="E1086" s="0" t="s">
        <v>7926</v>
      </c>
      <c r="F1086" s="0">
        <v>2</v>
      </c>
      <c r="G1086" s="0" t="s">
        <v>319</v>
      </c>
      <c r="H1086" s="0" t="s">
        <v>398</v>
      </c>
      <c r="I1086" s="0" t="s">
        <v>471</v>
      </c>
      <c r="J1086" s="0" t="s">
        <v>594</v>
      </c>
      <c r="P1086" s="0" t="s">
        <v>323</v>
      </c>
      <c r="Q1086" s="0" t="s">
        <v>323</v>
      </c>
      <c r="R1086" s="0" t="s">
        <v>7914</v>
      </c>
      <c r="T1086" s="0" t="s">
        <v>7921</v>
      </c>
      <c r="U1086" s="0" t="s">
        <v>7927</v>
      </c>
      <c r="W1086" s="0" t="s">
        <v>7873</v>
      </c>
      <c r="X1086" s="0" t="s">
        <v>347</v>
      </c>
      <c r="Y1086" s="0" t="s">
        <v>107</v>
      </c>
      <c r="Z1086" s="0" t="s">
        <v>7874</v>
      </c>
      <c r="AA1086" s="0" t="s">
        <v>124</v>
      </c>
      <c r="AB1086" s="0" t="s">
        <v>531</v>
      </c>
      <c r="AD1086" s="0" t="s">
        <v>2465</v>
      </c>
      <c r="AF1086" s="0" t="s">
        <v>301</v>
      </c>
      <c r="AM1086" s="0" t="s">
        <v>1583</v>
      </c>
      <c r="AN1086" s="0" t="s">
        <v>762</v>
      </c>
      <c r="AO1086" s="0" t="s">
        <v>1472</v>
      </c>
      <c r="AP1086" s="0" t="s">
        <v>305</v>
      </c>
      <c r="AQ1086" s="0" t="s">
        <v>7928</v>
      </c>
      <c r="AR1086" s="0" t="s">
        <v>5672</v>
      </c>
      <c r="AS1086" s="0">
        <v>31</v>
      </c>
      <c r="AT1086" s="0">
        <v>63</v>
      </c>
      <c r="AU1086" s="0">
        <v>80</v>
      </c>
      <c r="AV1086" s="0" t="s">
        <v>332</v>
      </c>
      <c r="AW1086" s="0" t="s">
        <v>332</v>
      </c>
      <c r="AX1086" s="0" t="s">
        <v>477</v>
      </c>
      <c r="AY1086" s="0" t="s">
        <v>3023</v>
      </c>
      <c r="AZ1086" s="0" t="s">
        <v>349</v>
      </c>
      <c r="BA1086" s="0">
        <v>541</v>
      </c>
      <c r="BB1086" s="0" t="s">
        <v>232</v>
      </c>
      <c r="BC1086" s="0">
        <v>2</v>
      </c>
      <c r="BD1086" s="0">
        <v>8</v>
      </c>
      <c r="BE1086" s="0">
        <v>519921</v>
      </c>
      <c r="BF1086" s="0">
        <v>4</v>
      </c>
      <c r="BG1086" s="0" t="s">
        <v>7929</v>
      </c>
      <c r="BI1086" s="0">
        <v>1142</v>
      </c>
      <c r="BK1086" s="0" t="s">
        <v>7930</v>
      </c>
    </row>
    <row r="1087">
      <c r="A1087" s="0">
        <v>5819</v>
      </c>
      <c r="B1087" s="0" t="s">
        <v>7931</v>
      </c>
      <c r="C1087" s="0" t="s">
        <v>339</v>
      </c>
      <c r="D1087" s="0" t="s">
        <v>7869</v>
      </c>
      <c r="E1087" s="0" t="s">
        <v>7932</v>
      </c>
      <c r="F1087" s="0">
        <v>1</v>
      </c>
      <c r="G1087" s="0" t="s">
        <v>319</v>
      </c>
      <c r="H1087" s="0" t="s">
        <v>398</v>
      </c>
      <c r="I1087" s="0" t="s">
        <v>471</v>
      </c>
      <c r="J1087" s="0" t="s">
        <v>594</v>
      </c>
      <c r="M1087" s="0" t="s">
        <v>759</v>
      </c>
      <c r="O1087" s="0" t="s">
        <v>1685</v>
      </c>
      <c r="P1087" s="0" t="s">
        <v>343</v>
      </c>
      <c r="Q1087" s="0" t="s">
        <v>343</v>
      </c>
      <c r="U1087" s="0" t="s">
        <v>7933</v>
      </c>
      <c r="W1087" s="0" t="s">
        <v>7873</v>
      </c>
      <c r="X1087" s="0" t="s">
        <v>347</v>
      </c>
      <c r="Y1087" s="0" t="s">
        <v>107</v>
      </c>
      <c r="Z1087" s="0" t="s">
        <v>7874</v>
      </c>
      <c r="AA1087" s="0" t="s">
        <v>124</v>
      </c>
      <c r="AB1087" s="0" t="s">
        <v>531</v>
      </c>
      <c r="AD1087" s="0" t="s">
        <v>2465</v>
      </c>
      <c r="AF1087" s="0" t="s">
        <v>301</v>
      </c>
      <c r="AM1087" s="0" t="s">
        <v>608</v>
      </c>
      <c r="AN1087" s="0" t="s">
        <v>607</v>
      </c>
      <c r="AO1087" s="0" t="s">
        <v>1779</v>
      </c>
      <c r="AP1087" s="0" t="s">
        <v>305</v>
      </c>
      <c r="AQ1087" s="0" t="s">
        <v>7934</v>
      </c>
      <c r="AR1087" s="0" t="s">
        <v>7935</v>
      </c>
      <c r="AS1087" s="0">
        <v>96</v>
      </c>
      <c r="AT1087" s="0">
        <v>196</v>
      </c>
      <c r="AU1087" s="0">
        <v>219</v>
      </c>
      <c r="AV1087" s="0" t="s">
        <v>332</v>
      </c>
      <c r="AW1087" s="0" t="s">
        <v>332</v>
      </c>
      <c r="AX1087" s="0" t="s">
        <v>490</v>
      </c>
      <c r="AY1087" s="0" t="s">
        <v>460</v>
      </c>
      <c r="AZ1087" s="0" t="s">
        <v>809</v>
      </c>
      <c r="BA1087" s="0">
        <v>541</v>
      </c>
      <c r="BB1087" s="0" t="s">
        <v>232</v>
      </c>
      <c r="BC1087" s="0">
        <v>2</v>
      </c>
      <c r="BD1087" s="0">
        <v>8</v>
      </c>
      <c r="BE1087" s="0">
        <v>519921</v>
      </c>
      <c r="BF1087" s="0">
        <v>4</v>
      </c>
      <c r="BG1087" s="0" t="s">
        <v>7936</v>
      </c>
      <c r="BI1087" s="0">
        <v>1446</v>
      </c>
      <c r="BK1087" s="0" t="s">
        <v>7937</v>
      </c>
    </row>
    <row r="1088">
      <c r="A1088" s="0">
        <v>5827</v>
      </c>
      <c r="E1088" s="0" t="s">
        <v>7938</v>
      </c>
      <c r="G1088" s="0" t="s">
        <v>293</v>
      </c>
      <c r="H1088" s="0" t="s">
        <v>294</v>
      </c>
      <c r="I1088" s="0" t="s">
        <v>295</v>
      </c>
      <c r="J1088" s="0" t="s">
        <v>525</v>
      </c>
      <c r="K1088" s="0" t="s">
        <v>1190</v>
      </c>
      <c r="L1088" s="0" t="s">
        <v>549</v>
      </c>
      <c r="P1088" s="0" t="s">
        <v>323</v>
      </c>
      <c r="Q1088" s="0" t="s">
        <v>343</v>
      </c>
      <c r="R1088" s="0" t="s">
        <v>1021</v>
      </c>
      <c r="X1088" s="0" t="s">
        <v>1116</v>
      </c>
      <c r="Y1088" s="0" t="s">
        <v>165</v>
      </c>
      <c r="Z1088" s="0" t="s">
        <v>5715</v>
      </c>
      <c r="AA1088" s="0" t="s">
        <v>219</v>
      </c>
      <c r="AF1088" s="0" t="s">
        <v>301</v>
      </c>
      <c r="AP1088" s="0" t="s">
        <v>305</v>
      </c>
      <c r="BA1088" s="0">
        <v>542</v>
      </c>
      <c r="BB1088" s="0" t="s">
        <v>232</v>
      </c>
      <c r="BC1088" s="0">
        <v>2</v>
      </c>
      <c r="BE1088" s="0">
        <v>519970</v>
      </c>
      <c r="BF1088" s="0">
        <v>1</v>
      </c>
      <c r="BG1088" s="0" t="s">
        <v>7939</v>
      </c>
      <c r="BI1088" s="0">
        <v>29</v>
      </c>
      <c r="BK1088" s="0" t="s">
        <v>7940</v>
      </c>
    </row>
    <row r="1089">
      <c r="A1089" s="0">
        <v>5844</v>
      </c>
      <c r="B1089" s="0" t="s">
        <v>7941</v>
      </c>
      <c r="C1089" s="0" t="s">
        <v>315</v>
      </c>
      <c r="D1089" s="0" t="s">
        <v>7873</v>
      </c>
      <c r="E1089" s="0" t="s">
        <v>7942</v>
      </c>
      <c r="F1089" s="0">
        <v>1</v>
      </c>
      <c r="G1089" s="0" t="s">
        <v>319</v>
      </c>
      <c r="H1089" s="0" t="s">
        <v>7871</v>
      </c>
      <c r="I1089" s="0" t="s">
        <v>7123</v>
      </c>
      <c r="J1089" s="0" t="s">
        <v>293</v>
      </c>
      <c r="K1089" s="0" t="s">
        <v>294</v>
      </c>
      <c r="L1089" s="0" t="s">
        <v>295</v>
      </c>
      <c r="P1089" s="0" t="s">
        <v>343</v>
      </c>
      <c r="Q1089" s="0" t="s">
        <v>343</v>
      </c>
      <c r="U1089" s="0" t="s">
        <v>7943</v>
      </c>
      <c r="W1089" s="0" t="s">
        <v>7869</v>
      </c>
      <c r="X1089" s="0" t="s">
        <v>347</v>
      </c>
      <c r="Y1089" s="0" t="s">
        <v>104</v>
      </c>
      <c r="Z1089" s="0" t="s">
        <v>2464</v>
      </c>
      <c r="AA1089" s="0" t="s">
        <v>121</v>
      </c>
      <c r="AB1089" s="0" t="s">
        <v>531</v>
      </c>
      <c r="AC1089" s="0" t="s">
        <v>571</v>
      </c>
      <c r="AD1089" s="0" t="s">
        <v>2465</v>
      </c>
      <c r="AE1089" s="0" t="s">
        <v>7944</v>
      </c>
      <c r="AF1089" s="0" t="s">
        <v>301</v>
      </c>
      <c r="AP1089" s="0" t="s">
        <v>305</v>
      </c>
      <c r="BA1089" s="0">
        <v>543</v>
      </c>
      <c r="BB1089" s="0" t="s">
        <v>232</v>
      </c>
      <c r="BC1089" s="0">
        <v>2</v>
      </c>
      <c r="BD1089" s="0">
        <v>374043</v>
      </c>
      <c r="BE1089" s="0">
        <v>58611</v>
      </c>
      <c r="BF1089" s="0">
        <v>4</v>
      </c>
      <c r="BG1089" s="0" t="s">
        <v>7945</v>
      </c>
      <c r="BI1089" s="0">
        <v>416</v>
      </c>
      <c r="BK1089" s="0" t="s">
        <v>7946</v>
      </c>
    </row>
    <row r="1090">
      <c r="A1090" s="0">
        <v>6179</v>
      </c>
      <c r="B1090" s="0" t="s">
        <v>7947</v>
      </c>
      <c r="C1090" s="0" t="s">
        <v>315</v>
      </c>
      <c r="D1090" s="0" t="s">
        <v>7948</v>
      </c>
      <c r="E1090" s="0" t="s">
        <v>7949</v>
      </c>
      <c r="F1090" s="0">
        <v>2</v>
      </c>
      <c r="G1090" s="0" t="s">
        <v>293</v>
      </c>
      <c r="H1090" s="0" t="s">
        <v>294</v>
      </c>
      <c r="I1090" s="0" t="s">
        <v>295</v>
      </c>
      <c r="J1090" s="0" t="s">
        <v>400</v>
      </c>
      <c r="K1090" s="0" t="s">
        <v>1190</v>
      </c>
      <c r="L1090" s="0" t="s">
        <v>549</v>
      </c>
      <c r="T1090" s="0" t="s">
        <v>7950</v>
      </c>
      <c r="U1090" s="0" t="s">
        <v>7951</v>
      </c>
      <c r="W1090" s="0" t="s">
        <v>7952</v>
      </c>
      <c r="X1090" s="0" t="s">
        <v>347</v>
      </c>
      <c r="Y1090" s="0" t="s">
        <v>94</v>
      </c>
      <c r="Z1090" s="0" t="s">
        <v>1972</v>
      </c>
      <c r="AA1090" s="0" t="s">
        <v>220</v>
      </c>
      <c r="AB1090" s="0" t="s">
        <v>3740</v>
      </c>
      <c r="AD1090" s="0" t="s">
        <v>7953</v>
      </c>
      <c r="AF1090" s="0" t="s">
        <v>301</v>
      </c>
      <c r="AP1090" s="0" t="s">
        <v>305</v>
      </c>
      <c r="BA1090" s="0">
        <v>544</v>
      </c>
      <c r="BB1090" s="0" t="s">
        <v>232</v>
      </c>
      <c r="BC1090" s="0">
        <v>2</v>
      </c>
      <c r="BD1090" s="0">
        <v>374043</v>
      </c>
      <c r="BE1090" s="0">
        <v>112779</v>
      </c>
      <c r="BF1090" s="0">
        <v>4</v>
      </c>
      <c r="BG1090" s="0" t="s">
        <v>7954</v>
      </c>
      <c r="BI1090" s="0">
        <v>4301</v>
      </c>
      <c r="BK1090" s="0" t="s">
        <v>7955</v>
      </c>
    </row>
    <row r="1091">
      <c r="A1091" s="0">
        <v>6171</v>
      </c>
      <c r="B1091" s="0" t="s">
        <v>7956</v>
      </c>
      <c r="C1091" s="0" t="s">
        <v>290</v>
      </c>
      <c r="D1091" s="0" t="s">
        <v>7948</v>
      </c>
      <c r="E1091" s="0" t="s">
        <v>7957</v>
      </c>
      <c r="F1091" s="0">
        <v>3</v>
      </c>
      <c r="G1091" s="0" t="s">
        <v>293</v>
      </c>
      <c r="H1091" s="0" t="s">
        <v>294</v>
      </c>
      <c r="I1091" s="0" t="s">
        <v>918</v>
      </c>
      <c r="T1091" s="0" t="s">
        <v>7958</v>
      </c>
      <c r="U1091" s="0" t="s">
        <v>7959</v>
      </c>
      <c r="W1091" s="0" t="s">
        <v>7952</v>
      </c>
      <c r="X1091" s="0" t="s">
        <v>529</v>
      </c>
      <c r="Y1091" s="0" t="s">
        <v>94</v>
      </c>
      <c r="Z1091" s="0" t="s">
        <v>1972</v>
      </c>
      <c r="AA1091" s="0" t="s">
        <v>220</v>
      </c>
      <c r="AB1091" s="0" t="s">
        <v>3740</v>
      </c>
      <c r="AD1091" s="0" t="s">
        <v>7953</v>
      </c>
      <c r="AF1091" s="0" t="s">
        <v>301</v>
      </c>
      <c r="AP1091" s="0" t="s">
        <v>305</v>
      </c>
      <c r="BA1091" s="0">
        <v>544</v>
      </c>
      <c r="BB1091" s="0" t="s">
        <v>232</v>
      </c>
      <c r="BC1091" s="0">
        <v>2</v>
      </c>
      <c r="BD1091" s="0">
        <v>374053</v>
      </c>
      <c r="BE1091" s="0">
        <v>112779</v>
      </c>
      <c r="BF1091" s="0">
        <v>2</v>
      </c>
      <c r="BG1091" s="0" t="s">
        <v>7960</v>
      </c>
      <c r="BI1091" s="0">
        <v>3637</v>
      </c>
      <c r="BK1091" s="0" t="s">
        <v>7961</v>
      </c>
    </row>
    <row r="1092">
      <c r="A1092" s="0">
        <v>5864</v>
      </c>
      <c r="B1092" s="0" t="s">
        <v>7962</v>
      </c>
      <c r="C1092" s="0" t="s">
        <v>2060</v>
      </c>
      <c r="D1092" s="0" t="s">
        <v>7952</v>
      </c>
      <c r="E1092" s="0" t="s">
        <v>7963</v>
      </c>
      <c r="F1092" s="0">
        <v>2</v>
      </c>
      <c r="G1092" s="0" t="s">
        <v>508</v>
      </c>
      <c r="H1092" s="0" t="s">
        <v>1190</v>
      </c>
      <c r="I1092" s="0" t="s">
        <v>549</v>
      </c>
      <c r="J1092" s="0" t="s">
        <v>293</v>
      </c>
      <c r="K1092" s="0" t="s">
        <v>294</v>
      </c>
      <c r="L1092" s="0" t="s">
        <v>295</v>
      </c>
      <c r="P1092" s="0" t="s">
        <v>323</v>
      </c>
      <c r="Q1092" s="0" t="s">
        <v>323</v>
      </c>
      <c r="R1092" s="0" t="s">
        <v>971</v>
      </c>
      <c r="T1092" s="0" t="s">
        <v>7964</v>
      </c>
      <c r="U1092" s="0" t="s">
        <v>7965</v>
      </c>
      <c r="W1092" s="0" t="s">
        <v>7952</v>
      </c>
      <c r="X1092" s="0" t="s">
        <v>347</v>
      </c>
      <c r="Y1092" s="0" t="s">
        <v>94</v>
      </c>
      <c r="Z1092" s="0" t="s">
        <v>1972</v>
      </c>
      <c r="AA1092" s="0" t="s">
        <v>220</v>
      </c>
      <c r="AB1092" s="0" t="s">
        <v>3740</v>
      </c>
      <c r="AD1092" s="0" t="s">
        <v>7953</v>
      </c>
      <c r="AF1092" s="0" t="s">
        <v>301</v>
      </c>
      <c r="AP1092" s="0" t="s">
        <v>305</v>
      </c>
      <c r="BA1092" s="0">
        <v>544</v>
      </c>
      <c r="BB1092" s="0" t="s">
        <v>232</v>
      </c>
      <c r="BC1092" s="0">
        <v>2</v>
      </c>
      <c r="BD1092" s="0">
        <v>374064</v>
      </c>
      <c r="BE1092" s="0">
        <v>112779</v>
      </c>
      <c r="BF1092" s="0">
        <v>4</v>
      </c>
      <c r="BG1092" s="0" t="s">
        <v>7966</v>
      </c>
      <c r="BI1092" s="0">
        <v>3392</v>
      </c>
      <c r="BK1092" s="0" t="s">
        <v>7967</v>
      </c>
    </row>
    <row r="1093">
      <c r="A1093" s="0">
        <v>5863</v>
      </c>
      <c r="B1093" s="0" t="s">
        <v>7968</v>
      </c>
      <c r="C1093" s="0" t="s">
        <v>315</v>
      </c>
      <c r="D1093" s="0" t="s">
        <v>7952</v>
      </c>
      <c r="E1093" s="0" t="s">
        <v>7969</v>
      </c>
      <c r="F1093" s="0">
        <v>1</v>
      </c>
      <c r="G1093" s="0" t="s">
        <v>508</v>
      </c>
      <c r="H1093" s="0" t="s">
        <v>1190</v>
      </c>
      <c r="I1093" s="0" t="s">
        <v>549</v>
      </c>
      <c r="J1093" s="0" t="s">
        <v>293</v>
      </c>
      <c r="K1093" s="0" t="s">
        <v>294</v>
      </c>
      <c r="L1093" s="0" t="s">
        <v>295</v>
      </c>
      <c r="P1093" s="0" t="s">
        <v>323</v>
      </c>
      <c r="Q1093" s="0" t="s">
        <v>323</v>
      </c>
      <c r="R1093" s="0" t="s">
        <v>673</v>
      </c>
      <c r="T1093" s="0" t="s">
        <v>7970</v>
      </c>
      <c r="U1093" s="0" t="s">
        <v>7971</v>
      </c>
      <c r="W1093" s="0" t="s">
        <v>7952</v>
      </c>
      <c r="X1093" s="0" t="s">
        <v>347</v>
      </c>
      <c r="Y1093" s="0" t="s">
        <v>94</v>
      </c>
      <c r="Z1093" s="0" t="s">
        <v>1972</v>
      </c>
      <c r="AA1093" s="0" t="s">
        <v>220</v>
      </c>
      <c r="AB1093" s="0" t="s">
        <v>3740</v>
      </c>
      <c r="AD1093" s="0" t="s">
        <v>7953</v>
      </c>
      <c r="AF1093" s="0" t="s">
        <v>301</v>
      </c>
      <c r="AP1093" s="0" t="s">
        <v>305</v>
      </c>
      <c r="BA1093" s="0">
        <v>544</v>
      </c>
      <c r="BB1093" s="0" t="s">
        <v>232</v>
      </c>
      <c r="BC1093" s="0">
        <v>2</v>
      </c>
      <c r="BD1093" s="0">
        <v>374043</v>
      </c>
      <c r="BE1093" s="0">
        <v>112779</v>
      </c>
      <c r="BF1093" s="0">
        <v>4</v>
      </c>
      <c r="BG1093" s="0" t="s">
        <v>7972</v>
      </c>
      <c r="BI1093" s="0">
        <v>3259</v>
      </c>
      <c r="BK1093" s="0" t="s">
        <v>7973</v>
      </c>
    </row>
    <row r="1094">
      <c r="A1094" s="0">
        <v>5865</v>
      </c>
      <c r="B1094" s="0" t="s">
        <v>7974</v>
      </c>
      <c r="C1094" s="0" t="s">
        <v>315</v>
      </c>
      <c r="D1094" s="0" t="s">
        <v>7952</v>
      </c>
      <c r="E1094" s="0" t="s">
        <v>7975</v>
      </c>
      <c r="F1094" s="0">
        <v>1</v>
      </c>
      <c r="G1094" s="0" t="s">
        <v>508</v>
      </c>
      <c r="H1094" s="0" t="s">
        <v>1190</v>
      </c>
      <c r="I1094" s="0" t="s">
        <v>549</v>
      </c>
      <c r="J1094" s="0" t="s">
        <v>293</v>
      </c>
      <c r="K1094" s="0" t="s">
        <v>294</v>
      </c>
      <c r="L1094" s="0" t="s">
        <v>295</v>
      </c>
      <c r="P1094" s="0" t="s">
        <v>323</v>
      </c>
      <c r="Q1094" s="0" t="s">
        <v>323</v>
      </c>
      <c r="R1094" s="0" t="s">
        <v>971</v>
      </c>
      <c r="T1094" s="0" t="s">
        <v>7976</v>
      </c>
      <c r="U1094" s="0" t="s">
        <v>7977</v>
      </c>
      <c r="W1094" s="0" t="s">
        <v>7952</v>
      </c>
      <c r="X1094" s="0" t="s">
        <v>347</v>
      </c>
      <c r="Y1094" s="0" t="s">
        <v>94</v>
      </c>
      <c r="Z1094" s="0" t="s">
        <v>1972</v>
      </c>
      <c r="AA1094" s="0" t="s">
        <v>220</v>
      </c>
      <c r="AB1094" s="0" t="s">
        <v>3740</v>
      </c>
      <c r="AD1094" s="0" t="s">
        <v>7953</v>
      </c>
      <c r="AF1094" s="0" t="s">
        <v>301</v>
      </c>
      <c r="AP1094" s="0" t="s">
        <v>305</v>
      </c>
      <c r="BA1094" s="0">
        <v>544</v>
      </c>
      <c r="BB1094" s="0" t="s">
        <v>232</v>
      </c>
      <c r="BC1094" s="0">
        <v>2</v>
      </c>
      <c r="BD1094" s="0">
        <v>374043</v>
      </c>
      <c r="BE1094" s="0">
        <v>112779</v>
      </c>
      <c r="BF1094" s="0">
        <v>4</v>
      </c>
      <c r="BG1094" s="0" t="s">
        <v>7978</v>
      </c>
      <c r="BI1094" s="0">
        <v>3514</v>
      </c>
      <c r="BK1094" s="0" t="s">
        <v>7979</v>
      </c>
    </row>
    <row r="1095">
      <c r="A1095" s="0">
        <v>5866</v>
      </c>
      <c r="B1095" s="0" t="s">
        <v>7980</v>
      </c>
      <c r="C1095" s="0" t="s">
        <v>315</v>
      </c>
      <c r="D1095" s="0" t="s">
        <v>7952</v>
      </c>
      <c r="E1095" s="0" t="s">
        <v>7981</v>
      </c>
      <c r="F1095" s="0">
        <v>1</v>
      </c>
      <c r="G1095" s="0" t="s">
        <v>508</v>
      </c>
      <c r="H1095" s="0" t="s">
        <v>1190</v>
      </c>
      <c r="I1095" s="0" t="s">
        <v>549</v>
      </c>
      <c r="J1095" s="0" t="s">
        <v>293</v>
      </c>
      <c r="K1095" s="0" t="s">
        <v>294</v>
      </c>
      <c r="L1095" s="0" t="s">
        <v>295</v>
      </c>
      <c r="T1095" s="0" t="s">
        <v>7982</v>
      </c>
      <c r="U1095" s="0" t="s">
        <v>7983</v>
      </c>
      <c r="W1095" s="0" t="s">
        <v>7952</v>
      </c>
      <c r="X1095" s="0" t="s">
        <v>347</v>
      </c>
      <c r="Y1095" s="0" t="s">
        <v>94</v>
      </c>
      <c r="Z1095" s="0" t="s">
        <v>1972</v>
      </c>
      <c r="AA1095" s="0" t="s">
        <v>220</v>
      </c>
      <c r="AB1095" s="0" t="s">
        <v>3740</v>
      </c>
      <c r="AD1095" s="0" t="s">
        <v>7953</v>
      </c>
      <c r="AF1095" s="0" t="s">
        <v>301</v>
      </c>
      <c r="AP1095" s="0" t="s">
        <v>305</v>
      </c>
      <c r="BA1095" s="0">
        <v>544</v>
      </c>
      <c r="BB1095" s="0" t="s">
        <v>232</v>
      </c>
      <c r="BC1095" s="0">
        <v>2</v>
      </c>
      <c r="BD1095" s="0">
        <v>374043</v>
      </c>
      <c r="BE1095" s="0">
        <v>112779</v>
      </c>
      <c r="BF1095" s="0">
        <v>4</v>
      </c>
      <c r="BG1095" s="0" t="s">
        <v>7984</v>
      </c>
      <c r="BI1095" s="0">
        <v>3629</v>
      </c>
      <c r="BK1095" s="0" t="s">
        <v>7985</v>
      </c>
    </row>
    <row r="1096">
      <c r="A1096" s="0">
        <v>6172</v>
      </c>
      <c r="B1096" s="0" t="s">
        <v>7986</v>
      </c>
      <c r="C1096" s="0" t="s">
        <v>339</v>
      </c>
      <c r="D1096" s="0" t="s">
        <v>7948</v>
      </c>
      <c r="E1096" s="0" t="s">
        <v>7987</v>
      </c>
      <c r="F1096" s="0">
        <v>2</v>
      </c>
      <c r="G1096" s="0" t="s">
        <v>400</v>
      </c>
      <c r="H1096" s="0" t="s">
        <v>1190</v>
      </c>
      <c r="I1096" s="0" t="s">
        <v>7988</v>
      </c>
      <c r="J1096" s="0" t="s">
        <v>508</v>
      </c>
      <c r="K1096" s="0" t="s">
        <v>1190</v>
      </c>
      <c r="L1096" s="0" t="s">
        <v>7988</v>
      </c>
      <c r="M1096" s="0" t="s">
        <v>319</v>
      </c>
      <c r="N1096" s="0" t="s">
        <v>523</v>
      </c>
      <c r="O1096" s="0" t="s">
        <v>7988</v>
      </c>
      <c r="P1096" s="0" t="s">
        <v>343</v>
      </c>
      <c r="Q1096" s="0" t="s">
        <v>343</v>
      </c>
      <c r="T1096" s="0" t="s">
        <v>7989</v>
      </c>
      <c r="W1096" s="0" t="s">
        <v>7952</v>
      </c>
      <c r="X1096" s="0" t="s">
        <v>529</v>
      </c>
      <c r="Y1096" s="0" t="s">
        <v>94</v>
      </c>
      <c r="Z1096" s="0" t="s">
        <v>1972</v>
      </c>
      <c r="AA1096" s="0" t="s">
        <v>220</v>
      </c>
      <c r="AB1096" s="0" t="s">
        <v>3740</v>
      </c>
      <c r="AD1096" s="0" t="s">
        <v>7953</v>
      </c>
      <c r="AF1096" s="0" t="s">
        <v>301</v>
      </c>
      <c r="AP1096" s="0" t="s">
        <v>305</v>
      </c>
      <c r="BA1096" s="0">
        <v>544</v>
      </c>
      <c r="BB1096" s="0" t="s">
        <v>232</v>
      </c>
      <c r="BC1096" s="0">
        <v>2</v>
      </c>
      <c r="BD1096" s="0">
        <v>8</v>
      </c>
      <c r="BE1096" s="0">
        <v>112779</v>
      </c>
      <c r="BF1096" s="0">
        <v>2</v>
      </c>
      <c r="BG1096" s="0" t="s">
        <v>7990</v>
      </c>
      <c r="BI1096" s="0">
        <v>3742</v>
      </c>
      <c r="BK1096" s="0" t="s">
        <v>7991</v>
      </c>
    </row>
    <row r="1097">
      <c r="A1097" s="0">
        <v>5855</v>
      </c>
      <c r="B1097" s="0" t="s">
        <v>7992</v>
      </c>
      <c r="C1097" s="0" t="s">
        <v>339</v>
      </c>
      <c r="D1097" s="0" t="s">
        <v>7952</v>
      </c>
      <c r="E1097" s="0" t="s">
        <v>7993</v>
      </c>
      <c r="F1097" s="0">
        <v>2</v>
      </c>
      <c r="G1097" s="0" t="s">
        <v>400</v>
      </c>
      <c r="I1097" s="0" t="s">
        <v>1668</v>
      </c>
      <c r="J1097" s="0" t="s">
        <v>319</v>
      </c>
      <c r="K1097" s="0" t="s">
        <v>398</v>
      </c>
      <c r="L1097" s="0" t="s">
        <v>948</v>
      </c>
      <c r="P1097" s="0" t="s">
        <v>7994</v>
      </c>
      <c r="Q1097" s="0" t="s">
        <v>7994</v>
      </c>
      <c r="R1097" s="0" t="s">
        <v>556</v>
      </c>
      <c r="T1097" s="0" t="s">
        <v>7995</v>
      </c>
      <c r="W1097" s="0" t="s">
        <v>7952</v>
      </c>
      <c r="X1097" s="0" t="s">
        <v>529</v>
      </c>
      <c r="Y1097" s="0" t="s">
        <v>94</v>
      </c>
      <c r="Z1097" s="0" t="s">
        <v>1972</v>
      </c>
      <c r="AA1097" s="0" t="s">
        <v>220</v>
      </c>
      <c r="AB1097" s="0" t="s">
        <v>3740</v>
      </c>
      <c r="AD1097" s="0" t="s">
        <v>7953</v>
      </c>
      <c r="AF1097" s="0" t="s">
        <v>301</v>
      </c>
      <c r="AP1097" s="0" t="s">
        <v>305</v>
      </c>
      <c r="BA1097" s="0">
        <v>544</v>
      </c>
      <c r="BB1097" s="0" t="s">
        <v>232</v>
      </c>
      <c r="BC1097" s="0">
        <v>2</v>
      </c>
      <c r="BD1097" s="0">
        <v>8</v>
      </c>
      <c r="BE1097" s="0">
        <v>112779</v>
      </c>
      <c r="BF1097" s="0">
        <v>2</v>
      </c>
      <c r="BG1097" s="0" t="s">
        <v>7996</v>
      </c>
      <c r="BI1097" s="0">
        <v>1714</v>
      </c>
      <c r="BK1097" s="0" t="s">
        <v>7997</v>
      </c>
    </row>
    <row r="1098">
      <c r="A1098" s="0">
        <v>5851</v>
      </c>
      <c r="B1098" s="0" t="s">
        <v>7998</v>
      </c>
      <c r="C1098" s="0" t="s">
        <v>339</v>
      </c>
      <c r="D1098" s="0" t="s">
        <v>7952</v>
      </c>
      <c r="E1098" s="0" t="s">
        <v>7999</v>
      </c>
      <c r="F1098" s="0">
        <v>2</v>
      </c>
      <c r="G1098" s="0" t="s">
        <v>400</v>
      </c>
      <c r="I1098" s="0" t="s">
        <v>1668</v>
      </c>
      <c r="J1098" s="0" t="s">
        <v>319</v>
      </c>
      <c r="K1098" s="0" t="s">
        <v>398</v>
      </c>
      <c r="L1098" s="0" t="s">
        <v>948</v>
      </c>
      <c r="P1098" s="0" t="s">
        <v>7994</v>
      </c>
      <c r="R1098" s="0" t="s">
        <v>8000</v>
      </c>
      <c r="T1098" s="0" t="s">
        <v>8001</v>
      </c>
      <c r="W1098" s="0" t="s">
        <v>7952</v>
      </c>
      <c r="X1098" s="0" t="s">
        <v>529</v>
      </c>
      <c r="Y1098" s="0" t="s">
        <v>94</v>
      </c>
      <c r="Z1098" s="0" t="s">
        <v>1972</v>
      </c>
      <c r="AA1098" s="0" t="s">
        <v>220</v>
      </c>
      <c r="AB1098" s="0" t="s">
        <v>3740</v>
      </c>
      <c r="AD1098" s="0" t="s">
        <v>7953</v>
      </c>
      <c r="AF1098" s="0" t="s">
        <v>301</v>
      </c>
      <c r="AP1098" s="0" t="s">
        <v>305</v>
      </c>
      <c r="BA1098" s="0">
        <v>544</v>
      </c>
      <c r="BB1098" s="0" t="s">
        <v>232</v>
      </c>
      <c r="BC1098" s="0">
        <v>2</v>
      </c>
      <c r="BD1098" s="0">
        <v>8</v>
      </c>
      <c r="BE1098" s="0">
        <v>112779</v>
      </c>
      <c r="BF1098" s="0">
        <v>2</v>
      </c>
      <c r="BG1098" s="0" t="s">
        <v>8002</v>
      </c>
      <c r="BI1098" s="0">
        <v>1144</v>
      </c>
      <c r="BK1098" s="0" t="s">
        <v>8003</v>
      </c>
    </row>
    <row r="1099">
      <c r="A1099" s="0">
        <v>5850</v>
      </c>
      <c r="B1099" s="0" t="s">
        <v>8004</v>
      </c>
      <c r="C1099" s="0" t="s">
        <v>339</v>
      </c>
      <c r="D1099" s="0" t="s">
        <v>7952</v>
      </c>
      <c r="E1099" s="0" t="s">
        <v>8005</v>
      </c>
      <c r="F1099" s="0">
        <v>2</v>
      </c>
      <c r="G1099" s="0" t="s">
        <v>400</v>
      </c>
      <c r="I1099" s="0" t="s">
        <v>1668</v>
      </c>
      <c r="J1099" s="0" t="s">
        <v>319</v>
      </c>
      <c r="K1099" s="0" t="s">
        <v>398</v>
      </c>
      <c r="L1099" s="0" t="s">
        <v>948</v>
      </c>
      <c r="P1099" s="0" t="s">
        <v>7994</v>
      </c>
      <c r="Q1099" s="0" t="s">
        <v>7994</v>
      </c>
      <c r="R1099" s="0" t="s">
        <v>556</v>
      </c>
      <c r="T1099" s="0" t="s">
        <v>8006</v>
      </c>
      <c r="W1099" s="0" t="s">
        <v>7952</v>
      </c>
      <c r="X1099" s="0" t="s">
        <v>529</v>
      </c>
      <c r="Y1099" s="0" t="s">
        <v>94</v>
      </c>
      <c r="Z1099" s="0" t="s">
        <v>1972</v>
      </c>
      <c r="AA1099" s="0" t="s">
        <v>220</v>
      </c>
      <c r="AB1099" s="0" t="s">
        <v>3740</v>
      </c>
      <c r="AD1099" s="0" t="s">
        <v>7953</v>
      </c>
      <c r="AF1099" s="0" t="s">
        <v>301</v>
      </c>
      <c r="AP1099" s="0" t="s">
        <v>305</v>
      </c>
      <c r="BA1099" s="0">
        <v>544</v>
      </c>
      <c r="BB1099" s="0" t="s">
        <v>232</v>
      </c>
      <c r="BC1099" s="0">
        <v>2</v>
      </c>
      <c r="BD1099" s="0">
        <v>8</v>
      </c>
      <c r="BE1099" s="0">
        <v>112779</v>
      </c>
      <c r="BF1099" s="0">
        <v>2</v>
      </c>
      <c r="BG1099" s="0" t="s">
        <v>8007</v>
      </c>
      <c r="BI1099" s="0">
        <v>815</v>
      </c>
      <c r="BK1099" s="0" t="s">
        <v>8008</v>
      </c>
    </row>
    <row r="1100">
      <c r="A1100" s="0">
        <v>5858</v>
      </c>
      <c r="B1100" s="0" t="s">
        <v>8009</v>
      </c>
      <c r="C1100" s="0" t="s">
        <v>315</v>
      </c>
      <c r="D1100" s="0" t="s">
        <v>7952</v>
      </c>
      <c r="E1100" s="0" t="s">
        <v>8010</v>
      </c>
      <c r="F1100" s="0">
        <v>3</v>
      </c>
      <c r="G1100" s="0" t="s">
        <v>319</v>
      </c>
      <c r="H1100" s="0" t="s">
        <v>8011</v>
      </c>
      <c r="I1100" s="0" t="s">
        <v>524</v>
      </c>
      <c r="J1100" s="0" t="s">
        <v>293</v>
      </c>
      <c r="K1100" s="0" t="s">
        <v>294</v>
      </c>
      <c r="L1100" s="0" t="s">
        <v>8012</v>
      </c>
      <c r="T1100" s="0" t="s">
        <v>8013</v>
      </c>
      <c r="U1100" s="0" t="s">
        <v>8014</v>
      </c>
      <c r="W1100" s="0" t="s">
        <v>7952</v>
      </c>
      <c r="X1100" s="0" t="s">
        <v>347</v>
      </c>
      <c r="Y1100" s="0" t="s">
        <v>94</v>
      </c>
      <c r="Z1100" s="0" t="s">
        <v>1972</v>
      </c>
      <c r="AA1100" s="0" t="s">
        <v>220</v>
      </c>
      <c r="AB1100" s="0" t="s">
        <v>3740</v>
      </c>
      <c r="AD1100" s="0" t="s">
        <v>7953</v>
      </c>
      <c r="AF1100" s="0" t="s">
        <v>301</v>
      </c>
      <c r="AM1100" s="0" t="s">
        <v>2967</v>
      </c>
      <c r="AN1100" s="0" t="s">
        <v>504</v>
      </c>
      <c r="AO1100" s="0" t="s">
        <v>311</v>
      </c>
      <c r="AP1100" s="0" t="s">
        <v>305</v>
      </c>
      <c r="AQ1100" s="0" t="s">
        <v>1575</v>
      </c>
      <c r="AR1100" s="0" t="s">
        <v>1302</v>
      </c>
      <c r="AS1100" s="0">
        <v>100</v>
      </c>
      <c r="AT1100" s="0">
        <v>214</v>
      </c>
      <c r="AU1100" s="0">
        <v>240</v>
      </c>
      <c r="AV1100" s="0" t="s">
        <v>308</v>
      </c>
      <c r="AX1100" s="0" t="s">
        <v>462</v>
      </c>
      <c r="AY1100" s="0" t="s">
        <v>512</v>
      </c>
      <c r="AZ1100" s="0" t="s">
        <v>2750</v>
      </c>
      <c r="BA1100" s="0">
        <v>544</v>
      </c>
      <c r="BB1100" s="0" t="s">
        <v>232</v>
      </c>
      <c r="BC1100" s="0">
        <v>2</v>
      </c>
      <c r="BD1100" s="0">
        <v>374043</v>
      </c>
      <c r="BE1100" s="0">
        <v>112779</v>
      </c>
      <c r="BF1100" s="0">
        <v>4</v>
      </c>
      <c r="BG1100" s="0" t="s">
        <v>8015</v>
      </c>
      <c r="BI1100" s="0">
        <v>2399</v>
      </c>
      <c r="BK1100" s="0" t="s">
        <v>8016</v>
      </c>
    </row>
    <row r="1101">
      <c r="A1101" s="0">
        <v>5859</v>
      </c>
      <c r="B1101" s="0" t="s">
        <v>8017</v>
      </c>
      <c r="C1101" s="0" t="s">
        <v>290</v>
      </c>
      <c r="D1101" s="0" t="s">
        <v>7952</v>
      </c>
      <c r="E1101" s="0" t="s">
        <v>8018</v>
      </c>
      <c r="F1101" s="0">
        <v>9</v>
      </c>
      <c r="G1101" s="0" t="s">
        <v>319</v>
      </c>
      <c r="H1101" s="0" t="s">
        <v>1292</v>
      </c>
      <c r="I1101" s="0" t="s">
        <v>1293</v>
      </c>
      <c r="J1101" s="0" t="s">
        <v>293</v>
      </c>
      <c r="K1101" s="0" t="s">
        <v>294</v>
      </c>
      <c r="L1101" s="0" t="s">
        <v>918</v>
      </c>
      <c r="T1101" s="0" t="s">
        <v>8019</v>
      </c>
      <c r="U1101" s="0" t="s">
        <v>8020</v>
      </c>
      <c r="W1101" s="0" t="s">
        <v>7952</v>
      </c>
      <c r="X1101" s="0" t="s">
        <v>347</v>
      </c>
      <c r="Y1101" s="0" t="s">
        <v>94</v>
      </c>
      <c r="Z1101" s="0" t="s">
        <v>1972</v>
      </c>
      <c r="AA1101" s="0" t="s">
        <v>220</v>
      </c>
      <c r="AB1101" s="0" t="s">
        <v>3740</v>
      </c>
      <c r="AD1101" s="0" t="s">
        <v>7953</v>
      </c>
      <c r="AF1101" s="0" t="s">
        <v>301</v>
      </c>
      <c r="AP1101" s="0" t="s">
        <v>305</v>
      </c>
      <c r="BA1101" s="0">
        <v>544</v>
      </c>
      <c r="BB1101" s="0" t="s">
        <v>232</v>
      </c>
      <c r="BC1101" s="0">
        <v>2</v>
      </c>
      <c r="BD1101" s="0">
        <v>374053</v>
      </c>
      <c r="BE1101" s="0">
        <v>112779</v>
      </c>
      <c r="BF1101" s="0">
        <v>4</v>
      </c>
      <c r="BG1101" s="0" t="s">
        <v>8021</v>
      </c>
      <c r="BI1101" s="0">
        <v>2593</v>
      </c>
      <c r="BK1101" s="0" t="s">
        <v>8022</v>
      </c>
    </row>
    <row r="1102">
      <c r="A1102" s="0">
        <v>5856</v>
      </c>
      <c r="B1102" s="0" t="s">
        <v>8023</v>
      </c>
      <c r="C1102" s="0" t="s">
        <v>2060</v>
      </c>
      <c r="D1102" s="0" t="s">
        <v>7415</v>
      </c>
      <c r="E1102" s="0" t="s">
        <v>8024</v>
      </c>
      <c r="F1102" s="0">
        <v>3</v>
      </c>
      <c r="G1102" s="0" t="s">
        <v>293</v>
      </c>
      <c r="H1102" s="0" t="s">
        <v>294</v>
      </c>
      <c r="I1102" s="0" t="s">
        <v>918</v>
      </c>
      <c r="J1102" s="0" t="s">
        <v>319</v>
      </c>
      <c r="K1102" s="0" t="s">
        <v>1292</v>
      </c>
      <c r="L1102" s="0" t="s">
        <v>497</v>
      </c>
      <c r="T1102" s="0" t="s">
        <v>8025</v>
      </c>
      <c r="U1102" s="0" t="s">
        <v>8026</v>
      </c>
      <c r="W1102" s="0" t="s">
        <v>7952</v>
      </c>
      <c r="X1102" s="0" t="s">
        <v>347</v>
      </c>
      <c r="Y1102" s="0" t="s">
        <v>94</v>
      </c>
      <c r="Z1102" s="0" t="s">
        <v>1972</v>
      </c>
      <c r="AA1102" s="0" t="s">
        <v>220</v>
      </c>
      <c r="AB1102" s="0" t="s">
        <v>3740</v>
      </c>
      <c r="AD1102" s="0" t="s">
        <v>7953</v>
      </c>
      <c r="AF1102" s="0" t="s">
        <v>301</v>
      </c>
      <c r="AP1102" s="0" t="s">
        <v>305</v>
      </c>
      <c r="BA1102" s="0">
        <v>544</v>
      </c>
      <c r="BB1102" s="0" t="s">
        <v>232</v>
      </c>
      <c r="BC1102" s="0">
        <v>2</v>
      </c>
      <c r="BD1102" s="0">
        <v>374064</v>
      </c>
      <c r="BE1102" s="0">
        <v>112779</v>
      </c>
      <c r="BF1102" s="0">
        <v>4</v>
      </c>
      <c r="BG1102" s="0" t="s">
        <v>8027</v>
      </c>
      <c r="BI1102" s="0">
        <v>1958</v>
      </c>
      <c r="BK1102" s="0" t="s">
        <v>8028</v>
      </c>
    </row>
    <row r="1103">
      <c r="A1103" s="0">
        <v>6170</v>
      </c>
      <c r="B1103" s="0" t="s">
        <v>8029</v>
      </c>
      <c r="C1103" s="0" t="s">
        <v>339</v>
      </c>
      <c r="D1103" s="0" t="s">
        <v>7948</v>
      </c>
      <c r="E1103" s="0" t="s">
        <v>8030</v>
      </c>
      <c r="F1103" s="0">
        <v>2</v>
      </c>
      <c r="G1103" s="0" t="s">
        <v>508</v>
      </c>
      <c r="I1103" s="0" t="s">
        <v>8031</v>
      </c>
      <c r="J1103" s="0" t="s">
        <v>319</v>
      </c>
      <c r="K1103" s="0" t="s">
        <v>523</v>
      </c>
      <c r="L1103" s="0" t="s">
        <v>1268</v>
      </c>
      <c r="P1103" s="0" t="s">
        <v>323</v>
      </c>
      <c r="Q1103" s="0" t="s">
        <v>1203</v>
      </c>
      <c r="R1103" s="0" t="s">
        <v>1612</v>
      </c>
      <c r="T1103" s="0" t="s">
        <v>8032</v>
      </c>
      <c r="W1103" s="0" t="s">
        <v>7952</v>
      </c>
      <c r="X1103" s="0" t="s">
        <v>529</v>
      </c>
      <c r="Y1103" s="0" t="s">
        <v>94</v>
      </c>
      <c r="Z1103" s="0" t="s">
        <v>1972</v>
      </c>
      <c r="AA1103" s="0" t="s">
        <v>220</v>
      </c>
      <c r="AB1103" s="0" t="s">
        <v>3740</v>
      </c>
      <c r="AD1103" s="0" t="s">
        <v>7953</v>
      </c>
      <c r="AF1103" s="0" t="s">
        <v>301</v>
      </c>
      <c r="AP1103" s="0" t="s">
        <v>305</v>
      </c>
      <c r="BA1103" s="0">
        <v>544</v>
      </c>
      <c r="BB1103" s="0" t="s">
        <v>232</v>
      </c>
      <c r="BC1103" s="0">
        <v>2</v>
      </c>
      <c r="BD1103" s="0">
        <v>8</v>
      </c>
      <c r="BE1103" s="0">
        <v>112779</v>
      </c>
      <c r="BF1103" s="0">
        <v>2</v>
      </c>
      <c r="BG1103" s="0" t="s">
        <v>8033</v>
      </c>
      <c r="BI1103" s="0">
        <v>3636</v>
      </c>
      <c r="BK1103" s="0" t="s">
        <v>8034</v>
      </c>
    </row>
    <row r="1104">
      <c r="A1104" s="0">
        <v>6177</v>
      </c>
      <c r="B1104" s="0" t="s">
        <v>8035</v>
      </c>
      <c r="C1104" s="0" t="s">
        <v>315</v>
      </c>
      <c r="D1104" s="0" t="s">
        <v>8036</v>
      </c>
      <c r="E1104" s="0" t="s">
        <v>8037</v>
      </c>
      <c r="F1104" s="0">
        <v>2</v>
      </c>
      <c r="G1104" s="0" t="s">
        <v>525</v>
      </c>
      <c r="H1104" s="0" t="s">
        <v>8038</v>
      </c>
      <c r="J1104" s="0" t="s">
        <v>294</v>
      </c>
      <c r="L1104" s="0" t="s">
        <v>295</v>
      </c>
      <c r="P1104" s="0" t="s">
        <v>323</v>
      </c>
      <c r="Q1104" s="0" t="s">
        <v>323</v>
      </c>
      <c r="R1104" s="0" t="s">
        <v>8039</v>
      </c>
      <c r="T1104" s="0" t="s">
        <v>8040</v>
      </c>
      <c r="U1104" s="0" t="s">
        <v>8041</v>
      </c>
      <c r="W1104" s="0" t="s">
        <v>7952</v>
      </c>
      <c r="X1104" s="0" t="s">
        <v>347</v>
      </c>
      <c r="Y1104" s="0" t="s">
        <v>94</v>
      </c>
      <c r="Z1104" s="0" t="s">
        <v>1972</v>
      </c>
      <c r="AA1104" s="0" t="s">
        <v>220</v>
      </c>
      <c r="AB1104" s="0" t="s">
        <v>3740</v>
      </c>
      <c r="AD1104" s="0" t="s">
        <v>7953</v>
      </c>
      <c r="AF1104" s="0" t="s">
        <v>301</v>
      </c>
      <c r="AP1104" s="0" t="s">
        <v>305</v>
      </c>
      <c r="BA1104" s="0">
        <v>544</v>
      </c>
      <c r="BB1104" s="0" t="s">
        <v>232</v>
      </c>
      <c r="BC1104" s="0">
        <v>2</v>
      </c>
      <c r="BD1104" s="0">
        <v>374043</v>
      </c>
      <c r="BE1104" s="0">
        <v>112779</v>
      </c>
      <c r="BF1104" s="0">
        <v>4</v>
      </c>
      <c r="BG1104" s="0" t="s">
        <v>8042</v>
      </c>
      <c r="BI1104" s="0">
        <v>4167</v>
      </c>
      <c r="BK1104" s="0" t="s">
        <v>8043</v>
      </c>
    </row>
    <row r="1105">
      <c r="A1105" s="0">
        <v>6176</v>
      </c>
      <c r="B1105" s="0" t="s">
        <v>8044</v>
      </c>
      <c r="C1105" s="0" t="s">
        <v>2060</v>
      </c>
      <c r="D1105" s="0" t="s">
        <v>7948</v>
      </c>
      <c r="E1105" s="0" t="s">
        <v>8045</v>
      </c>
      <c r="F1105" s="0">
        <v>2</v>
      </c>
      <c r="G1105" s="0" t="s">
        <v>525</v>
      </c>
      <c r="H1105" s="0" t="s">
        <v>400</v>
      </c>
      <c r="I1105" s="0" t="s">
        <v>3594</v>
      </c>
      <c r="J1105" s="0" t="s">
        <v>294</v>
      </c>
      <c r="L1105" s="0" t="s">
        <v>295</v>
      </c>
      <c r="P1105" s="0" t="s">
        <v>323</v>
      </c>
      <c r="Q1105" s="0" t="s">
        <v>323</v>
      </c>
      <c r="R1105" s="0" t="s">
        <v>8039</v>
      </c>
      <c r="T1105" s="0" t="s">
        <v>8046</v>
      </c>
      <c r="U1105" s="0" t="s">
        <v>8047</v>
      </c>
      <c r="W1105" s="0" t="s">
        <v>7952</v>
      </c>
      <c r="X1105" s="0" t="s">
        <v>347</v>
      </c>
      <c r="Y1105" s="0" t="s">
        <v>94</v>
      </c>
      <c r="Z1105" s="0" t="s">
        <v>1972</v>
      </c>
      <c r="AA1105" s="0" t="s">
        <v>220</v>
      </c>
      <c r="AB1105" s="0" t="s">
        <v>3740</v>
      </c>
      <c r="AD1105" s="0" t="s">
        <v>7953</v>
      </c>
      <c r="AF1105" s="0" t="s">
        <v>301</v>
      </c>
      <c r="AP1105" s="0" t="s">
        <v>305</v>
      </c>
      <c r="BA1105" s="0">
        <v>544</v>
      </c>
      <c r="BB1105" s="0" t="s">
        <v>232</v>
      </c>
      <c r="BC1105" s="0">
        <v>2</v>
      </c>
      <c r="BD1105" s="0">
        <v>374064</v>
      </c>
      <c r="BE1105" s="0">
        <v>112779</v>
      </c>
      <c r="BF1105" s="0">
        <v>4</v>
      </c>
      <c r="BG1105" s="0" t="s">
        <v>8048</v>
      </c>
      <c r="BI1105" s="0">
        <v>4096</v>
      </c>
      <c r="BK1105" s="0" t="s">
        <v>8049</v>
      </c>
    </row>
    <row r="1106">
      <c r="A1106" s="0">
        <v>6178</v>
      </c>
      <c r="B1106" s="0" t="s">
        <v>8050</v>
      </c>
      <c r="C1106" s="0" t="s">
        <v>2060</v>
      </c>
      <c r="D1106" s="0" t="s">
        <v>7948</v>
      </c>
      <c r="E1106" s="0" t="s">
        <v>8051</v>
      </c>
      <c r="F1106" s="0">
        <v>2</v>
      </c>
      <c r="G1106" s="0" t="s">
        <v>525</v>
      </c>
      <c r="H1106" s="0" t="s">
        <v>400</v>
      </c>
      <c r="I1106" s="0" t="s">
        <v>3594</v>
      </c>
      <c r="J1106" s="0" t="s">
        <v>294</v>
      </c>
      <c r="K1106" s="0" t="s">
        <v>295</v>
      </c>
      <c r="T1106" s="0" t="s">
        <v>8052</v>
      </c>
      <c r="U1106" s="0" t="s">
        <v>8053</v>
      </c>
      <c r="W1106" s="0" t="s">
        <v>7952</v>
      </c>
      <c r="X1106" s="0" t="s">
        <v>347</v>
      </c>
      <c r="Y1106" s="0" t="s">
        <v>94</v>
      </c>
      <c r="Z1106" s="0" t="s">
        <v>1972</v>
      </c>
      <c r="AA1106" s="0" t="s">
        <v>220</v>
      </c>
      <c r="AB1106" s="0" t="s">
        <v>3740</v>
      </c>
      <c r="AD1106" s="0" t="s">
        <v>7953</v>
      </c>
      <c r="AF1106" s="0" t="s">
        <v>301</v>
      </c>
      <c r="AP1106" s="0" t="s">
        <v>305</v>
      </c>
      <c r="BA1106" s="0">
        <v>544</v>
      </c>
      <c r="BB1106" s="0" t="s">
        <v>232</v>
      </c>
      <c r="BC1106" s="0">
        <v>2</v>
      </c>
      <c r="BD1106" s="0">
        <v>374064</v>
      </c>
      <c r="BE1106" s="0">
        <v>112779</v>
      </c>
      <c r="BF1106" s="0">
        <v>4</v>
      </c>
      <c r="BG1106" s="0" t="s">
        <v>8054</v>
      </c>
      <c r="BI1106" s="0">
        <v>4235</v>
      </c>
      <c r="BK1106" s="0" t="s">
        <v>8055</v>
      </c>
    </row>
    <row r="1107">
      <c r="A1107" s="0">
        <v>6184</v>
      </c>
      <c r="B1107" s="0" t="s">
        <v>8056</v>
      </c>
      <c r="C1107" s="0" t="s">
        <v>656</v>
      </c>
      <c r="D1107" s="0" t="s">
        <v>8036</v>
      </c>
      <c r="E1107" s="0" t="s">
        <v>8057</v>
      </c>
      <c r="F1107" s="0">
        <v>2</v>
      </c>
      <c r="G1107" s="0" t="s">
        <v>319</v>
      </c>
      <c r="H1107" s="0" t="s">
        <v>8058</v>
      </c>
      <c r="I1107" s="0" t="s">
        <v>8059</v>
      </c>
      <c r="J1107" s="0" t="s">
        <v>508</v>
      </c>
      <c r="K1107" s="0" t="s">
        <v>729</v>
      </c>
      <c r="M1107" s="0" t="s">
        <v>293</v>
      </c>
      <c r="N1107" s="0" t="s">
        <v>294</v>
      </c>
      <c r="O1107" s="0" t="s">
        <v>4223</v>
      </c>
      <c r="P1107" s="0" t="s">
        <v>343</v>
      </c>
      <c r="Q1107" s="0" t="s">
        <v>343</v>
      </c>
      <c r="T1107" s="0" t="s">
        <v>8060</v>
      </c>
      <c r="U1107" s="0" t="s">
        <v>8061</v>
      </c>
      <c r="W1107" s="0" t="s">
        <v>7952</v>
      </c>
      <c r="X1107" s="0" t="s">
        <v>347</v>
      </c>
      <c r="Y1107" s="0" t="s">
        <v>94</v>
      </c>
      <c r="Z1107" s="0" t="s">
        <v>1972</v>
      </c>
      <c r="AA1107" s="0" t="s">
        <v>220</v>
      </c>
      <c r="AB1107" s="0" t="s">
        <v>3740</v>
      </c>
      <c r="AD1107" s="0" t="s">
        <v>7953</v>
      </c>
      <c r="AF1107" s="0" t="s">
        <v>301</v>
      </c>
      <c r="AP1107" s="0" t="s">
        <v>305</v>
      </c>
      <c r="BA1107" s="0">
        <v>544</v>
      </c>
      <c r="BB1107" s="0" t="s">
        <v>232</v>
      </c>
      <c r="BC1107" s="0">
        <v>2</v>
      </c>
      <c r="BD1107" s="0">
        <v>10</v>
      </c>
      <c r="BE1107" s="0">
        <v>112779</v>
      </c>
      <c r="BF1107" s="0">
        <v>4</v>
      </c>
      <c r="BG1107" s="0" t="s">
        <v>8062</v>
      </c>
      <c r="BI1107" s="0">
        <v>4566</v>
      </c>
      <c r="BK1107" s="0" t="s">
        <v>8063</v>
      </c>
    </row>
    <row r="1108">
      <c r="A1108" s="0">
        <v>6175</v>
      </c>
      <c r="B1108" s="0" t="s">
        <v>8064</v>
      </c>
      <c r="C1108" s="0" t="s">
        <v>315</v>
      </c>
      <c r="D1108" s="0" t="s">
        <v>7948</v>
      </c>
      <c r="E1108" s="0" t="s">
        <v>8065</v>
      </c>
      <c r="F1108" s="0">
        <v>2</v>
      </c>
      <c r="G1108" s="0" t="s">
        <v>319</v>
      </c>
      <c r="H1108" s="0" t="s">
        <v>8011</v>
      </c>
      <c r="I1108" s="0" t="s">
        <v>8066</v>
      </c>
      <c r="J1108" s="0" t="s">
        <v>508</v>
      </c>
      <c r="M1108" s="0" t="s">
        <v>294</v>
      </c>
      <c r="O1108" s="0" t="s">
        <v>8067</v>
      </c>
      <c r="T1108" s="0" t="s">
        <v>8068</v>
      </c>
      <c r="U1108" s="0" t="s">
        <v>8069</v>
      </c>
      <c r="W1108" s="0" t="s">
        <v>7952</v>
      </c>
      <c r="X1108" s="0" t="s">
        <v>347</v>
      </c>
      <c r="Y1108" s="0" t="s">
        <v>94</v>
      </c>
      <c r="Z1108" s="0" t="s">
        <v>1972</v>
      </c>
      <c r="AA1108" s="0" t="s">
        <v>220</v>
      </c>
      <c r="AB1108" s="0" t="s">
        <v>3740</v>
      </c>
      <c r="AD1108" s="0" t="s">
        <v>7953</v>
      </c>
      <c r="AF1108" s="0" t="s">
        <v>301</v>
      </c>
      <c r="AP1108" s="0" t="s">
        <v>305</v>
      </c>
      <c r="BA1108" s="0">
        <v>544</v>
      </c>
      <c r="BB1108" s="0" t="s">
        <v>232</v>
      </c>
      <c r="BC1108" s="0">
        <v>2</v>
      </c>
      <c r="BD1108" s="0">
        <v>374043</v>
      </c>
      <c r="BE1108" s="0">
        <v>112779</v>
      </c>
      <c r="BF1108" s="0">
        <v>4</v>
      </c>
      <c r="BG1108" s="0" t="s">
        <v>8070</v>
      </c>
      <c r="BI1108" s="0">
        <v>4013</v>
      </c>
      <c r="BK1108" s="0" t="s">
        <v>8071</v>
      </c>
    </row>
    <row r="1109">
      <c r="A1109" s="0">
        <v>6174</v>
      </c>
      <c r="B1109" s="0" t="s">
        <v>8072</v>
      </c>
      <c r="C1109" s="0" t="s">
        <v>579</v>
      </c>
      <c r="D1109" s="0" t="s">
        <v>8073</v>
      </c>
      <c r="E1109" s="0" t="s">
        <v>8074</v>
      </c>
      <c r="F1109" s="0">
        <v>2</v>
      </c>
      <c r="G1109" s="0" t="s">
        <v>581</v>
      </c>
      <c r="I1109" s="0" t="s">
        <v>2131</v>
      </c>
      <c r="J1109" s="0" t="s">
        <v>294</v>
      </c>
      <c r="L1109" s="0" t="s">
        <v>918</v>
      </c>
      <c r="T1109" s="0" t="s">
        <v>8075</v>
      </c>
      <c r="U1109" s="0" t="s">
        <v>8076</v>
      </c>
      <c r="W1109" s="0" t="s">
        <v>7952</v>
      </c>
      <c r="X1109" s="0" t="s">
        <v>529</v>
      </c>
      <c r="Y1109" s="0" t="s">
        <v>94</v>
      </c>
      <c r="Z1109" s="0" t="s">
        <v>1972</v>
      </c>
      <c r="AA1109" s="0" t="s">
        <v>220</v>
      </c>
      <c r="AB1109" s="0" t="s">
        <v>3740</v>
      </c>
      <c r="AD1109" s="0" t="s">
        <v>7953</v>
      </c>
      <c r="AF1109" s="0" t="s">
        <v>301</v>
      </c>
      <c r="AP1109" s="0" t="s">
        <v>305</v>
      </c>
      <c r="BA1109" s="0">
        <v>544</v>
      </c>
      <c r="BB1109" s="0" t="s">
        <v>232</v>
      </c>
      <c r="BC1109" s="0">
        <v>2</v>
      </c>
      <c r="BD1109" s="0">
        <v>374046</v>
      </c>
      <c r="BE1109" s="0">
        <v>112779</v>
      </c>
      <c r="BF1109" s="0">
        <v>2</v>
      </c>
      <c r="BG1109" s="0" t="s">
        <v>8077</v>
      </c>
      <c r="BI1109" s="0">
        <v>3927</v>
      </c>
      <c r="BK1109" s="0" t="s">
        <v>8078</v>
      </c>
    </row>
    <row r="1110">
      <c r="A1110" s="0">
        <v>6173</v>
      </c>
      <c r="B1110" s="0" t="s">
        <v>8079</v>
      </c>
      <c r="C1110" s="0" t="s">
        <v>579</v>
      </c>
      <c r="D1110" s="0" t="s">
        <v>8073</v>
      </c>
      <c r="E1110" s="0" t="s">
        <v>8080</v>
      </c>
      <c r="F1110" s="0">
        <v>2</v>
      </c>
      <c r="G1110" s="0" t="s">
        <v>581</v>
      </c>
      <c r="I1110" s="0" t="s">
        <v>2131</v>
      </c>
      <c r="J1110" s="0" t="s">
        <v>294</v>
      </c>
      <c r="L1110" s="0" t="s">
        <v>918</v>
      </c>
      <c r="T1110" s="0" t="s">
        <v>8081</v>
      </c>
      <c r="U1110" s="0" t="s">
        <v>8082</v>
      </c>
      <c r="W1110" s="0" t="s">
        <v>7952</v>
      </c>
      <c r="X1110" s="0" t="s">
        <v>529</v>
      </c>
      <c r="Y1110" s="0" t="s">
        <v>94</v>
      </c>
      <c r="Z1110" s="0" t="s">
        <v>1972</v>
      </c>
      <c r="AA1110" s="0" t="s">
        <v>220</v>
      </c>
      <c r="AB1110" s="0" t="s">
        <v>3740</v>
      </c>
      <c r="AD1110" s="0" t="s">
        <v>7953</v>
      </c>
      <c r="AF1110" s="0" t="s">
        <v>301</v>
      </c>
      <c r="AP1110" s="0" t="s">
        <v>305</v>
      </c>
      <c r="BA1110" s="0">
        <v>544</v>
      </c>
      <c r="BB1110" s="0" t="s">
        <v>232</v>
      </c>
      <c r="BC1110" s="0">
        <v>2</v>
      </c>
      <c r="BD1110" s="0">
        <v>374046</v>
      </c>
      <c r="BE1110" s="0">
        <v>112779</v>
      </c>
      <c r="BF1110" s="0">
        <v>2</v>
      </c>
      <c r="BG1110" s="0" t="s">
        <v>8083</v>
      </c>
      <c r="BI1110" s="0">
        <v>3838</v>
      </c>
      <c r="BK1110" s="0" t="s">
        <v>8084</v>
      </c>
    </row>
    <row r="1111">
      <c r="A1111" s="0">
        <v>6181</v>
      </c>
      <c r="C1111" s="0" t="s">
        <v>315</v>
      </c>
      <c r="D1111" s="0" t="s">
        <v>7948</v>
      </c>
      <c r="E1111" s="0" t="s">
        <v>8085</v>
      </c>
      <c r="F1111" s="0">
        <v>1</v>
      </c>
      <c r="G1111" s="0" t="s">
        <v>8086</v>
      </c>
      <c r="H1111" s="0" t="s">
        <v>8087</v>
      </c>
      <c r="I1111" s="0" t="s">
        <v>5408</v>
      </c>
      <c r="T1111" s="0" t="s">
        <v>8088</v>
      </c>
      <c r="W1111" s="0" t="s">
        <v>7952</v>
      </c>
      <c r="X1111" s="0" t="s">
        <v>529</v>
      </c>
      <c r="Y1111" s="0" t="s">
        <v>94</v>
      </c>
      <c r="Z1111" s="0" t="s">
        <v>1972</v>
      </c>
      <c r="AA1111" s="0" t="s">
        <v>220</v>
      </c>
      <c r="AB1111" s="0" t="s">
        <v>3740</v>
      </c>
      <c r="AD1111" s="0" t="s">
        <v>7953</v>
      </c>
      <c r="AF1111" s="0" t="s">
        <v>301</v>
      </c>
      <c r="AP1111" s="0" t="s">
        <v>305</v>
      </c>
      <c r="BA1111" s="0">
        <v>544</v>
      </c>
      <c r="BB1111" s="0" t="s">
        <v>232</v>
      </c>
      <c r="BC1111" s="0">
        <v>2</v>
      </c>
      <c r="BD1111" s="0">
        <v>374043</v>
      </c>
      <c r="BE1111" s="0">
        <v>112779</v>
      </c>
      <c r="BF1111" s="0">
        <v>2</v>
      </c>
      <c r="BG1111" s="0" t="s">
        <v>8089</v>
      </c>
      <c r="BI1111" s="0">
        <v>4418</v>
      </c>
      <c r="BK1111" s="0" t="s">
        <v>8090</v>
      </c>
    </row>
    <row r="1112">
      <c r="A1112" s="0">
        <v>5876</v>
      </c>
      <c r="B1112" s="0" t="s">
        <v>8091</v>
      </c>
      <c r="C1112" s="0" t="s">
        <v>339</v>
      </c>
      <c r="D1112" s="0" t="s">
        <v>7952</v>
      </c>
      <c r="E1112" s="0" t="s">
        <v>7500</v>
      </c>
      <c r="F1112" s="0">
        <v>1</v>
      </c>
      <c r="G1112" s="0" t="s">
        <v>319</v>
      </c>
      <c r="H1112" s="0" t="s">
        <v>523</v>
      </c>
      <c r="I1112" s="0" t="s">
        <v>1268</v>
      </c>
      <c r="P1112" s="0" t="s">
        <v>323</v>
      </c>
      <c r="Q1112" s="0" t="s">
        <v>323</v>
      </c>
      <c r="R1112" s="0" t="s">
        <v>2488</v>
      </c>
      <c r="U1112" s="0" t="s">
        <v>8092</v>
      </c>
      <c r="W1112" s="0" t="s">
        <v>8093</v>
      </c>
      <c r="X1112" s="0" t="s">
        <v>347</v>
      </c>
      <c r="Y1112" s="0" t="s">
        <v>46</v>
      </c>
      <c r="Z1112" s="0" t="s">
        <v>8094</v>
      </c>
      <c r="AA1112" s="0" t="s">
        <v>119</v>
      </c>
      <c r="AB1112" s="0" t="s">
        <v>300</v>
      </c>
      <c r="AF1112" s="0" t="s">
        <v>301</v>
      </c>
      <c r="AP1112" s="0" t="s">
        <v>305</v>
      </c>
      <c r="BA1112" s="0">
        <v>545</v>
      </c>
      <c r="BB1112" s="0" t="s">
        <v>232</v>
      </c>
      <c r="BC1112" s="0">
        <v>2</v>
      </c>
      <c r="BD1112" s="0">
        <v>8</v>
      </c>
      <c r="BE1112" s="0">
        <v>413</v>
      </c>
      <c r="BF1112" s="0">
        <v>4</v>
      </c>
      <c r="BG1112" s="0" t="s">
        <v>8095</v>
      </c>
      <c r="BI1112" s="0">
        <v>1957</v>
      </c>
      <c r="BK1112" s="0" t="s">
        <v>8096</v>
      </c>
    </row>
    <row r="1113">
      <c r="A1113" s="0">
        <v>5886</v>
      </c>
      <c r="B1113" s="0" t="s">
        <v>8097</v>
      </c>
      <c r="C1113" s="0" t="s">
        <v>315</v>
      </c>
      <c r="D1113" s="0" t="s">
        <v>7952</v>
      </c>
      <c r="E1113" s="0" t="s">
        <v>8098</v>
      </c>
      <c r="F1113" s="0">
        <v>1</v>
      </c>
      <c r="G1113" s="0" t="s">
        <v>319</v>
      </c>
      <c r="H1113" s="0" t="s">
        <v>658</v>
      </c>
      <c r="I1113" s="0" t="s">
        <v>321</v>
      </c>
      <c r="P1113" s="0" t="s">
        <v>323</v>
      </c>
      <c r="Q1113" s="0" t="s">
        <v>323</v>
      </c>
      <c r="R1113" s="0" t="s">
        <v>1791</v>
      </c>
      <c r="U1113" s="0" t="s">
        <v>8099</v>
      </c>
      <c r="W1113" s="0" t="s">
        <v>8093</v>
      </c>
      <c r="X1113" s="0" t="s">
        <v>347</v>
      </c>
      <c r="Y1113" s="0" t="s">
        <v>46</v>
      </c>
      <c r="Z1113" s="0" t="s">
        <v>8094</v>
      </c>
      <c r="AA1113" s="0" t="s">
        <v>119</v>
      </c>
      <c r="AB1113" s="0" t="s">
        <v>300</v>
      </c>
      <c r="AF1113" s="0" t="s">
        <v>301</v>
      </c>
      <c r="AP1113" s="0" t="s">
        <v>305</v>
      </c>
      <c r="BA1113" s="0">
        <v>545</v>
      </c>
      <c r="BB1113" s="0" t="s">
        <v>232</v>
      </c>
      <c r="BC1113" s="0">
        <v>2</v>
      </c>
      <c r="BD1113" s="0">
        <v>374043</v>
      </c>
      <c r="BE1113" s="0">
        <v>413</v>
      </c>
      <c r="BF1113" s="0">
        <v>4</v>
      </c>
      <c r="BG1113" s="0" t="s">
        <v>8100</v>
      </c>
      <c r="BI1113" s="0">
        <v>3108</v>
      </c>
      <c r="BK1113" s="0" t="s">
        <v>8101</v>
      </c>
    </row>
    <row r="1114">
      <c r="A1114" s="0">
        <v>5885</v>
      </c>
      <c r="B1114" s="0" t="s">
        <v>8102</v>
      </c>
      <c r="C1114" s="0" t="s">
        <v>315</v>
      </c>
      <c r="D1114" s="0" t="s">
        <v>7952</v>
      </c>
      <c r="E1114" s="0" t="s">
        <v>8103</v>
      </c>
      <c r="F1114" s="0">
        <v>1</v>
      </c>
      <c r="G1114" s="0" t="s">
        <v>319</v>
      </c>
      <c r="H1114" s="0" t="s">
        <v>658</v>
      </c>
      <c r="I1114" s="0" t="s">
        <v>321</v>
      </c>
      <c r="J1114" s="0" t="s">
        <v>525</v>
      </c>
      <c r="K1114" s="0" t="s">
        <v>508</v>
      </c>
      <c r="P1114" s="0" t="s">
        <v>323</v>
      </c>
      <c r="Q1114" s="0" t="s">
        <v>323</v>
      </c>
      <c r="R1114" s="0" t="s">
        <v>1791</v>
      </c>
      <c r="U1114" s="0" t="s">
        <v>8104</v>
      </c>
      <c r="W1114" s="0" t="s">
        <v>8093</v>
      </c>
      <c r="X1114" s="0" t="s">
        <v>347</v>
      </c>
      <c r="Y1114" s="0" t="s">
        <v>46</v>
      </c>
      <c r="Z1114" s="0" t="s">
        <v>8094</v>
      </c>
      <c r="AA1114" s="0" t="s">
        <v>119</v>
      </c>
      <c r="AB1114" s="0" t="s">
        <v>300</v>
      </c>
      <c r="AF1114" s="0" t="s">
        <v>301</v>
      </c>
      <c r="AP1114" s="0" t="s">
        <v>305</v>
      </c>
      <c r="BA1114" s="0">
        <v>545</v>
      </c>
      <c r="BB1114" s="0" t="s">
        <v>232</v>
      </c>
      <c r="BC1114" s="0">
        <v>2</v>
      </c>
      <c r="BD1114" s="0">
        <v>374043</v>
      </c>
      <c r="BE1114" s="0">
        <v>413</v>
      </c>
      <c r="BF1114" s="0">
        <v>4</v>
      </c>
      <c r="BG1114" s="0" t="s">
        <v>8105</v>
      </c>
      <c r="BI1114" s="0">
        <v>2942</v>
      </c>
      <c r="BK1114" s="0" t="s">
        <v>8106</v>
      </c>
    </row>
    <row r="1115">
      <c r="A1115" s="0">
        <v>5880</v>
      </c>
      <c r="B1115" s="0" t="s">
        <v>8107</v>
      </c>
      <c r="C1115" s="0" t="s">
        <v>315</v>
      </c>
      <c r="D1115" s="0" t="s">
        <v>7952</v>
      </c>
      <c r="E1115" s="0" t="s">
        <v>8108</v>
      </c>
      <c r="F1115" s="0">
        <v>1</v>
      </c>
      <c r="G1115" s="0" t="s">
        <v>319</v>
      </c>
      <c r="H1115" s="0" t="s">
        <v>1745</v>
      </c>
      <c r="I1115" s="0" t="s">
        <v>321</v>
      </c>
      <c r="J1115" s="0" t="s">
        <v>525</v>
      </c>
      <c r="K1115" s="0" t="s">
        <v>400</v>
      </c>
      <c r="P1115" s="0" t="s">
        <v>323</v>
      </c>
      <c r="Q1115" s="0" t="s">
        <v>343</v>
      </c>
      <c r="R1115" s="0" t="s">
        <v>961</v>
      </c>
      <c r="U1115" s="0" t="s">
        <v>8109</v>
      </c>
      <c r="W1115" s="0" t="s">
        <v>8093</v>
      </c>
      <c r="X1115" s="0" t="s">
        <v>347</v>
      </c>
      <c r="Y1115" s="0" t="s">
        <v>46</v>
      </c>
      <c r="Z1115" s="0" t="s">
        <v>8094</v>
      </c>
      <c r="AA1115" s="0" t="s">
        <v>119</v>
      </c>
      <c r="AB1115" s="0" t="s">
        <v>300</v>
      </c>
      <c r="AF1115" s="0" t="s">
        <v>301</v>
      </c>
      <c r="AP1115" s="0" t="s">
        <v>305</v>
      </c>
      <c r="BA1115" s="0">
        <v>545</v>
      </c>
      <c r="BB1115" s="0" t="s">
        <v>232</v>
      </c>
      <c r="BC1115" s="0">
        <v>2</v>
      </c>
      <c r="BD1115" s="0">
        <v>374043</v>
      </c>
      <c r="BE1115" s="0">
        <v>413</v>
      </c>
      <c r="BF1115" s="0">
        <v>4</v>
      </c>
      <c r="BG1115" s="0" t="s">
        <v>8110</v>
      </c>
      <c r="BI1115" s="0">
        <v>2769</v>
      </c>
      <c r="BK1115" s="0" t="s">
        <v>8111</v>
      </c>
    </row>
    <row r="1116">
      <c r="A1116" s="0">
        <v>5878</v>
      </c>
      <c r="B1116" s="0" t="s">
        <v>8112</v>
      </c>
      <c r="C1116" s="0" t="s">
        <v>945</v>
      </c>
      <c r="D1116" s="0" t="s">
        <v>7952</v>
      </c>
      <c r="E1116" s="0" t="s">
        <v>8113</v>
      </c>
      <c r="F1116" s="0">
        <v>1</v>
      </c>
      <c r="G1116" s="0" t="s">
        <v>319</v>
      </c>
      <c r="H1116" s="0" t="s">
        <v>523</v>
      </c>
      <c r="I1116" s="0" t="s">
        <v>8114</v>
      </c>
      <c r="P1116" s="0" t="s">
        <v>343</v>
      </c>
      <c r="Q1116" s="0" t="s">
        <v>343</v>
      </c>
      <c r="T1116" s="0" t="s">
        <v>8115</v>
      </c>
      <c r="U1116" s="0" t="s">
        <v>8116</v>
      </c>
      <c r="W1116" s="0" t="s">
        <v>8093</v>
      </c>
      <c r="X1116" s="0" t="s">
        <v>347</v>
      </c>
      <c r="Y1116" s="0" t="s">
        <v>46</v>
      </c>
      <c r="Z1116" s="0" t="s">
        <v>8094</v>
      </c>
      <c r="AA1116" s="0" t="s">
        <v>119</v>
      </c>
      <c r="AB1116" s="0" t="s">
        <v>300</v>
      </c>
      <c r="AF1116" s="0" t="s">
        <v>301</v>
      </c>
      <c r="AM1116" s="0" t="s">
        <v>8117</v>
      </c>
      <c r="AN1116" s="0" t="s">
        <v>8118</v>
      </c>
      <c r="AO1116" s="0" t="s">
        <v>8119</v>
      </c>
      <c r="AP1116" s="0" t="s">
        <v>305</v>
      </c>
      <c r="AQ1116" s="0" t="s">
        <v>8120</v>
      </c>
      <c r="AR1116" s="0" t="s">
        <v>8121</v>
      </c>
      <c r="AS1116" s="0">
        <v>21</v>
      </c>
      <c r="AT1116" s="0">
        <v>42</v>
      </c>
      <c r="AU1116" s="0">
        <v>50</v>
      </c>
      <c r="AV1116" s="0" t="s">
        <v>332</v>
      </c>
      <c r="AW1116" s="0" t="s">
        <v>331</v>
      </c>
      <c r="AX1116" s="0" t="s">
        <v>8122</v>
      </c>
      <c r="AY1116" s="0" t="s">
        <v>8123</v>
      </c>
      <c r="AZ1116" s="0" t="s">
        <v>8124</v>
      </c>
      <c r="BA1116" s="0">
        <v>545</v>
      </c>
      <c r="BB1116" s="0" t="s">
        <v>232</v>
      </c>
      <c r="BC1116" s="0">
        <v>2</v>
      </c>
      <c r="BD1116" s="0">
        <v>14</v>
      </c>
      <c r="BE1116" s="0">
        <v>413</v>
      </c>
      <c r="BF1116" s="0">
        <v>4</v>
      </c>
      <c r="BG1116" s="0" t="s">
        <v>8125</v>
      </c>
      <c r="BI1116" s="0">
        <v>2398</v>
      </c>
      <c r="BK1116" s="0" t="s">
        <v>8126</v>
      </c>
    </row>
    <row r="1117">
      <c r="A1117" s="0">
        <v>5879</v>
      </c>
      <c r="B1117" s="0" t="s">
        <v>8127</v>
      </c>
      <c r="C1117" s="0" t="s">
        <v>315</v>
      </c>
      <c r="D1117" s="0" t="s">
        <v>7952</v>
      </c>
      <c r="E1117" s="0" t="s">
        <v>8128</v>
      </c>
      <c r="F1117" s="0">
        <v>1</v>
      </c>
      <c r="G1117" s="0" t="s">
        <v>293</v>
      </c>
      <c r="H1117" s="0" t="s">
        <v>294</v>
      </c>
      <c r="I1117" s="0" t="s">
        <v>295</v>
      </c>
      <c r="J1117" s="0" t="s">
        <v>594</v>
      </c>
      <c r="K1117" s="0" t="s">
        <v>8129</v>
      </c>
      <c r="L1117" s="0" t="s">
        <v>549</v>
      </c>
      <c r="P1117" s="0" t="s">
        <v>343</v>
      </c>
      <c r="Q1117" s="0" t="s">
        <v>343</v>
      </c>
      <c r="U1117" s="0" t="s">
        <v>8130</v>
      </c>
      <c r="W1117" s="0" t="s">
        <v>8093</v>
      </c>
      <c r="X1117" s="0" t="s">
        <v>347</v>
      </c>
      <c r="Y1117" s="0" t="s">
        <v>46</v>
      </c>
      <c r="Z1117" s="0" t="s">
        <v>8094</v>
      </c>
      <c r="AA1117" s="0" t="s">
        <v>119</v>
      </c>
      <c r="AB1117" s="0" t="s">
        <v>300</v>
      </c>
      <c r="AF1117" s="0" t="s">
        <v>301</v>
      </c>
      <c r="AP1117" s="0" t="s">
        <v>305</v>
      </c>
      <c r="BA1117" s="0">
        <v>545</v>
      </c>
      <c r="BB1117" s="0" t="s">
        <v>232</v>
      </c>
      <c r="BC1117" s="0">
        <v>2</v>
      </c>
      <c r="BD1117" s="0">
        <v>374043</v>
      </c>
      <c r="BE1117" s="0">
        <v>413</v>
      </c>
      <c r="BF1117" s="0">
        <v>4</v>
      </c>
      <c r="BG1117" s="0" t="s">
        <v>8131</v>
      </c>
      <c r="BI1117" s="0">
        <v>2594</v>
      </c>
      <c r="BK1117" s="0" t="s">
        <v>8132</v>
      </c>
    </row>
    <row r="1118">
      <c r="A1118" s="0">
        <v>5877</v>
      </c>
      <c r="B1118" s="0" t="s">
        <v>8133</v>
      </c>
      <c r="C1118" s="0" t="s">
        <v>945</v>
      </c>
      <c r="D1118" s="0" t="s">
        <v>7952</v>
      </c>
      <c r="E1118" s="0" t="s">
        <v>8134</v>
      </c>
      <c r="F1118" s="0">
        <v>1</v>
      </c>
      <c r="G1118" s="0" t="s">
        <v>319</v>
      </c>
      <c r="H1118" s="0" t="s">
        <v>523</v>
      </c>
      <c r="I1118" s="0" t="s">
        <v>5139</v>
      </c>
      <c r="J1118" s="0" t="s">
        <v>525</v>
      </c>
      <c r="K1118" s="0" t="s">
        <v>508</v>
      </c>
      <c r="P1118" s="0" t="s">
        <v>323</v>
      </c>
      <c r="Q1118" s="0" t="s">
        <v>343</v>
      </c>
      <c r="R1118" s="0" t="s">
        <v>1783</v>
      </c>
      <c r="U1118" s="0" t="s">
        <v>8135</v>
      </c>
      <c r="W1118" s="0" t="s">
        <v>8093</v>
      </c>
      <c r="X1118" s="0" t="s">
        <v>347</v>
      </c>
      <c r="Y1118" s="0" t="s">
        <v>46</v>
      </c>
      <c r="Z1118" s="0" t="s">
        <v>8094</v>
      </c>
      <c r="AA1118" s="0" t="s">
        <v>119</v>
      </c>
      <c r="AB1118" s="0" t="s">
        <v>300</v>
      </c>
      <c r="AF1118" s="0" t="s">
        <v>301</v>
      </c>
      <c r="AM1118" s="0" t="s">
        <v>608</v>
      </c>
      <c r="AN1118" s="0" t="s">
        <v>504</v>
      </c>
      <c r="AO1118" s="0" t="s">
        <v>487</v>
      </c>
      <c r="AP1118" s="0" t="s">
        <v>305</v>
      </c>
      <c r="AQ1118" s="0" t="s">
        <v>1575</v>
      </c>
      <c r="AR1118" s="0" t="s">
        <v>1450</v>
      </c>
      <c r="AS1118" s="0">
        <v>110</v>
      </c>
      <c r="AT1118" s="0">
        <v>224</v>
      </c>
      <c r="AU1118" s="0">
        <v>256</v>
      </c>
      <c r="AV1118" s="0" t="s">
        <v>332</v>
      </c>
      <c r="AX1118" s="0" t="s">
        <v>912</v>
      </c>
      <c r="AY1118" s="0" t="s">
        <v>422</v>
      </c>
      <c r="AZ1118" s="0" t="s">
        <v>503</v>
      </c>
      <c r="BA1118" s="0">
        <v>545</v>
      </c>
      <c r="BB1118" s="0" t="s">
        <v>232</v>
      </c>
      <c r="BC1118" s="0">
        <v>2</v>
      </c>
      <c r="BD1118" s="0">
        <v>14</v>
      </c>
      <c r="BE1118" s="0">
        <v>413</v>
      </c>
      <c r="BF1118" s="0">
        <v>4</v>
      </c>
      <c r="BG1118" s="0" t="s">
        <v>8136</v>
      </c>
      <c r="BI1118" s="0">
        <v>2186</v>
      </c>
      <c r="BK1118" s="0" t="s">
        <v>8137</v>
      </c>
    </row>
    <row r="1119">
      <c r="A1119" s="0">
        <v>5875</v>
      </c>
      <c r="B1119" s="0" t="s">
        <v>8138</v>
      </c>
      <c r="C1119" s="0" t="s">
        <v>8139</v>
      </c>
      <c r="D1119" s="0" t="s">
        <v>7952</v>
      </c>
      <c r="E1119" s="0" t="s">
        <v>8140</v>
      </c>
      <c r="F1119" s="0">
        <v>1</v>
      </c>
      <c r="G1119" s="0" t="s">
        <v>319</v>
      </c>
      <c r="H1119" s="0" t="s">
        <v>1745</v>
      </c>
      <c r="I1119" s="0" t="s">
        <v>1746</v>
      </c>
      <c r="J1119" s="0" t="s">
        <v>525</v>
      </c>
      <c r="K1119" s="0" t="s">
        <v>400</v>
      </c>
      <c r="L1119" s="0" t="s">
        <v>1668</v>
      </c>
      <c r="P1119" s="0" t="s">
        <v>323</v>
      </c>
      <c r="Q1119" s="0" t="s">
        <v>323</v>
      </c>
      <c r="R1119" s="0" t="s">
        <v>903</v>
      </c>
      <c r="T1119" s="0" t="s">
        <v>8141</v>
      </c>
      <c r="U1119" s="0" t="s">
        <v>8142</v>
      </c>
      <c r="W1119" s="0" t="s">
        <v>8093</v>
      </c>
      <c r="X1119" s="0" t="s">
        <v>529</v>
      </c>
      <c r="Y1119" s="0" t="s">
        <v>46</v>
      </c>
      <c r="Z1119" s="0" t="s">
        <v>8094</v>
      </c>
      <c r="AA1119" s="0" t="s">
        <v>119</v>
      </c>
      <c r="AB1119" s="0" t="s">
        <v>300</v>
      </c>
      <c r="AF1119" s="0" t="s">
        <v>301</v>
      </c>
      <c r="AP1119" s="0" t="s">
        <v>305</v>
      </c>
      <c r="BA1119" s="0">
        <v>545</v>
      </c>
      <c r="BB1119" s="0" t="s">
        <v>232</v>
      </c>
      <c r="BC1119" s="0">
        <v>2</v>
      </c>
      <c r="BD1119" s="0">
        <v>374088</v>
      </c>
      <c r="BE1119" s="0">
        <v>413</v>
      </c>
      <c r="BF1119" s="0">
        <v>2</v>
      </c>
      <c r="BG1119" s="0" t="s">
        <v>8143</v>
      </c>
      <c r="BI1119" s="0">
        <v>2397</v>
      </c>
      <c r="BK1119" s="0" t="s">
        <v>8144</v>
      </c>
    </row>
    <row r="1120">
      <c r="A1120" s="0">
        <v>6000</v>
      </c>
      <c r="B1120" s="0" t="s">
        <v>8145</v>
      </c>
      <c r="C1120" s="0" t="s">
        <v>315</v>
      </c>
      <c r="D1120" s="0" t="s">
        <v>7952</v>
      </c>
      <c r="E1120" s="0" t="s">
        <v>8146</v>
      </c>
      <c r="F1120" s="0">
        <v>1</v>
      </c>
      <c r="G1120" s="0" t="s">
        <v>319</v>
      </c>
      <c r="H1120" s="0" t="s">
        <v>1188</v>
      </c>
      <c r="I1120" s="0" t="s">
        <v>524</v>
      </c>
      <c r="J1120" s="0" t="s">
        <v>525</v>
      </c>
      <c r="K1120" s="0" t="s">
        <v>400</v>
      </c>
      <c r="L1120" s="0" t="s">
        <v>4069</v>
      </c>
      <c r="P1120" s="0" t="s">
        <v>343</v>
      </c>
      <c r="Q1120" s="0" t="s">
        <v>343</v>
      </c>
      <c r="T1120" s="0" t="s">
        <v>8147</v>
      </c>
      <c r="U1120" s="0" t="s">
        <v>8148</v>
      </c>
      <c r="W1120" s="0" t="s">
        <v>8093</v>
      </c>
      <c r="X1120" s="0" t="s">
        <v>347</v>
      </c>
      <c r="Y1120" s="0" t="s">
        <v>46</v>
      </c>
      <c r="Z1120" s="0" t="s">
        <v>8094</v>
      </c>
      <c r="AA1120" s="0" t="s">
        <v>119</v>
      </c>
      <c r="AB1120" s="0" t="s">
        <v>300</v>
      </c>
      <c r="AF1120" s="0" t="s">
        <v>301</v>
      </c>
      <c r="AP1120" s="0" t="s">
        <v>305</v>
      </c>
      <c r="BA1120" s="0">
        <v>545</v>
      </c>
      <c r="BB1120" s="0" t="s">
        <v>232</v>
      </c>
      <c r="BC1120" s="0">
        <v>2</v>
      </c>
      <c r="BD1120" s="0">
        <v>374043</v>
      </c>
      <c r="BE1120" s="0">
        <v>413</v>
      </c>
      <c r="BF1120" s="0">
        <v>4</v>
      </c>
      <c r="BG1120" s="0" t="s">
        <v>8149</v>
      </c>
      <c r="BI1120" s="0">
        <v>3258</v>
      </c>
      <c r="BK1120" s="0" t="s">
        <v>8150</v>
      </c>
    </row>
    <row r="1121">
      <c r="A1121" s="0">
        <v>5871</v>
      </c>
      <c r="B1121" s="0" t="s">
        <v>8151</v>
      </c>
      <c r="C1121" s="0" t="s">
        <v>315</v>
      </c>
      <c r="D1121" s="0" t="s">
        <v>7952</v>
      </c>
      <c r="E1121" s="0" t="s">
        <v>8152</v>
      </c>
      <c r="F1121" s="0">
        <v>1</v>
      </c>
      <c r="G1121" s="0" t="s">
        <v>319</v>
      </c>
      <c r="H1121" s="0" t="s">
        <v>523</v>
      </c>
      <c r="I1121" s="0" t="s">
        <v>1268</v>
      </c>
      <c r="J1121" s="0" t="s">
        <v>525</v>
      </c>
      <c r="K1121" s="0" t="s">
        <v>400</v>
      </c>
      <c r="L1121" s="0" t="s">
        <v>469</v>
      </c>
      <c r="P1121" s="0" t="s">
        <v>323</v>
      </c>
      <c r="Q1121" s="0" t="s">
        <v>343</v>
      </c>
      <c r="R1121" s="0" t="s">
        <v>1783</v>
      </c>
      <c r="T1121" s="0" t="s">
        <v>8153</v>
      </c>
      <c r="U1121" s="0" t="s">
        <v>8154</v>
      </c>
      <c r="W1121" s="0" t="s">
        <v>8093</v>
      </c>
      <c r="X1121" s="0" t="s">
        <v>347</v>
      </c>
      <c r="Y1121" s="0" t="s">
        <v>46</v>
      </c>
      <c r="Z1121" s="0" t="s">
        <v>8094</v>
      </c>
      <c r="AA1121" s="0" t="s">
        <v>119</v>
      </c>
      <c r="AB1121" s="0" t="s">
        <v>300</v>
      </c>
      <c r="AF1121" s="0" t="s">
        <v>301</v>
      </c>
      <c r="AP1121" s="0" t="s">
        <v>305</v>
      </c>
      <c r="BA1121" s="0">
        <v>545</v>
      </c>
      <c r="BB1121" s="0" t="s">
        <v>232</v>
      </c>
      <c r="BC1121" s="0">
        <v>2</v>
      </c>
      <c r="BD1121" s="0">
        <v>374043</v>
      </c>
      <c r="BE1121" s="0">
        <v>413</v>
      </c>
      <c r="BF1121" s="0">
        <v>4</v>
      </c>
      <c r="BG1121" s="0" t="s">
        <v>8155</v>
      </c>
      <c r="BI1121" s="0">
        <v>1448</v>
      </c>
      <c r="BK1121" s="0" t="s">
        <v>8156</v>
      </c>
    </row>
    <row r="1122">
      <c r="A1122" s="0">
        <v>5872</v>
      </c>
      <c r="B1122" s="0" t="s">
        <v>8157</v>
      </c>
      <c r="C1122" s="0" t="s">
        <v>315</v>
      </c>
      <c r="D1122" s="0" t="s">
        <v>7952</v>
      </c>
      <c r="E1122" s="0" t="s">
        <v>8158</v>
      </c>
      <c r="F1122" s="0">
        <v>1</v>
      </c>
      <c r="G1122" s="0" t="s">
        <v>319</v>
      </c>
      <c r="H1122" s="0" t="s">
        <v>523</v>
      </c>
      <c r="I1122" s="0" t="s">
        <v>1268</v>
      </c>
      <c r="J1122" s="0" t="s">
        <v>525</v>
      </c>
      <c r="K1122" s="0" t="s">
        <v>400</v>
      </c>
      <c r="L1122" s="0" t="s">
        <v>469</v>
      </c>
      <c r="P1122" s="0" t="s">
        <v>343</v>
      </c>
      <c r="Q1122" s="0" t="s">
        <v>343</v>
      </c>
      <c r="T1122" s="0" t="s">
        <v>8159</v>
      </c>
      <c r="U1122" s="0" t="s">
        <v>8160</v>
      </c>
      <c r="W1122" s="0" t="s">
        <v>8093</v>
      </c>
      <c r="X1122" s="0" t="s">
        <v>347</v>
      </c>
      <c r="Y1122" s="0" t="s">
        <v>46</v>
      </c>
      <c r="Z1122" s="0" t="s">
        <v>8094</v>
      </c>
      <c r="AA1122" s="0" t="s">
        <v>119</v>
      </c>
      <c r="AB1122" s="0" t="s">
        <v>300</v>
      </c>
      <c r="AF1122" s="0" t="s">
        <v>301</v>
      </c>
      <c r="AP1122" s="0" t="s">
        <v>305</v>
      </c>
      <c r="BA1122" s="0">
        <v>545</v>
      </c>
      <c r="BB1122" s="0" t="s">
        <v>232</v>
      </c>
      <c r="BC1122" s="0">
        <v>2</v>
      </c>
      <c r="BD1122" s="0">
        <v>374043</v>
      </c>
      <c r="BE1122" s="0">
        <v>413</v>
      </c>
      <c r="BF1122" s="0">
        <v>4</v>
      </c>
      <c r="BG1122" s="0" t="s">
        <v>8161</v>
      </c>
      <c r="BI1122" s="0">
        <v>1713</v>
      </c>
      <c r="BK1122" s="0" t="s">
        <v>8162</v>
      </c>
    </row>
    <row r="1123">
      <c r="A1123" s="0">
        <v>5873</v>
      </c>
      <c r="B1123" s="0" t="s">
        <v>8163</v>
      </c>
      <c r="C1123" s="0" t="s">
        <v>315</v>
      </c>
      <c r="D1123" s="0" t="s">
        <v>7952</v>
      </c>
      <c r="E1123" s="0" t="s">
        <v>8164</v>
      </c>
      <c r="F1123" s="0">
        <v>1</v>
      </c>
      <c r="G1123" s="0" t="s">
        <v>319</v>
      </c>
      <c r="H1123" s="0" t="s">
        <v>523</v>
      </c>
      <c r="I1123" s="0" t="s">
        <v>1268</v>
      </c>
      <c r="J1123" s="0" t="s">
        <v>525</v>
      </c>
      <c r="K1123" s="0" t="s">
        <v>400</v>
      </c>
      <c r="L1123" s="0" t="s">
        <v>469</v>
      </c>
      <c r="P1123" s="0" t="s">
        <v>343</v>
      </c>
      <c r="Q1123" s="0" t="s">
        <v>343</v>
      </c>
      <c r="T1123" s="0" t="s">
        <v>8165</v>
      </c>
      <c r="U1123" s="0" t="s">
        <v>8166</v>
      </c>
      <c r="W1123" s="0" t="s">
        <v>8093</v>
      </c>
      <c r="X1123" s="0" t="s">
        <v>347</v>
      </c>
      <c r="Y1123" s="0" t="s">
        <v>46</v>
      </c>
      <c r="Z1123" s="0" t="s">
        <v>8094</v>
      </c>
      <c r="AA1123" s="0" t="s">
        <v>119</v>
      </c>
      <c r="AB1123" s="0" t="s">
        <v>300</v>
      </c>
      <c r="AF1123" s="0" t="s">
        <v>301</v>
      </c>
      <c r="AP1123" s="0" t="s">
        <v>305</v>
      </c>
      <c r="BA1123" s="0">
        <v>545</v>
      </c>
      <c r="BB1123" s="0" t="s">
        <v>232</v>
      </c>
      <c r="BC1123" s="0">
        <v>2</v>
      </c>
      <c r="BD1123" s="0">
        <v>374043</v>
      </c>
      <c r="BE1123" s="0">
        <v>413</v>
      </c>
      <c r="BF1123" s="0">
        <v>4</v>
      </c>
      <c r="BG1123" s="0" t="s">
        <v>8167</v>
      </c>
      <c r="BI1123" s="0">
        <v>1956</v>
      </c>
      <c r="BK1123" s="0" t="s">
        <v>8168</v>
      </c>
    </row>
    <row r="1124">
      <c r="A1124" s="0">
        <v>5874</v>
      </c>
      <c r="B1124" s="0" t="s">
        <v>8169</v>
      </c>
      <c r="C1124" s="0" t="s">
        <v>315</v>
      </c>
      <c r="D1124" s="0" t="s">
        <v>7952</v>
      </c>
      <c r="E1124" s="0" t="s">
        <v>8170</v>
      </c>
      <c r="F1124" s="0">
        <v>1</v>
      </c>
      <c r="G1124" s="0" t="s">
        <v>319</v>
      </c>
      <c r="H1124" s="0" t="s">
        <v>398</v>
      </c>
      <c r="I1124" s="0" t="s">
        <v>6530</v>
      </c>
      <c r="J1124" s="0" t="s">
        <v>525</v>
      </c>
      <c r="K1124" s="0" t="s">
        <v>400</v>
      </c>
      <c r="P1124" s="0" t="s">
        <v>323</v>
      </c>
      <c r="Q1124" s="0" t="s">
        <v>323</v>
      </c>
      <c r="R1124" s="0" t="s">
        <v>526</v>
      </c>
      <c r="U1124" s="0" t="s">
        <v>8171</v>
      </c>
      <c r="W1124" s="0" t="s">
        <v>8093</v>
      </c>
      <c r="X1124" s="0" t="s">
        <v>347</v>
      </c>
      <c r="Y1124" s="0" t="s">
        <v>46</v>
      </c>
      <c r="Z1124" s="0" t="s">
        <v>8094</v>
      </c>
      <c r="AA1124" s="0" t="s">
        <v>119</v>
      </c>
      <c r="AB1124" s="0" t="s">
        <v>300</v>
      </c>
      <c r="AF1124" s="0" t="s">
        <v>301</v>
      </c>
      <c r="AP1124" s="0" t="s">
        <v>305</v>
      </c>
      <c r="BA1124" s="0">
        <v>545</v>
      </c>
      <c r="BB1124" s="0" t="s">
        <v>232</v>
      </c>
      <c r="BC1124" s="0">
        <v>2</v>
      </c>
      <c r="BD1124" s="0">
        <v>374043</v>
      </c>
      <c r="BE1124" s="0">
        <v>413</v>
      </c>
      <c r="BF1124" s="0">
        <v>4</v>
      </c>
      <c r="BG1124" s="0" t="s">
        <v>8172</v>
      </c>
      <c r="BI1124" s="0">
        <v>2187</v>
      </c>
      <c r="BK1124" s="0" t="s">
        <v>8173</v>
      </c>
    </row>
    <row r="1125">
      <c r="A1125" s="0">
        <v>5882</v>
      </c>
      <c r="B1125" s="0" t="s">
        <v>8174</v>
      </c>
      <c r="C1125" s="0" t="s">
        <v>339</v>
      </c>
      <c r="D1125" s="0" t="s">
        <v>7873</v>
      </c>
      <c r="E1125" s="0" t="s">
        <v>8175</v>
      </c>
      <c r="F1125" s="0">
        <v>2</v>
      </c>
      <c r="G1125" s="0" t="s">
        <v>400</v>
      </c>
      <c r="H1125" s="0" t="s">
        <v>3204</v>
      </c>
      <c r="J1125" s="0" t="s">
        <v>319</v>
      </c>
      <c r="K1125" s="0" t="s">
        <v>1745</v>
      </c>
      <c r="L1125" s="0" t="s">
        <v>524</v>
      </c>
      <c r="P1125" s="0" t="s">
        <v>323</v>
      </c>
      <c r="Q1125" s="0" t="s">
        <v>868</v>
      </c>
      <c r="R1125" s="0" t="s">
        <v>4585</v>
      </c>
      <c r="T1125" s="0" t="s">
        <v>8176</v>
      </c>
      <c r="W1125" s="0" t="s">
        <v>7873</v>
      </c>
      <c r="X1125" s="0" t="s">
        <v>529</v>
      </c>
      <c r="Y1125" s="0" t="s">
        <v>126</v>
      </c>
      <c r="Z1125" s="0" t="s">
        <v>5349</v>
      </c>
      <c r="AA1125" s="0" t="s">
        <v>125</v>
      </c>
      <c r="AB1125" s="0" t="s">
        <v>531</v>
      </c>
      <c r="AC1125" s="0" t="s">
        <v>571</v>
      </c>
      <c r="AD1125" s="0" t="s">
        <v>8177</v>
      </c>
      <c r="AF1125" s="0" t="s">
        <v>1688</v>
      </c>
      <c r="AM1125" s="0" t="s">
        <v>8178</v>
      </c>
      <c r="AN1125" s="0" t="s">
        <v>1047</v>
      </c>
      <c r="AO1125" s="0" t="s">
        <v>391</v>
      </c>
      <c r="AP1125" s="0" t="s">
        <v>305</v>
      </c>
      <c r="AU1125" s="0">
        <v>128</v>
      </c>
      <c r="AV1125" s="0" t="s">
        <v>332</v>
      </c>
      <c r="AX1125" s="0" t="s">
        <v>491</v>
      </c>
      <c r="AY1125" s="0" t="s">
        <v>8179</v>
      </c>
      <c r="AZ1125" s="0" t="s">
        <v>598</v>
      </c>
      <c r="BA1125" s="0">
        <v>546</v>
      </c>
      <c r="BB1125" s="0" t="s">
        <v>232</v>
      </c>
      <c r="BC1125" s="0">
        <v>3</v>
      </c>
      <c r="BD1125" s="0">
        <v>8</v>
      </c>
      <c r="BE1125" s="0">
        <v>519644</v>
      </c>
      <c r="BF1125" s="0">
        <v>2</v>
      </c>
      <c r="BG1125" s="0" t="s">
        <v>8180</v>
      </c>
      <c r="BI1125" s="0">
        <v>812</v>
      </c>
      <c r="BK1125" s="0" t="s">
        <v>8181</v>
      </c>
    </row>
    <row r="1126">
      <c r="A1126" s="0">
        <v>5884</v>
      </c>
      <c r="B1126" s="0" t="s">
        <v>8182</v>
      </c>
      <c r="C1126" s="0" t="s">
        <v>315</v>
      </c>
      <c r="D1126" s="0" t="s">
        <v>7873</v>
      </c>
      <c r="E1126" s="0" t="s">
        <v>8183</v>
      </c>
      <c r="F1126" s="0">
        <v>2</v>
      </c>
      <c r="G1126" s="0" t="s">
        <v>319</v>
      </c>
      <c r="H1126" s="0" t="s">
        <v>483</v>
      </c>
      <c r="I1126" s="0" t="s">
        <v>8184</v>
      </c>
      <c r="J1126" s="0" t="s">
        <v>293</v>
      </c>
      <c r="K1126" s="0" t="s">
        <v>294</v>
      </c>
      <c r="L1126" s="0" t="s">
        <v>918</v>
      </c>
      <c r="T1126" s="0" t="s">
        <v>8185</v>
      </c>
      <c r="W1126" s="0" t="s">
        <v>7873</v>
      </c>
      <c r="X1126" s="0" t="s">
        <v>1116</v>
      </c>
      <c r="Y1126" s="0" t="s">
        <v>126</v>
      </c>
      <c r="Z1126" s="0" t="s">
        <v>5349</v>
      </c>
      <c r="AA1126" s="0" t="s">
        <v>125</v>
      </c>
      <c r="AB1126" s="0" t="s">
        <v>531</v>
      </c>
      <c r="AC1126" s="0" t="s">
        <v>571</v>
      </c>
      <c r="AD1126" s="0" t="s">
        <v>8177</v>
      </c>
      <c r="AF1126" s="0" t="s">
        <v>1688</v>
      </c>
      <c r="AM1126" s="0" t="s">
        <v>387</v>
      </c>
      <c r="AN1126" s="0" t="s">
        <v>964</v>
      </c>
      <c r="AO1126" s="0" t="s">
        <v>683</v>
      </c>
      <c r="AP1126" s="0" t="s">
        <v>305</v>
      </c>
      <c r="AU1126" s="0">
        <v>420</v>
      </c>
      <c r="AV1126" s="0" t="s">
        <v>332</v>
      </c>
      <c r="AX1126" s="0" t="s">
        <v>474</v>
      </c>
      <c r="AY1126" s="0" t="s">
        <v>311</v>
      </c>
      <c r="AZ1126" s="0" t="s">
        <v>1070</v>
      </c>
      <c r="BA1126" s="0">
        <v>546</v>
      </c>
      <c r="BB1126" s="0" t="s">
        <v>232</v>
      </c>
      <c r="BC1126" s="0">
        <v>3</v>
      </c>
      <c r="BD1126" s="0">
        <v>374043</v>
      </c>
      <c r="BE1126" s="0">
        <v>519644</v>
      </c>
      <c r="BF1126" s="0">
        <v>1</v>
      </c>
      <c r="BG1126" s="0" t="s">
        <v>8186</v>
      </c>
      <c r="BI1126" s="0">
        <v>1445</v>
      </c>
      <c r="BK1126" s="0" t="s">
        <v>8187</v>
      </c>
    </row>
    <row r="1127">
      <c r="A1127" s="0">
        <v>5881</v>
      </c>
      <c r="B1127" s="0" t="s">
        <v>8188</v>
      </c>
      <c r="C1127" s="0" t="s">
        <v>339</v>
      </c>
      <c r="D1127" s="0" t="s">
        <v>7873</v>
      </c>
      <c r="E1127" s="0" t="s">
        <v>8189</v>
      </c>
      <c r="F1127" s="0">
        <v>2</v>
      </c>
      <c r="G1127" s="0" t="s">
        <v>508</v>
      </c>
      <c r="H1127" s="0" t="s">
        <v>8190</v>
      </c>
      <c r="I1127" s="0" t="s">
        <v>1268</v>
      </c>
      <c r="J1127" s="0" t="s">
        <v>319</v>
      </c>
      <c r="K1127" s="0" t="s">
        <v>523</v>
      </c>
      <c r="L1127" s="0" t="s">
        <v>1268</v>
      </c>
      <c r="M1127" s="0" t="s">
        <v>294</v>
      </c>
      <c r="N1127" s="0" t="s">
        <v>918</v>
      </c>
      <c r="P1127" s="0" t="s">
        <v>323</v>
      </c>
      <c r="Q1127" s="0" t="s">
        <v>323</v>
      </c>
      <c r="R1127" s="0" t="s">
        <v>2488</v>
      </c>
      <c r="T1127" s="0" t="s">
        <v>8191</v>
      </c>
      <c r="U1127" s="0" t="s">
        <v>8192</v>
      </c>
      <c r="V1127" s="0" t="s">
        <v>1139</v>
      </c>
      <c r="W1127" s="0" t="s">
        <v>7873</v>
      </c>
      <c r="X1127" s="0" t="s">
        <v>347</v>
      </c>
      <c r="Y1127" s="0" t="s">
        <v>126</v>
      </c>
      <c r="Z1127" s="0" t="s">
        <v>5349</v>
      </c>
      <c r="AA1127" s="0" t="s">
        <v>125</v>
      </c>
      <c r="AB1127" s="0" t="s">
        <v>531</v>
      </c>
      <c r="AC1127" s="0" t="s">
        <v>571</v>
      </c>
      <c r="AD1127" s="0" t="s">
        <v>8177</v>
      </c>
      <c r="AF1127" s="0" t="s">
        <v>1688</v>
      </c>
      <c r="AP1127" s="0" t="s">
        <v>305</v>
      </c>
      <c r="AU1127" s="0">
        <v>42</v>
      </c>
      <c r="AW1127" s="0" t="s">
        <v>8193</v>
      </c>
      <c r="AX1127" s="0" t="s">
        <v>573</v>
      </c>
      <c r="AY1127" s="0" t="s">
        <v>8194</v>
      </c>
      <c r="AZ1127" s="0" t="s">
        <v>392</v>
      </c>
      <c r="BA1127" s="0">
        <v>546</v>
      </c>
      <c r="BB1127" s="0" t="s">
        <v>232</v>
      </c>
      <c r="BC1127" s="0">
        <v>3</v>
      </c>
      <c r="BD1127" s="0">
        <v>8</v>
      </c>
      <c r="BE1127" s="0">
        <v>519644</v>
      </c>
      <c r="BF1127" s="0">
        <v>4</v>
      </c>
      <c r="BG1127" s="0" t="s">
        <v>8195</v>
      </c>
      <c r="BI1127" s="0">
        <v>417</v>
      </c>
      <c r="BK1127" s="0" t="s">
        <v>8196</v>
      </c>
    </row>
    <row r="1128">
      <c r="A1128" s="0">
        <v>5883</v>
      </c>
      <c r="B1128" s="0" t="s">
        <v>8197</v>
      </c>
      <c r="C1128" s="0" t="s">
        <v>945</v>
      </c>
      <c r="D1128" s="0" t="s">
        <v>7873</v>
      </c>
      <c r="E1128" s="0" t="s">
        <v>8198</v>
      </c>
      <c r="F1128" s="0">
        <v>2</v>
      </c>
      <c r="G1128" s="0" t="s">
        <v>508</v>
      </c>
      <c r="I1128" s="0" t="s">
        <v>5139</v>
      </c>
      <c r="J1128" s="0" t="s">
        <v>319</v>
      </c>
      <c r="K1128" s="0" t="s">
        <v>523</v>
      </c>
      <c r="L1128" s="0" t="s">
        <v>3933</v>
      </c>
      <c r="M1128" s="0" t="s">
        <v>294</v>
      </c>
      <c r="O1128" s="0" t="s">
        <v>918</v>
      </c>
      <c r="T1128" s="0" t="s">
        <v>8199</v>
      </c>
      <c r="W1128" s="0" t="s">
        <v>7873</v>
      </c>
      <c r="X1128" s="0" t="s">
        <v>1116</v>
      </c>
      <c r="Y1128" s="0" t="s">
        <v>126</v>
      </c>
      <c r="Z1128" s="0" t="s">
        <v>5349</v>
      </c>
      <c r="AA1128" s="0" t="s">
        <v>125</v>
      </c>
      <c r="AB1128" s="0" t="s">
        <v>531</v>
      </c>
      <c r="AC1128" s="0" t="s">
        <v>571</v>
      </c>
      <c r="AD1128" s="0" t="s">
        <v>8177</v>
      </c>
      <c r="AF1128" s="0" t="s">
        <v>1688</v>
      </c>
      <c r="AM1128" s="0" t="s">
        <v>1584</v>
      </c>
      <c r="AN1128" s="0" t="s">
        <v>309</v>
      </c>
      <c r="AO1128" s="0" t="s">
        <v>353</v>
      </c>
      <c r="AP1128" s="0" t="s">
        <v>305</v>
      </c>
      <c r="AU1128" s="0">
        <v>220</v>
      </c>
      <c r="AV1128" s="0" t="s">
        <v>332</v>
      </c>
      <c r="AX1128" s="0" t="s">
        <v>503</v>
      </c>
      <c r="AY1128" s="0" t="s">
        <v>513</v>
      </c>
      <c r="AZ1128" s="0" t="s">
        <v>599</v>
      </c>
      <c r="BA1128" s="0">
        <v>546</v>
      </c>
      <c r="BB1128" s="0" t="s">
        <v>232</v>
      </c>
      <c r="BC1128" s="0">
        <v>3</v>
      </c>
      <c r="BD1128" s="0">
        <v>14</v>
      </c>
      <c r="BE1128" s="0">
        <v>519644</v>
      </c>
      <c r="BF1128" s="0">
        <v>1</v>
      </c>
      <c r="BG1128" s="0" t="s">
        <v>8200</v>
      </c>
      <c r="BI1128" s="0">
        <v>1141</v>
      </c>
      <c r="BK1128" s="0" t="s">
        <v>8201</v>
      </c>
    </row>
    <row r="1129">
      <c r="A1129" s="0">
        <v>5900</v>
      </c>
      <c r="B1129" s="0" t="s">
        <v>2469</v>
      </c>
      <c r="C1129" s="0" t="s">
        <v>315</v>
      </c>
      <c r="D1129" s="0" t="s">
        <v>8202</v>
      </c>
      <c r="E1129" s="0" t="s">
        <v>2470</v>
      </c>
      <c r="F1129" s="0">
        <v>1</v>
      </c>
      <c r="G1129" s="0" t="s">
        <v>543</v>
      </c>
      <c r="H1129" s="0" t="s">
        <v>1112</v>
      </c>
      <c r="I1129" s="0" t="s">
        <v>1204</v>
      </c>
      <c r="J1129" s="0" t="s">
        <v>525</v>
      </c>
      <c r="K1129" s="0" t="s">
        <v>400</v>
      </c>
      <c r="M1129" s="0" t="s">
        <v>293</v>
      </c>
      <c r="N1129" s="0" t="s">
        <v>294</v>
      </c>
      <c r="O1129" s="0" t="s">
        <v>295</v>
      </c>
      <c r="P1129" s="0" t="s">
        <v>323</v>
      </c>
      <c r="Q1129" s="0" t="s">
        <v>343</v>
      </c>
      <c r="R1129" s="0" t="s">
        <v>661</v>
      </c>
      <c r="U1129" s="0" t="s">
        <v>8203</v>
      </c>
      <c r="X1129" s="0" t="s">
        <v>347</v>
      </c>
      <c r="Y1129" s="0" t="s">
        <v>42</v>
      </c>
      <c r="Z1129" s="0" t="s">
        <v>2384</v>
      </c>
      <c r="AA1129" s="0" t="s">
        <v>116</v>
      </c>
      <c r="AB1129" s="0" t="s">
        <v>531</v>
      </c>
      <c r="AC1129" s="0" t="s">
        <v>532</v>
      </c>
      <c r="AD1129" s="0" t="s">
        <v>8204</v>
      </c>
      <c r="AE1129" s="0" t="s">
        <v>8205</v>
      </c>
      <c r="AF1129" s="0" t="s">
        <v>301</v>
      </c>
      <c r="AP1129" s="0" t="s">
        <v>305</v>
      </c>
      <c r="BA1129" s="0">
        <v>547</v>
      </c>
      <c r="BB1129" s="0" t="s">
        <v>232</v>
      </c>
      <c r="BC1129" s="0">
        <v>2</v>
      </c>
      <c r="BD1129" s="0">
        <v>374043</v>
      </c>
      <c r="BE1129" s="0">
        <v>70560</v>
      </c>
      <c r="BF1129" s="0">
        <v>4</v>
      </c>
      <c r="BG1129" s="0" t="s">
        <v>8206</v>
      </c>
      <c r="BI1129" s="0">
        <v>2771</v>
      </c>
      <c r="BK1129" s="0" t="s">
        <v>8207</v>
      </c>
    </row>
    <row r="1130">
      <c r="A1130" s="0">
        <v>5964</v>
      </c>
      <c r="B1130" s="0" t="s">
        <v>8208</v>
      </c>
      <c r="C1130" s="0" t="s">
        <v>656</v>
      </c>
      <c r="D1130" s="0" t="s">
        <v>8202</v>
      </c>
      <c r="E1130" s="0" t="s">
        <v>8209</v>
      </c>
      <c r="F1130" s="0">
        <v>1</v>
      </c>
      <c r="G1130" s="0" t="s">
        <v>293</v>
      </c>
      <c r="H1130" s="0" t="s">
        <v>294</v>
      </c>
      <c r="I1130" s="0" t="s">
        <v>295</v>
      </c>
      <c r="P1130" s="0" t="s">
        <v>343</v>
      </c>
      <c r="Q1130" s="0" t="s">
        <v>343</v>
      </c>
      <c r="T1130" s="0" t="s">
        <v>8210</v>
      </c>
      <c r="U1130" s="0" t="s">
        <v>8211</v>
      </c>
      <c r="X1130" s="0" t="s">
        <v>347</v>
      </c>
      <c r="Y1130" s="0" t="s">
        <v>42</v>
      </c>
      <c r="Z1130" s="0" t="s">
        <v>2384</v>
      </c>
      <c r="AA1130" s="0" t="s">
        <v>116</v>
      </c>
      <c r="AB1130" s="0" t="s">
        <v>531</v>
      </c>
      <c r="AC1130" s="0" t="s">
        <v>532</v>
      </c>
      <c r="AD1130" s="0" t="s">
        <v>8204</v>
      </c>
      <c r="AE1130" s="0" t="s">
        <v>8205</v>
      </c>
      <c r="AF1130" s="0" t="s">
        <v>301</v>
      </c>
      <c r="AP1130" s="0" t="s">
        <v>305</v>
      </c>
      <c r="BA1130" s="0">
        <v>547</v>
      </c>
      <c r="BB1130" s="0" t="s">
        <v>232</v>
      </c>
      <c r="BC1130" s="0">
        <v>2</v>
      </c>
      <c r="BD1130" s="0">
        <v>10</v>
      </c>
      <c r="BE1130" s="0">
        <v>70560</v>
      </c>
      <c r="BF1130" s="0">
        <v>4</v>
      </c>
      <c r="BG1130" s="0" t="s">
        <v>8212</v>
      </c>
      <c r="BI1130" s="0">
        <v>5211</v>
      </c>
      <c r="BK1130" s="0" t="s">
        <v>8213</v>
      </c>
    </row>
    <row r="1131">
      <c r="A1131" s="0">
        <v>5937</v>
      </c>
      <c r="B1131" s="0" t="s">
        <v>4030</v>
      </c>
      <c r="C1131" s="0" t="s">
        <v>315</v>
      </c>
      <c r="D1131" s="0" t="s">
        <v>8202</v>
      </c>
      <c r="E1131" s="0" t="s">
        <v>4031</v>
      </c>
      <c r="F1131" s="0">
        <v>1</v>
      </c>
      <c r="G1131" s="0" t="s">
        <v>319</v>
      </c>
      <c r="H1131" s="0" t="s">
        <v>523</v>
      </c>
      <c r="I1131" s="0" t="s">
        <v>1268</v>
      </c>
      <c r="J1131" s="0" t="s">
        <v>594</v>
      </c>
      <c r="K1131" s="0" t="s">
        <v>508</v>
      </c>
      <c r="M1131" s="0" t="s">
        <v>293</v>
      </c>
      <c r="N1131" s="0" t="s">
        <v>294</v>
      </c>
      <c r="O1131" s="0" t="s">
        <v>295</v>
      </c>
      <c r="P1131" s="0" t="s">
        <v>323</v>
      </c>
      <c r="Q1131" s="0" t="s">
        <v>343</v>
      </c>
      <c r="R1131" s="0" t="s">
        <v>2393</v>
      </c>
      <c r="T1131" s="0" t="s">
        <v>8214</v>
      </c>
      <c r="U1131" s="0" t="s">
        <v>8215</v>
      </c>
      <c r="X1131" s="0" t="s">
        <v>347</v>
      </c>
      <c r="Y1131" s="0" t="s">
        <v>42</v>
      </c>
      <c r="Z1131" s="0" t="s">
        <v>2384</v>
      </c>
      <c r="AA1131" s="0" t="s">
        <v>116</v>
      </c>
      <c r="AB1131" s="0" t="s">
        <v>531</v>
      </c>
      <c r="AC1131" s="0" t="s">
        <v>532</v>
      </c>
      <c r="AD1131" s="0" t="s">
        <v>8204</v>
      </c>
      <c r="AE1131" s="0" t="s">
        <v>8205</v>
      </c>
      <c r="AF1131" s="0" t="s">
        <v>301</v>
      </c>
      <c r="AP1131" s="0" t="s">
        <v>305</v>
      </c>
      <c r="BA1131" s="0">
        <v>547</v>
      </c>
      <c r="BB1131" s="0" t="s">
        <v>232</v>
      </c>
      <c r="BC1131" s="0">
        <v>2</v>
      </c>
      <c r="BD1131" s="0">
        <v>374043</v>
      </c>
      <c r="BE1131" s="0">
        <v>70560</v>
      </c>
      <c r="BF1131" s="0">
        <v>4</v>
      </c>
      <c r="BG1131" s="0" t="s">
        <v>8216</v>
      </c>
      <c r="BI1131" s="0">
        <v>5037</v>
      </c>
      <c r="BK1131" s="0" t="s">
        <v>8217</v>
      </c>
    </row>
    <row r="1132">
      <c r="A1132" s="0">
        <v>5981</v>
      </c>
      <c r="B1132" s="0" t="s">
        <v>1757</v>
      </c>
      <c r="C1132" s="0" t="s">
        <v>1139</v>
      </c>
      <c r="D1132" s="0" t="s">
        <v>8202</v>
      </c>
      <c r="E1132" s="0" t="s">
        <v>1758</v>
      </c>
      <c r="F1132" s="0">
        <v>1</v>
      </c>
      <c r="G1132" s="0" t="s">
        <v>293</v>
      </c>
      <c r="H1132" s="0" t="s">
        <v>294</v>
      </c>
      <c r="I1132" s="0" t="s">
        <v>295</v>
      </c>
      <c r="P1132" s="0" t="s">
        <v>343</v>
      </c>
      <c r="Q1132" s="0" t="s">
        <v>343</v>
      </c>
      <c r="U1132" s="0" t="s">
        <v>8218</v>
      </c>
      <c r="X1132" s="0" t="s">
        <v>347</v>
      </c>
      <c r="Y1132" s="0" t="s">
        <v>42</v>
      </c>
      <c r="Z1132" s="0" t="s">
        <v>2384</v>
      </c>
      <c r="AA1132" s="0" t="s">
        <v>116</v>
      </c>
      <c r="AB1132" s="0" t="s">
        <v>531</v>
      </c>
      <c r="AC1132" s="0" t="s">
        <v>532</v>
      </c>
      <c r="AD1132" s="0" t="s">
        <v>8204</v>
      </c>
      <c r="AE1132" s="0" t="s">
        <v>8205</v>
      </c>
      <c r="AF1132" s="0" t="s">
        <v>301</v>
      </c>
      <c r="AM1132" s="0" t="s">
        <v>762</v>
      </c>
      <c r="AN1132" s="0" t="s">
        <v>372</v>
      </c>
      <c r="AO1132" s="0" t="s">
        <v>353</v>
      </c>
      <c r="AP1132" s="0" t="s">
        <v>305</v>
      </c>
      <c r="AQ1132" s="0" t="s">
        <v>1271</v>
      </c>
      <c r="AR1132" s="0" t="s">
        <v>1287</v>
      </c>
      <c r="AS1132" s="0">
        <v>255</v>
      </c>
      <c r="AT1132" s="0">
        <v>473</v>
      </c>
      <c r="AU1132" s="0">
        <v>570</v>
      </c>
      <c r="AV1132" s="0" t="s">
        <v>332</v>
      </c>
      <c r="AX1132" s="0" t="s">
        <v>1762</v>
      </c>
      <c r="AY1132" s="0" t="s">
        <v>912</v>
      </c>
      <c r="AZ1132" s="0" t="s">
        <v>1763</v>
      </c>
      <c r="BA1132" s="0">
        <v>547</v>
      </c>
      <c r="BB1132" s="0" t="s">
        <v>232</v>
      </c>
      <c r="BC1132" s="0">
        <v>2</v>
      </c>
      <c r="BD1132" s="0">
        <v>38030</v>
      </c>
      <c r="BE1132" s="0">
        <v>70560</v>
      </c>
      <c r="BF1132" s="0">
        <v>4</v>
      </c>
      <c r="BG1132" s="0" t="s">
        <v>8219</v>
      </c>
      <c r="BI1132" s="0">
        <v>5274</v>
      </c>
      <c r="BK1132" s="0" t="s">
        <v>8220</v>
      </c>
    </row>
    <row r="1133">
      <c r="A1133" s="0">
        <v>5907</v>
      </c>
      <c r="B1133" s="0" t="s">
        <v>8221</v>
      </c>
      <c r="C1133" s="0" t="s">
        <v>315</v>
      </c>
      <c r="D1133" s="0" t="s">
        <v>8202</v>
      </c>
      <c r="E1133" s="0" t="s">
        <v>847</v>
      </c>
      <c r="F1133" s="0">
        <v>2</v>
      </c>
      <c r="G1133" s="0" t="s">
        <v>594</v>
      </c>
      <c r="H1133" s="0" t="s">
        <v>508</v>
      </c>
      <c r="I1133" s="0" t="s">
        <v>8222</v>
      </c>
      <c r="J1133" s="0" t="s">
        <v>543</v>
      </c>
      <c r="K1133" s="0" t="s">
        <v>1112</v>
      </c>
      <c r="L1133" s="0" t="s">
        <v>7129</v>
      </c>
      <c r="P1133" s="0" t="s">
        <v>343</v>
      </c>
      <c r="Q1133" s="0" t="s">
        <v>343</v>
      </c>
      <c r="T1133" s="0" t="s">
        <v>8223</v>
      </c>
      <c r="U1133" s="0" t="s">
        <v>8224</v>
      </c>
      <c r="X1133" s="0" t="s">
        <v>347</v>
      </c>
      <c r="Y1133" s="0" t="s">
        <v>42</v>
      </c>
      <c r="Z1133" s="0" t="s">
        <v>2384</v>
      </c>
      <c r="AA1133" s="0" t="s">
        <v>116</v>
      </c>
      <c r="AB1133" s="0" t="s">
        <v>531</v>
      </c>
      <c r="AC1133" s="0" t="s">
        <v>532</v>
      </c>
      <c r="AD1133" s="0" t="s">
        <v>8204</v>
      </c>
      <c r="AE1133" s="0" t="s">
        <v>8205</v>
      </c>
      <c r="AF1133" s="0" t="s">
        <v>301</v>
      </c>
      <c r="AP1133" s="0" t="s">
        <v>305</v>
      </c>
      <c r="BA1133" s="0">
        <v>547</v>
      </c>
      <c r="BB1133" s="0" t="s">
        <v>232</v>
      </c>
      <c r="BC1133" s="0">
        <v>2</v>
      </c>
      <c r="BD1133" s="0">
        <v>374043</v>
      </c>
      <c r="BE1133" s="0">
        <v>70560</v>
      </c>
      <c r="BF1133" s="0">
        <v>4</v>
      </c>
      <c r="BG1133" s="0" t="s">
        <v>8225</v>
      </c>
      <c r="BI1133" s="0">
        <v>4233</v>
      </c>
      <c r="BK1133" s="0" t="s">
        <v>8226</v>
      </c>
    </row>
    <row r="1134">
      <c r="A1134" s="0">
        <v>5914</v>
      </c>
      <c r="B1134" s="0" t="s">
        <v>8221</v>
      </c>
      <c r="C1134" s="0" t="s">
        <v>315</v>
      </c>
      <c r="D1134" s="0" t="s">
        <v>8202</v>
      </c>
      <c r="E1134" s="0" t="s">
        <v>847</v>
      </c>
      <c r="F1134" s="0">
        <v>2</v>
      </c>
      <c r="G1134" s="0" t="s">
        <v>594</v>
      </c>
      <c r="H1134" s="0" t="s">
        <v>508</v>
      </c>
      <c r="I1134" s="0" t="s">
        <v>8227</v>
      </c>
      <c r="J1134" s="0" t="s">
        <v>543</v>
      </c>
      <c r="K1134" s="0" t="s">
        <v>1112</v>
      </c>
      <c r="L1134" s="0" t="s">
        <v>1189</v>
      </c>
      <c r="P1134" s="0" t="s">
        <v>343</v>
      </c>
      <c r="Q1134" s="0" t="s">
        <v>343</v>
      </c>
      <c r="U1134" s="0" t="s">
        <v>8228</v>
      </c>
      <c r="X1134" s="0" t="s">
        <v>347</v>
      </c>
      <c r="Y1134" s="0" t="s">
        <v>42</v>
      </c>
      <c r="Z1134" s="0" t="s">
        <v>2384</v>
      </c>
      <c r="AA1134" s="0" t="s">
        <v>116</v>
      </c>
      <c r="AB1134" s="0" t="s">
        <v>531</v>
      </c>
      <c r="AC1134" s="0" t="s">
        <v>532</v>
      </c>
      <c r="AD1134" s="0" t="s">
        <v>8204</v>
      </c>
      <c r="AE1134" s="0" t="s">
        <v>8205</v>
      </c>
      <c r="AF1134" s="0" t="s">
        <v>301</v>
      </c>
      <c r="AP1134" s="0" t="s">
        <v>305</v>
      </c>
      <c r="BA1134" s="0">
        <v>547</v>
      </c>
      <c r="BB1134" s="0" t="s">
        <v>232</v>
      </c>
      <c r="BC1134" s="0">
        <v>2</v>
      </c>
      <c r="BD1134" s="0">
        <v>374043</v>
      </c>
      <c r="BE1134" s="0">
        <v>70560</v>
      </c>
      <c r="BF1134" s="0">
        <v>4</v>
      </c>
      <c r="BG1134" s="0" t="s">
        <v>8229</v>
      </c>
      <c r="BI1134" s="0">
        <v>4300</v>
      </c>
      <c r="BK1134" s="0" t="s">
        <v>8230</v>
      </c>
    </row>
    <row r="1135">
      <c r="A1135" s="0">
        <v>5980</v>
      </c>
      <c r="B1135" s="0" t="s">
        <v>5931</v>
      </c>
      <c r="C1135" s="0" t="s">
        <v>1139</v>
      </c>
      <c r="D1135" s="0" t="s">
        <v>8202</v>
      </c>
      <c r="E1135" s="0" t="s">
        <v>5932</v>
      </c>
      <c r="F1135" s="0">
        <v>1</v>
      </c>
      <c r="G1135" s="0" t="s">
        <v>293</v>
      </c>
      <c r="H1135" s="0" t="s">
        <v>294</v>
      </c>
      <c r="I1135" s="0" t="s">
        <v>295</v>
      </c>
      <c r="P1135" s="0" t="s">
        <v>323</v>
      </c>
      <c r="Q1135" s="0" t="s">
        <v>343</v>
      </c>
      <c r="R1135" s="0" t="s">
        <v>1021</v>
      </c>
      <c r="U1135" s="0" t="s">
        <v>8231</v>
      </c>
      <c r="X1135" s="0" t="s">
        <v>347</v>
      </c>
      <c r="Y1135" s="0" t="s">
        <v>42</v>
      </c>
      <c r="Z1135" s="0" t="s">
        <v>2384</v>
      </c>
      <c r="AA1135" s="0" t="s">
        <v>116</v>
      </c>
      <c r="AB1135" s="0" t="s">
        <v>531</v>
      </c>
      <c r="AC1135" s="0" t="s">
        <v>532</v>
      </c>
      <c r="AD1135" s="0" t="s">
        <v>8204</v>
      </c>
      <c r="AE1135" s="0" t="s">
        <v>8205</v>
      </c>
      <c r="AF1135" s="0" t="s">
        <v>301</v>
      </c>
      <c r="AM1135" s="0" t="s">
        <v>762</v>
      </c>
      <c r="AN1135" s="0" t="s">
        <v>2740</v>
      </c>
      <c r="AO1135" s="0" t="s">
        <v>5934</v>
      </c>
      <c r="AP1135" s="0" t="s">
        <v>305</v>
      </c>
      <c r="AQ1135" s="0" t="s">
        <v>502</v>
      </c>
      <c r="AR1135" s="0" t="s">
        <v>1182</v>
      </c>
      <c r="AS1135" s="0">
        <v>530</v>
      </c>
      <c r="AT1135" s="0">
        <v>1111</v>
      </c>
      <c r="AU1135" s="0">
        <v>1239</v>
      </c>
      <c r="AV1135" s="0" t="s">
        <v>332</v>
      </c>
      <c r="AW1135" s="0" t="s">
        <v>332</v>
      </c>
      <c r="AX1135" s="0" t="s">
        <v>1502</v>
      </c>
      <c r="AY1135" s="0" t="s">
        <v>1771</v>
      </c>
      <c r="AZ1135" s="0" t="s">
        <v>8232</v>
      </c>
      <c r="BA1135" s="0">
        <v>547</v>
      </c>
      <c r="BB1135" s="0" t="s">
        <v>232</v>
      </c>
      <c r="BC1135" s="0">
        <v>2</v>
      </c>
      <c r="BD1135" s="0">
        <v>38030</v>
      </c>
      <c r="BE1135" s="0">
        <v>70560</v>
      </c>
      <c r="BF1135" s="0">
        <v>4</v>
      </c>
      <c r="BG1135" s="0" t="s">
        <v>8233</v>
      </c>
      <c r="BI1135" s="0">
        <v>5271</v>
      </c>
      <c r="BK1135" s="0" t="s">
        <v>8234</v>
      </c>
    </row>
    <row r="1136">
      <c r="A1136" s="0">
        <v>5887</v>
      </c>
      <c r="B1136" s="0" t="s">
        <v>8235</v>
      </c>
      <c r="C1136" s="0" t="s">
        <v>315</v>
      </c>
      <c r="D1136" s="0" t="s">
        <v>8202</v>
      </c>
      <c r="E1136" s="0" t="s">
        <v>8236</v>
      </c>
      <c r="F1136" s="0">
        <v>1</v>
      </c>
      <c r="G1136" s="0" t="s">
        <v>594</v>
      </c>
      <c r="H1136" s="0" t="s">
        <v>508</v>
      </c>
      <c r="I1136" s="0" t="s">
        <v>705</v>
      </c>
      <c r="J1136" s="0" t="s">
        <v>293</v>
      </c>
      <c r="K1136" s="0" t="s">
        <v>294</v>
      </c>
      <c r="L1136" s="0" t="s">
        <v>295</v>
      </c>
      <c r="P1136" s="0" t="s">
        <v>323</v>
      </c>
      <c r="Q1136" s="0" t="s">
        <v>323</v>
      </c>
      <c r="R1136" s="0" t="s">
        <v>7657</v>
      </c>
      <c r="U1136" s="0" t="s">
        <v>8237</v>
      </c>
      <c r="X1136" s="0" t="s">
        <v>347</v>
      </c>
      <c r="Y1136" s="0" t="s">
        <v>42</v>
      </c>
      <c r="Z1136" s="0" t="s">
        <v>2384</v>
      </c>
      <c r="AA1136" s="0" t="s">
        <v>116</v>
      </c>
      <c r="AB1136" s="0" t="s">
        <v>531</v>
      </c>
      <c r="AC1136" s="0" t="s">
        <v>532</v>
      </c>
      <c r="AD1136" s="0" t="s">
        <v>8204</v>
      </c>
      <c r="AE1136" s="0" t="s">
        <v>8205</v>
      </c>
      <c r="AF1136" s="0" t="s">
        <v>301</v>
      </c>
      <c r="AP1136" s="0" t="s">
        <v>305</v>
      </c>
      <c r="BA1136" s="0">
        <v>547</v>
      </c>
      <c r="BB1136" s="0" t="s">
        <v>232</v>
      </c>
      <c r="BC1136" s="0">
        <v>2</v>
      </c>
      <c r="BD1136" s="0">
        <v>374043</v>
      </c>
      <c r="BE1136" s="0">
        <v>70560</v>
      </c>
      <c r="BF1136" s="0">
        <v>4</v>
      </c>
      <c r="BG1136" s="0" t="s">
        <v>8238</v>
      </c>
      <c r="BI1136" s="0">
        <v>421</v>
      </c>
      <c r="BK1136" s="0" t="s">
        <v>8239</v>
      </c>
    </row>
    <row r="1137">
      <c r="A1137" s="0">
        <v>5959</v>
      </c>
      <c r="B1137" s="0" t="s">
        <v>8240</v>
      </c>
      <c r="C1137" s="0" t="s">
        <v>656</v>
      </c>
      <c r="D1137" s="0" t="s">
        <v>8202</v>
      </c>
      <c r="E1137" s="0" t="s">
        <v>8241</v>
      </c>
      <c r="F1137" s="0">
        <v>1</v>
      </c>
      <c r="G1137" s="0" t="s">
        <v>293</v>
      </c>
      <c r="H1137" s="0" t="s">
        <v>294</v>
      </c>
      <c r="I1137" s="0" t="s">
        <v>295</v>
      </c>
      <c r="P1137" s="0" t="s">
        <v>323</v>
      </c>
      <c r="Q1137" s="0" t="s">
        <v>323</v>
      </c>
      <c r="R1137" s="0" t="s">
        <v>7617</v>
      </c>
      <c r="U1137" s="0" t="s">
        <v>8242</v>
      </c>
      <c r="X1137" s="0" t="s">
        <v>347</v>
      </c>
      <c r="Y1137" s="0" t="s">
        <v>42</v>
      </c>
      <c r="Z1137" s="0" t="s">
        <v>2384</v>
      </c>
      <c r="AA1137" s="0" t="s">
        <v>116</v>
      </c>
      <c r="AB1137" s="0" t="s">
        <v>531</v>
      </c>
      <c r="AC1137" s="0" t="s">
        <v>532</v>
      </c>
      <c r="AD1137" s="0" t="s">
        <v>8204</v>
      </c>
      <c r="AE1137" s="0" t="s">
        <v>8205</v>
      </c>
      <c r="AF1137" s="0" t="s">
        <v>301</v>
      </c>
      <c r="AP1137" s="0" t="s">
        <v>305</v>
      </c>
      <c r="BA1137" s="0">
        <v>547</v>
      </c>
      <c r="BB1137" s="0" t="s">
        <v>232</v>
      </c>
      <c r="BC1137" s="0">
        <v>2</v>
      </c>
      <c r="BD1137" s="0">
        <v>10</v>
      </c>
      <c r="BE1137" s="0">
        <v>70560</v>
      </c>
      <c r="BF1137" s="0">
        <v>4</v>
      </c>
      <c r="BG1137" s="0" t="s">
        <v>8243</v>
      </c>
      <c r="BI1137" s="0">
        <v>5158</v>
      </c>
      <c r="BK1137" s="0" t="s">
        <v>8244</v>
      </c>
    </row>
    <row r="1138">
      <c r="A1138" s="0">
        <v>5891</v>
      </c>
      <c r="B1138" s="0" t="s">
        <v>8245</v>
      </c>
      <c r="C1138" s="0" t="s">
        <v>315</v>
      </c>
      <c r="D1138" s="0" t="s">
        <v>8202</v>
      </c>
      <c r="E1138" s="0" t="s">
        <v>8246</v>
      </c>
      <c r="F1138" s="0">
        <v>1</v>
      </c>
      <c r="G1138" s="0" t="s">
        <v>594</v>
      </c>
      <c r="H1138" s="0" t="s">
        <v>508</v>
      </c>
      <c r="I1138" s="0" t="s">
        <v>705</v>
      </c>
      <c r="J1138" s="0" t="s">
        <v>293</v>
      </c>
      <c r="K1138" s="0" t="s">
        <v>294</v>
      </c>
      <c r="L1138" s="0" t="s">
        <v>295</v>
      </c>
      <c r="P1138" s="0" t="s">
        <v>323</v>
      </c>
      <c r="Q1138" s="0" t="s">
        <v>323</v>
      </c>
      <c r="R1138" s="0" t="s">
        <v>661</v>
      </c>
      <c r="U1138" s="0" t="s">
        <v>8247</v>
      </c>
      <c r="X1138" s="0" t="s">
        <v>347</v>
      </c>
      <c r="Y1138" s="0" t="s">
        <v>42</v>
      </c>
      <c r="Z1138" s="0" t="s">
        <v>2384</v>
      </c>
      <c r="AA1138" s="0" t="s">
        <v>116</v>
      </c>
      <c r="AB1138" s="0" t="s">
        <v>531</v>
      </c>
      <c r="AC1138" s="0" t="s">
        <v>532</v>
      </c>
      <c r="AD1138" s="0" t="s">
        <v>8204</v>
      </c>
      <c r="AE1138" s="0" t="s">
        <v>8205</v>
      </c>
      <c r="AF1138" s="0" t="s">
        <v>301</v>
      </c>
      <c r="AP1138" s="0" t="s">
        <v>305</v>
      </c>
      <c r="BA1138" s="0">
        <v>547</v>
      </c>
      <c r="BB1138" s="0" t="s">
        <v>232</v>
      </c>
      <c r="BC1138" s="0">
        <v>2</v>
      </c>
      <c r="BD1138" s="0">
        <v>374043</v>
      </c>
      <c r="BE1138" s="0">
        <v>70560</v>
      </c>
      <c r="BF1138" s="0">
        <v>4</v>
      </c>
      <c r="BG1138" s="0" t="s">
        <v>8248</v>
      </c>
      <c r="BI1138" s="0">
        <v>1716</v>
      </c>
      <c r="BK1138" s="0" t="s">
        <v>8249</v>
      </c>
    </row>
    <row r="1139">
      <c r="A1139" s="0">
        <v>5953</v>
      </c>
      <c r="B1139" s="0" t="s">
        <v>8250</v>
      </c>
      <c r="C1139" s="0" t="s">
        <v>945</v>
      </c>
      <c r="D1139" s="0" t="s">
        <v>8202</v>
      </c>
      <c r="E1139" s="0" t="s">
        <v>8251</v>
      </c>
      <c r="F1139" s="0">
        <v>3</v>
      </c>
      <c r="G1139" s="0" t="s">
        <v>319</v>
      </c>
      <c r="H1139" s="0" t="s">
        <v>658</v>
      </c>
      <c r="I1139" s="0" t="s">
        <v>1746</v>
      </c>
      <c r="J1139" s="0" t="s">
        <v>594</v>
      </c>
      <c r="K1139" s="0" t="s">
        <v>508</v>
      </c>
      <c r="P1139" s="0" t="s">
        <v>323</v>
      </c>
      <c r="Q1139" s="0" t="s">
        <v>4015</v>
      </c>
      <c r="R1139" s="0" t="s">
        <v>526</v>
      </c>
      <c r="U1139" s="0" t="s">
        <v>8252</v>
      </c>
      <c r="X1139" s="0" t="s">
        <v>347</v>
      </c>
      <c r="Y1139" s="0" t="s">
        <v>42</v>
      </c>
      <c r="Z1139" s="0" t="s">
        <v>2384</v>
      </c>
      <c r="AA1139" s="0" t="s">
        <v>116</v>
      </c>
      <c r="AB1139" s="0" t="s">
        <v>531</v>
      </c>
      <c r="AC1139" s="0" t="s">
        <v>532</v>
      </c>
      <c r="AD1139" s="0" t="s">
        <v>8204</v>
      </c>
      <c r="AE1139" s="0" t="s">
        <v>8205</v>
      </c>
      <c r="AF1139" s="0" t="s">
        <v>301</v>
      </c>
      <c r="AM1139" s="0" t="s">
        <v>816</v>
      </c>
      <c r="AN1139" s="0" t="s">
        <v>2590</v>
      </c>
      <c r="AO1139" s="0" t="s">
        <v>573</v>
      </c>
      <c r="AP1139" s="0" t="s">
        <v>305</v>
      </c>
      <c r="AQ1139" s="0" t="s">
        <v>307</v>
      </c>
      <c r="AR1139" s="0" t="s">
        <v>476</v>
      </c>
      <c r="AS1139" s="0">
        <v>78</v>
      </c>
      <c r="AT1139" s="0">
        <v>156</v>
      </c>
      <c r="AU1139" s="0">
        <v>208</v>
      </c>
      <c r="AV1139" s="0" t="s">
        <v>332</v>
      </c>
      <c r="AW1139" s="0" t="s">
        <v>332</v>
      </c>
      <c r="AX1139" s="0" t="s">
        <v>627</v>
      </c>
      <c r="AY1139" s="0" t="s">
        <v>3383</v>
      </c>
      <c r="AZ1139" s="0" t="s">
        <v>461</v>
      </c>
      <c r="BA1139" s="0">
        <v>547</v>
      </c>
      <c r="BB1139" s="0" t="s">
        <v>232</v>
      </c>
      <c r="BC1139" s="0">
        <v>2</v>
      </c>
      <c r="BD1139" s="0">
        <v>14</v>
      </c>
      <c r="BE1139" s="0">
        <v>70560</v>
      </c>
      <c r="BF1139" s="0">
        <v>4</v>
      </c>
      <c r="BG1139" s="0" t="s">
        <v>8253</v>
      </c>
      <c r="BI1139" s="0">
        <v>5113</v>
      </c>
      <c r="BK1139" s="0" t="s">
        <v>8254</v>
      </c>
    </row>
    <row r="1140">
      <c r="A1140" s="0">
        <v>5931</v>
      </c>
      <c r="B1140" s="0" t="s">
        <v>8255</v>
      </c>
      <c r="C1140" s="0" t="s">
        <v>945</v>
      </c>
      <c r="D1140" s="0" t="s">
        <v>8202</v>
      </c>
      <c r="E1140" s="0" t="s">
        <v>8256</v>
      </c>
      <c r="F1140" s="0">
        <v>1</v>
      </c>
      <c r="G1140" s="0" t="s">
        <v>319</v>
      </c>
      <c r="H1140" s="0" t="s">
        <v>658</v>
      </c>
      <c r="I1140" s="0" t="s">
        <v>2166</v>
      </c>
      <c r="J1140" s="0" t="s">
        <v>594</v>
      </c>
      <c r="K1140" s="0" t="s">
        <v>508</v>
      </c>
      <c r="P1140" s="0" t="s">
        <v>323</v>
      </c>
      <c r="Q1140" s="0" t="s">
        <v>868</v>
      </c>
      <c r="R1140" s="0" t="s">
        <v>3028</v>
      </c>
      <c r="U1140" s="0" t="s">
        <v>8257</v>
      </c>
      <c r="X1140" s="0" t="s">
        <v>347</v>
      </c>
      <c r="Y1140" s="0" t="s">
        <v>42</v>
      </c>
      <c r="Z1140" s="0" t="s">
        <v>2384</v>
      </c>
      <c r="AA1140" s="0" t="s">
        <v>116</v>
      </c>
      <c r="AB1140" s="0" t="s">
        <v>531</v>
      </c>
      <c r="AC1140" s="0" t="s">
        <v>532</v>
      </c>
      <c r="AD1140" s="0" t="s">
        <v>8204</v>
      </c>
      <c r="AE1140" s="0" t="s">
        <v>8205</v>
      </c>
      <c r="AF1140" s="0" t="s">
        <v>301</v>
      </c>
      <c r="AM1140" s="0" t="s">
        <v>8258</v>
      </c>
      <c r="AN1140" s="0" t="s">
        <v>8259</v>
      </c>
      <c r="AO1140" s="0" t="s">
        <v>8260</v>
      </c>
      <c r="AP1140" s="0" t="s">
        <v>305</v>
      </c>
      <c r="AQ1140" s="0" t="s">
        <v>8261</v>
      </c>
      <c r="AR1140" s="0" t="s">
        <v>8262</v>
      </c>
      <c r="AS1140" s="0">
        <v>10</v>
      </c>
      <c r="AT1140" s="0">
        <v>20</v>
      </c>
      <c r="AU1140" s="0">
        <v>25</v>
      </c>
      <c r="AV1140" s="0" t="s">
        <v>332</v>
      </c>
      <c r="AW1140" s="0" t="s">
        <v>331</v>
      </c>
      <c r="AX1140" s="0" t="s">
        <v>8263</v>
      </c>
      <c r="AY1140" s="0" t="s">
        <v>8264</v>
      </c>
      <c r="AZ1140" s="0" t="s">
        <v>8265</v>
      </c>
      <c r="BA1140" s="0">
        <v>547</v>
      </c>
      <c r="BB1140" s="0" t="s">
        <v>232</v>
      </c>
      <c r="BC1140" s="0">
        <v>2</v>
      </c>
      <c r="BD1140" s="0">
        <v>14</v>
      </c>
      <c r="BE1140" s="0">
        <v>70560</v>
      </c>
      <c r="BF1140" s="0">
        <v>4</v>
      </c>
      <c r="BG1140" s="0" t="s">
        <v>8266</v>
      </c>
      <c r="BI1140" s="0">
        <v>4915</v>
      </c>
      <c r="BK1140" s="0" t="s">
        <v>8267</v>
      </c>
    </row>
    <row r="1141">
      <c r="A1141" s="0">
        <v>5965</v>
      </c>
      <c r="B1141" s="0" t="s">
        <v>8268</v>
      </c>
      <c r="C1141" s="0" t="s">
        <v>579</v>
      </c>
      <c r="D1141" s="0" t="s">
        <v>8202</v>
      </c>
      <c r="E1141" s="0" t="s">
        <v>8269</v>
      </c>
      <c r="F1141" s="0">
        <v>1</v>
      </c>
      <c r="G1141" s="0" t="s">
        <v>293</v>
      </c>
      <c r="H1141" s="0" t="s">
        <v>294</v>
      </c>
      <c r="I1141" s="0" t="s">
        <v>295</v>
      </c>
      <c r="J1141" s="0" t="s">
        <v>581</v>
      </c>
      <c r="K1141" s="0" t="s">
        <v>581</v>
      </c>
      <c r="L1141" s="0" t="s">
        <v>582</v>
      </c>
      <c r="P1141" s="0" t="s">
        <v>343</v>
      </c>
      <c r="Q1141" s="0" t="s">
        <v>343</v>
      </c>
      <c r="U1141" s="0" t="s">
        <v>8270</v>
      </c>
      <c r="X1141" s="0" t="s">
        <v>347</v>
      </c>
      <c r="Y1141" s="0" t="s">
        <v>42</v>
      </c>
      <c r="Z1141" s="0" t="s">
        <v>2384</v>
      </c>
      <c r="AA1141" s="0" t="s">
        <v>116</v>
      </c>
      <c r="AB1141" s="0" t="s">
        <v>531</v>
      </c>
      <c r="AC1141" s="0" t="s">
        <v>532</v>
      </c>
      <c r="AD1141" s="0" t="s">
        <v>8204</v>
      </c>
      <c r="AE1141" s="0" t="s">
        <v>8205</v>
      </c>
      <c r="AF1141" s="0" t="s">
        <v>301</v>
      </c>
      <c r="AP1141" s="0" t="s">
        <v>305</v>
      </c>
      <c r="BA1141" s="0">
        <v>547</v>
      </c>
      <c r="BB1141" s="0" t="s">
        <v>232</v>
      </c>
      <c r="BC1141" s="0">
        <v>2</v>
      </c>
      <c r="BD1141" s="0">
        <v>374046</v>
      </c>
      <c r="BE1141" s="0">
        <v>70560</v>
      </c>
      <c r="BF1141" s="0">
        <v>4</v>
      </c>
      <c r="BG1141" s="0" t="s">
        <v>8271</v>
      </c>
      <c r="BI1141" s="0">
        <v>5195</v>
      </c>
      <c r="BK1141" s="0" t="s">
        <v>8272</v>
      </c>
    </row>
    <row r="1142">
      <c r="A1142" s="0">
        <v>5996</v>
      </c>
      <c r="B1142" s="0" t="s">
        <v>8273</v>
      </c>
      <c r="C1142" s="0" t="s">
        <v>656</v>
      </c>
      <c r="D1142" s="0" t="s">
        <v>8202</v>
      </c>
      <c r="E1142" s="0" t="s">
        <v>8274</v>
      </c>
      <c r="F1142" s="0">
        <v>1</v>
      </c>
      <c r="G1142" s="0" t="s">
        <v>293</v>
      </c>
      <c r="H1142" s="0" t="s">
        <v>294</v>
      </c>
      <c r="I1142" s="0" t="s">
        <v>295</v>
      </c>
      <c r="P1142" s="0" t="s">
        <v>343</v>
      </c>
      <c r="Q1142" s="0" t="s">
        <v>343</v>
      </c>
      <c r="U1142" s="0" t="s">
        <v>8275</v>
      </c>
      <c r="X1142" s="0" t="s">
        <v>347</v>
      </c>
      <c r="Y1142" s="0" t="s">
        <v>42</v>
      </c>
      <c r="Z1142" s="0" t="s">
        <v>2384</v>
      </c>
      <c r="AA1142" s="0" t="s">
        <v>116</v>
      </c>
      <c r="AB1142" s="0" t="s">
        <v>531</v>
      </c>
      <c r="AC1142" s="0" t="s">
        <v>532</v>
      </c>
      <c r="AD1142" s="0" t="s">
        <v>8204</v>
      </c>
      <c r="AE1142" s="0" t="s">
        <v>8205</v>
      </c>
      <c r="AF1142" s="0" t="s">
        <v>301</v>
      </c>
      <c r="AP1142" s="0" t="s">
        <v>305</v>
      </c>
      <c r="BA1142" s="0">
        <v>547</v>
      </c>
      <c r="BB1142" s="0" t="s">
        <v>232</v>
      </c>
      <c r="BC1142" s="0">
        <v>2</v>
      </c>
      <c r="BD1142" s="0">
        <v>10</v>
      </c>
      <c r="BE1142" s="0">
        <v>70560</v>
      </c>
      <c r="BF1142" s="0">
        <v>4</v>
      </c>
      <c r="BG1142" s="0" t="s">
        <v>8276</v>
      </c>
      <c r="BI1142" s="0">
        <v>5328</v>
      </c>
      <c r="BK1142" s="0" t="s">
        <v>8277</v>
      </c>
    </row>
    <row r="1143">
      <c r="A1143" s="0">
        <v>5947</v>
      </c>
      <c r="B1143" s="0" t="s">
        <v>4041</v>
      </c>
      <c r="C1143" s="0" t="s">
        <v>315</v>
      </c>
      <c r="D1143" s="0" t="s">
        <v>8202</v>
      </c>
      <c r="E1143" s="0" t="s">
        <v>4042</v>
      </c>
      <c r="F1143" s="0">
        <v>1</v>
      </c>
      <c r="G1143" s="0" t="s">
        <v>319</v>
      </c>
      <c r="H1143" s="0" t="s">
        <v>523</v>
      </c>
      <c r="I1143" s="0" t="s">
        <v>524</v>
      </c>
      <c r="J1143" s="0" t="s">
        <v>594</v>
      </c>
      <c r="K1143" s="0" t="s">
        <v>508</v>
      </c>
      <c r="M1143" s="0" t="s">
        <v>525</v>
      </c>
      <c r="N1143" s="0" t="s">
        <v>400</v>
      </c>
      <c r="O1143" s="0" t="s">
        <v>1133</v>
      </c>
      <c r="P1143" s="0" t="s">
        <v>323</v>
      </c>
      <c r="Q1143" s="0" t="s">
        <v>343</v>
      </c>
      <c r="R1143" s="0" t="s">
        <v>526</v>
      </c>
      <c r="U1143" s="0" t="s">
        <v>8278</v>
      </c>
      <c r="X1143" s="0" t="s">
        <v>347</v>
      </c>
      <c r="Y1143" s="0" t="s">
        <v>42</v>
      </c>
      <c r="Z1143" s="0" t="s">
        <v>2384</v>
      </c>
      <c r="AA1143" s="0" t="s">
        <v>116</v>
      </c>
      <c r="AB1143" s="0" t="s">
        <v>531</v>
      </c>
      <c r="AC1143" s="0" t="s">
        <v>532</v>
      </c>
      <c r="AD1143" s="0" t="s">
        <v>8204</v>
      </c>
      <c r="AE1143" s="0" t="s">
        <v>8205</v>
      </c>
      <c r="AF1143" s="0" t="s">
        <v>301</v>
      </c>
      <c r="AP1143" s="0" t="s">
        <v>305</v>
      </c>
      <c r="BA1143" s="0">
        <v>547</v>
      </c>
      <c r="BB1143" s="0" t="s">
        <v>232</v>
      </c>
      <c r="BC1143" s="0">
        <v>2</v>
      </c>
      <c r="BD1143" s="0">
        <v>374043</v>
      </c>
      <c r="BE1143" s="0">
        <v>70560</v>
      </c>
      <c r="BF1143" s="0">
        <v>4</v>
      </c>
      <c r="BG1143" s="0" t="s">
        <v>8279</v>
      </c>
      <c r="BI1143" s="0">
        <v>5028</v>
      </c>
      <c r="BK1143" s="0" t="s">
        <v>8280</v>
      </c>
    </row>
    <row r="1144">
      <c r="A1144" s="0">
        <v>5897</v>
      </c>
      <c r="B1144" s="0" t="s">
        <v>8281</v>
      </c>
      <c r="C1144" s="0" t="s">
        <v>339</v>
      </c>
      <c r="D1144" s="0" t="s">
        <v>8202</v>
      </c>
      <c r="E1144" s="0" t="s">
        <v>8282</v>
      </c>
      <c r="F1144" s="0">
        <v>1</v>
      </c>
      <c r="G1144" s="0" t="s">
        <v>594</v>
      </c>
      <c r="H1144" s="0" t="s">
        <v>508</v>
      </c>
      <c r="I1144" s="0" t="s">
        <v>8283</v>
      </c>
      <c r="J1144" s="0" t="s">
        <v>555</v>
      </c>
      <c r="K1144" s="0" t="s">
        <v>6541</v>
      </c>
      <c r="L1144" s="0" t="s">
        <v>1189</v>
      </c>
      <c r="O1144" s="0" t="s">
        <v>7701</v>
      </c>
      <c r="P1144" s="0" t="s">
        <v>323</v>
      </c>
      <c r="Q1144" s="0" t="s">
        <v>323</v>
      </c>
      <c r="T1144" s="0" t="s">
        <v>8284</v>
      </c>
      <c r="U1144" s="0" t="s">
        <v>8285</v>
      </c>
      <c r="X1144" s="0" t="s">
        <v>347</v>
      </c>
      <c r="Y1144" s="0" t="s">
        <v>42</v>
      </c>
      <c r="Z1144" s="0" t="s">
        <v>2384</v>
      </c>
      <c r="AA1144" s="0" t="s">
        <v>116</v>
      </c>
      <c r="AB1144" s="0" t="s">
        <v>531</v>
      </c>
      <c r="AC1144" s="0" t="s">
        <v>532</v>
      </c>
      <c r="AD1144" s="0" t="s">
        <v>8204</v>
      </c>
      <c r="AE1144" s="0" t="s">
        <v>8205</v>
      </c>
      <c r="AF1144" s="0" t="s">
        <v>301</v>
      </c>
      <c r="AP1144" s="0" t="s">
        <v>305</v>
      </c>
      <c r="BA1144" s="0">
        <v>547</v>
      </c>
      <c r="BB1144" s="0" t="s">
        <v>232</v>
      </c>
      <c r="BC1144" s="0">
        <v>2</v>
      </c>
      <c r="BD1144" s="0">
        <v>8</v>
      </c>
      <c r="BE1144" s="0">
        <v>70560</v>
      </c>
      <c r="BF1144" s="0">
        <v>4</v>
      </c>
      <c r="BG1144" s="0" t="s">
        <v>8286</v>
      </c>
      <c r="BI1144" s="0">
        <v>3110</v>
      </c>
      <c r="BK1144" s="0" t="s">
        <v>8287</v>
      </c>
    </row>
    <row r="1145">
      <c r="A1145" s="0">
        <v>5929</v>
      </c>
      <c r="B1145" s="0" t="s">
        <v>2563</v>
      </c>
      <c r="C1145" s="0" t="s">
        <v>945</v>
      </c>
      <c r="D1145" s="0" t="s">
        <v>8202</v>
      </c>
      <c r="E1145" s="0" t="s">
        <v>2565</v>
      </c>
      <c r="F1145" s="0">
        <v>1</v>
      </c>
      <c r="G1145" s="0" t="s">
        <v>594</v>
      </c>
      <c r="H1145" s="0" t="s">
        <v>508</v>
      </c>
      <c r="I1145" s="0" t="s">
        <v>1133</v>
      </c>
      <c r="J1145" s="0" t="s">
        <v>319</v>
      </c>
      <c r="K1145" s="0" t="s">
        <v>398</v>
      </c>
      <c r="L1145" s="0" t="s">
        <v>6530</v>
      </c>
      <c r="P1145" s="0" t="s">
        <v>323</v>
      </c>
      <c r="Q1145" s="0" t="s">
        <v>323</v>
      </c>
      <c r="R1145" s="0" t="s">
        <v>2393</v>
      </c>
      <c r="U1145" s="0" t="s">
        <v>8288</v>
      </c>
      <c r="X1145" s="0" t="s">
        <v>347</v>
      </c>
      <c r="Y1145" s="0" t="s">
        <v>42</v>
      </c>
      <c r="Z1145" s="0" t="s">
        <v>2384</v>
      </c>
      <c r="AA1145" s="0" t="s">
        <v>116</v>
      </c>
      <c r="AB1145" s="0" t="s">
        <v>531</v>
      </c>
      <c r="AC1145" s="0" t="s">
        <v>532</v>
      </c>
      <c r="AD1145" s="0" t="s">
        <v>8204</v>
      </c>
      <c r="AE1145" s="0" t="s">
        <v>8205</v>
      </c>
      <c r="AF1145" s="0" t="s">
        <v>301</v>
      </c>
      <c r="AM1145" s="0" t="s">
        <v>8289</v>
      </c>
      <c r="AN1145" s="0" t="s">
        <v>8290</v>
      </c>
      <c r="AO1145" s="0" t="s">
        <v>8291</v>
      </c>
      <c r="AP1145" s="0" t="s">
        <v>305</v>
      </c>
      <c r="AQ1145" s="0" t="s">
        <v>8292</v>
      </c>
      <c r="AR1145" s="0" t="s">
        <v>8293</v>
      </c>
      <c r="AS1145" s="0">
        <v>16</v>
      </c>
      <c r="AT1145" s="0">
        <v>15</v>
      </c>
      <c r="AU1145" s="0">
        <v>6</v>
      </c>
      <c r="AV1145" s="0" t="s">
        <v>308</v>
      </c>
      <c r="AW1145" s="0" t="s">
        <v>308</v>
      </c>
      <c r="AX1145" s="0" t="s">
        <v>8294</v>
      </c>
      <c r="AY1145" s="0" t="s">
        <v>8295</v>
      </c>
      <c r="AZ1145" s="0" t="s">
        <v>8296</v>
      </c>
      <c r="BA1145" s="0">
        <v>547</v>
      </c>
      <c r="BB1145" s="0" t="s">
        <v>232</v>
      </c>
      <c r="BC1145" s="0">
        <v>2</v>
      </c>
      <c r="BD1145" s="0">
        <v>14</v>
      </c>
      <c r="BE1145" s="0">
        <v>70560</v>
      </c>
      <c r="BF1145" s="0">
        <v>4</v>
      </c>
      <c r="BG1145" s="0" t="s">
        <v>8297</v>
      </c>
      <c r="BI1145" s="0">
        <v>4883</v>
      </c>
      <c r="BK1145" s="0" t="s">
        <v>8298</v>
      </c>
    </row>
    <row r="1146">
      <c r="A1146" s="0">
        <v>5928</v>
      </c>
      <c r="B1146" s="0" t="s">
        <v>6529</v>
      </c>
      <c r="C1146" s="0" t="s">
        <v>945</v>
      </c>
      <c r="D1146" s="0" t="s">
        <v>8202</v>
      </c>
      <c r="E1146" s="0" t="s">
        <v>8299</v>
      </c>
      <c r="F1146" s="0">
        <v>1</v>
      </c>
      <c r="G1146" s="0" t="s">
        <v>594</v>
      </c>
      <c r="H1146" s="0" t="s">
        <v>508</v>
      </c>
      <c r="I1146" s="0" t="s">
        <v>1133</v>
      </c>
      <c r="J1146" s="0" t="s">
        <v>319</v>
      </c>
      <c r="K1146" s="0" t="s">
        <v>398</v>
      </c>
      <c r="L1146" s="0" t="s">
        <v>6530</v>
      </c>
      <c r="P1146" s="0" t="s">
        <v>323</v>
      </c>
      <c r="Q1146" s="0" t="s">
        <v>323</v>
      </c>
      <c r="R1146" s="0" t="s">
        <v>2393</v>
      </c>
      <c r="U1146" s="0" t="s">
        <v>8300</v>
      </c>
      <c r="X1146" s="0" t="s">
        <v>347</v>
      </c>
      <c r="Y1146" s="0" t="s">
        <v>42</v>
      </c>
      <c r="Z1146" s="0" t="s">
        <v>2384</v>
      </c>
      <c r="AA1146" s="0" t="s">
        <v>116</v>
      </c>
      <c r="AB1146" s="0" t="s">
        <v>531</v>
      </c>
      <c r="AC1146" s="0" t="s">
        <v>532</v>
      </c>
      <c r="AD1146" s="0" t="s">
        <v>8204</v>
      </c>
      <c r="AE1146" s="0" t="s">
        <v>8205</v>
      </c>
      <c r="AF1146" s="0" t="s">
        <v>301</v>
      </c>
      <c r="AM1146" s="0" t="s">
        <v>8289</v>
      </c>
      <c r="AN1146" s="0" t="s">
        <v>8290</v>
      </c>
      <c r="AO1146" s="0" t="s">
        <v>8291</v>
      </c>
      <c r="AP1146" s="0" t="s">
        <v>305</v>
      </c>
      <c r="AQ1146" s="0" t="s">
        <v>8301</v>
      </c>
      <c r="AR1146" s="0" t="s">
        <v>1596</v>
      </c>
      <c r="AS1146" s="0">
        <v>6</v>
      </c>
      <c r="AT1146" s="0">
        <v>15</v>
      </c>
      <c r="AU1146" s="0">
        <v>16</v>
      </c>
      <c r="AV1146" s="0" t="s">
        <v>308</v>
      </c>
      <c r="AW1146" s="0" t="s">
        <v>308</v>
      </c>
      <c r="AX1146" s="0" t="s">
        <v>8302</v>
      </c>
      <c r="AY1146" s="0" t="s">
        <v>8303</v>
      </c>
      <c r="AZ1146" s="0" t="s">
        <v>8296</v>
      </c>
      <c r="BA1146" s="0">
        <v>547</v>
      </c>
      <c r="BB1146" s="0" t="s">
        <v>232</v>
      </c>
      <c r="BC1146" s="0">
        <v>2</v>
      </c>
      <c r="BD1146" s="0">
        <v>14</v>
      </c>
      <c r="BE1146" s="0">
        <v>70560</v>
      </c>
      <c r="BF1146" s="0">
        <v>4</v>
      </c>
      <c r="BG1146" s="0" t="s">
        <v>8304</v>
      </c>
      <c r="BI1146" s="0">
        <v>4865</v>
      </c>
      <c r="BK1146" s="0" t="s">
        <v>8305</v>
      </c>
    </row>
    <row r="1147">
      <c r="A1147" s="0">
        <v>5974</v>
      </c>
      <c r="B1147" s="0" t="s">
        <v>3001</v>
      </c>
      <c r="C1147" s="0" t="s">
        <v>1139</v>
      </c>
      <c r="D1147" s="0" t="s">
        <v>8202</v>
      </c>
      <c r="E1147" s="0" t="s">
        <v>3002</v>
      </c>
      <c r="F1147" s="0">
        <v>1</v>
      </c>
      <c r="G1147" s="0" t="s">
        <v>293</v>
      </c>
      <c r="H1147" s="0" t="s">
        <v>294</v>
      </c>
      <c r="I1147" s="0" t="s">
        <v>295</v>
      </c>
      <c r="P1147" s="0" t="s">
        <v>343</v>
      </c>
      <c r="Q1147" s="0" t="s">
        <v>343</v>
      </c>
      <c r="U1147" s="0" t="s">
        <v>8306</v>
      </c>
      <c r="X1147" s="0" t="s">
        <v>347</v>
      </c>
      <c r="Y1147" s="0" t="s">
        <v>42</v>
      </c>
      <c r="Z1147" s="0" t="s">
        <v>2384</v>
      </c>
      <c r="AA1147" s="0" t="s">
        <v>116</v>
      </c>
      <c r="AB1147" s="0" t="s">
        <v>531</v>
      </c>
      <c r="AC1147" s="0" t="s">
        <v>532</v>
      </c>
      <c r="AD1147" s="0" t="s">
        <v>8204</v>
      </c>
      <c r="AE1147" s="0" t="s">
        <v>8205</v>
      </c>
      <c r="AF1147" s="0" t="s">
        <v>301</v>
      </c>
      <c r="AM1147" s="0" t="s">
        <v>8307</v>
      </c>
      <c r="AN1147" s="0" t="s">
        <v>8308</v>
      </c>
      <c r="AO1147" s="0" t="s">
        <v>8309</v>
      </c>
      <c r="AP1147" s="0" t="s">
        <v>305</v>
      </c>
      <c r="AQ1147" s="0" t="s">
        <v>1581</v>
      </c>
      <c r="AR1147" s="0" t="s">
        <v>1763</v>
      </c>
      <c r="AS1147" s="0">
        <v>220</v>
      </c>
      <c r="AT1147" s="0">
        <v>453</v>
      </c>
      <c r="AU1147" s="0">
        <v>523</v>
      </c>
      <c r="AV1147" s="0" t="s">
        <v>8310</v>
      </c>
      <c r="AW1147" s="0" t="s">
        <v>8311</v>
      </c>
      <c r="AX1147" s="0" t="s">
        <v>978</v>
      </c>
      <c r="AY1147" s="0" t="s">
        <v>1066</v>
      </c>
      <c r="AZ1147" s="0" t="s">
        <v>1772</v>
      </c>
      <c r="BA1147" s="0">
        <v>547</v>
      </c>
      <c r="BB1147" s="0" t="s">
        <v>232</v>
      </c>
      <c r="BC1147" s="0">
        <v>2</v>
      </c>
      <c r="BD1147" s="0">
        <v>38030</v>
      </c>
      <c r="BE1147" s="0">
        <v>70560</v>
      </c>
      <c r="BF1147" s="0">
        <v>4</v>
      </c>
      <c r="BG1147" s="0" t="s">
        <v>8312</v>
      </c>
      <c r="BI1147" s="0">
        <v>5243</v>
      </c>
      <c r="BK1147" s="0" t="s">
        <v>8313</v>
      </c>
    </row>
    <row r="1148">
      <c r="A1148" s="0">
        <v>5944</v>
      </c>
      <c r="B1148" s="0" t="s">
        <v>4056</v>
      </c>
      <c r="C1148" s="0" t="s">
        <v>579</v>
      </c>
      <c r="D1148" s="0" t="s">
        <v>8202</v>
      </c>
      <c r="E1148" s="0" t="s">
        <v>4057</v>
      </c>
      <c r="F1148" s="0">
        <v>1</v>
      </c>
      <c r="G1148" s="0" t="s">
        <v>293</v>
      </c>
      <c r="H1148" s="0" t="s">
        <v>294</v>
      </c>
      <c r="I1148" s="0" t="s">
        <v>295</v>
      </c>
      <c r="J1148" s="0" t="s">
        <v>581</v>
      </c>
      <c r="K1148" s="0" t="s">
        <v>581</v>
      </c>
      <c r="L1148" s="0" t="s">
        <v>582</v>
      </c>
      <c r="P1148" s="0" t="s">
        <v>343</v>
      </c>
      <c r="Q1148" s="0" t="s">
        <v>343</v>
      </c>
      <c r="T1148" s="0" t="s">
        <v>8314</v>
      </c>
      <c r="U1148" s="0" t="s">
        <v>8315</v>
      </c>
      <c r="X1148" s="0" t="s">
        <v>347</v>
      </c>
      <c r="Y1148" s="0" t="s">
        <v>42</v>
      </c>
      <c r="Z1148" s="0" t="s">
        <v>2384</v>
      </c>
      <c r="AA1148" s="0" t="s">
        <v>116</v>
      </c>
      <c r="AB1148" s="0" t="s">
        <v>531</v>
      </c>
      <c r="AC1148" s="0" t="s">
        <v>532</v>
      </c>
      <c r="AD1148" s="0" t="s">
        <v>8204</v>
      </c>
      <c r="AE1148" s="0" t="s">
        <v>8205</v>
      </c>
      <c r="AF1148" s="0" t="s">
        <v>301</v>
      </c>
      <c r="AP1148" s="0" t="s">
        <v>305</v>
      </c>
      <c r="BA1148" s="0">
        <v>547</v>
      </c>
      <c r="BB1148" s="0" t="s">
        <v>232</v>
      </c>
      <c r="BC1148" s="0">
        <v>2</v>
      </c>
      <c r="BD1148" s="0">
        <v>374046</v>
      </c>
      <c r="BE1148" s="0">
        <v>70560</v>
      </c>
      <c r="BF1148" s="0">
        <v>4</v>
      </c>
      <c r="BG1148" s="0" t="s">
        <v>8316</v>
      </c>
      <c r="BI1148" s="0">
        <v>5190</v>
      </c>
      <c r="BK1148" s="0" t="s">
        <v>8317</v>
      </c>
    </row>
    <row r="1149">
      <c r="A1149" s="0">
        <v>5961</v>
      </c>
      <c r="B1149" s="0" t="s">
        <v>8318</v>
      </c>
      <c r="C1149" s="0" t="s">
        <v>1139</v>
      </c>
      <c r="D1149" s="0" t="s">
        <v>8202</v>
      </c>
      <c r="E1149" s="0" t="s">
        <v>8319</v>
      </c>
      <c r="F1149" s="0">
        <v>1</v>
      </c>
      <c r="G1149" s="0" t="s">
        <v>293</v>
      </c>
      <c r="H1149" s="0" t="s">
        <v>294</v>
      </c>
      <c r="I1149" s="0" t="s">
        <v>295</v>
      </c>
      <c r="P1149" s="0" t="s">
        <v>323</v>
      </c>
      <c r="Q1149" s="0" t="s">
        <v>323</v>
      </c>
      <c r="R1149" s="0" t="s">
        <v>1021</v>
      </c>
      <c r="U1149" s="0" t="s">
        <v>8320</v>
      </c>
      <c r="X1149" s="0" t="s">
        <v>347</v>
      </c>
      <c r="Y1149" s="0" t="s">
        <v>42</v>
      </c>
      <c r="Z1149" s="0" t="s">
        <v>2384</v>
      </c>
      <c r="AA1149" s="0" t="s">
        <v>116</v>
      </c>
      <c r="AB1149" s="0" t="s">
        <v>531</v>
      </c>
      <c r="AC1149" s="0" t="s">
        <v>532</v>
      </c>
      <c r="AD1149" s="0" t="s">
        <v>8204</v>
      </c>
      <c r="AE1149" s="0" t="s">
        <v>8205</v>
      </c>
      <c r="AF1149" s="0" t="s">
        <v>301</v>
      </c>
      <c r="AM1149" s="0" t="s">
        <v>8321</v>
      </c>
      <c r="AN1149" s="0" t="s">
        <v>8322</v>
      </c>
      <c r="AO1149" s="0" t="s">
        <v>8323</v>
      </c>
      <c r="AP1149" s="0" t="s">
        <v>305</v>
      </c>
      <c r="AQ1149" s="0" t="s">
        <v>8324</v>
      </c>
      <c r="AR1149" s="0" t="s">
        <v>8325</v>
      </c>
      <c r="AS1149" s="0">
        <v>38</v>
      </c>
      <c r="AT1149" s="0">
        <v>79</v>
      </c>
      <c r="AU1149" s="0">
        <v>90</v>
      </c>
      <c r="AV1149" s="0" t="s">
        <v>332</v>
      </c>
      <c r="AW1149" s="0" t="s">
        <v>1850</v>
      </c>
      <c r="AX1149" s="0" t="s">
        <v>8326</v>
      </c>
      <c r="AY1149" s="0" t="s">
        <v>8327</v>
      </c>
      <c r="AZ1149" s="0" t="s">
        <v>8328</v>
      </c>
      <c r="BA1149" s="0">
        <v>547</v>
      </c>
      <c r="BB1149" s="0" t="s">
        <v>232</v>
      </c>
      <c r="BC1149" s="0">
        <v>2</v>
      </c>
      <c r="BD1149" s="0">
        <v>38030</v>
      </c>
      <c r="BE1149" s="0">
        <v>70560</v>
      </c>
      <c r="BF1149" s="0">
        <v>4</v>
      </c>
      <c r="BG1149" s="0" t="s">
        <v>8329</v>
      </c>
      <c r="BI1149" s="0">
        <v>5172</v>
      </c>
      <c r="BK1149" s="0" t="s">
        <v>8330</v>
      </c>
    </row>
    <row r="1150">
      <c r="A1150" s="0">
        <v>5963</v>
      </c>
      <c r="B1150" s="0" t="s">
        <v>8331</v>
      </c>
      <c r="C1150" s="0" t="s">
        <v>579</v>
      </c>
      <c r="D1150" s="0" t="s">
        <v>8202</v>
      </c>
      <c r="E1150" s="0" t="s">
        <v>8332</v>
      </c>
      <c r="F1150" s="0">
        <v>1</v>
      </c>
      <c r="G1150" s="0" t="s">
        <v>293</v>
      </c>
      <c r="H1150" s="0" t="s">
        <v>294</v>
      </c>
      <c r="I1150" s="0" t="s">
        <v>295</v>
      </c>
      <c r="J1150" s="0" t="s">
        <v>7656</v>
      </c>
      <c r="K1150" s="0" t="s">
        <v>7656</v>
      </c>
      <c r="L1150" s="0" t="s">
        <v>8333</v>
      </c>
      <c r="P1150" s="0" t="s">
        <v>343</v>
      </c>
      <c r="Q1150" s="0" t="s">
        <v>343</v>
      </c>
      <c r="T1150" s="0" t="s">
        <v>8334</v>
      </c>
      <c r="U1150" s="0" t="s">
        <v>8335</v>
      </c>
      <c r="X1150" s="0" t="s">
        <v>347</v>
      </c>
      <c r="Y1150" s="0" t="s">
        <v>42</v>
      </c>
      <c r="Z1150" s="0" t="s">
        <v>2384</v>
      </c>
      <c r="AA1150" s="0" t="s">
        <v>116</v>
      </c>
      <c r="AB1150" s="0" t="s">
        <v>531</v>
      </c>
      <c r="AC1150" s="0" t="s">
        <v>532</v>
      </c>
      <c r="AD1150" s="0" t="s">
        <v>8204</v>
      </c>
      <c r="AE1150" s="0" t="s">
        <v>8205</v>
      </c>
      <c r="AF1150" s="0" t="s">
        <v>301</v>
      </c>
      <c r="AP1150" s="0" t="s">
        <v>305</v>
      </c>
      <c r="BA1150" s="0">
        <v>547</v>
      </c>
      <c r="BB1150" s="0" t="s">
        <v>232</v>
      </c>
      <c r="BC1150" s="0">
        <v>2</v>
      </c>
      <c r="BD1150" s="0">
        <v>374046</v>
      </c>
      <c r="BE1150" s="0">
        <v>70560</v>
      </c>
      <c r="BF1150" s="0">
        <v>4</v>
      </c>
      <c r="BG1150" s="0" t="s">
        <v>8336</v>
      </c>
      <c r="BI1150" s="0">
        <v>5200</v>
      </c>
      <c r="BK1150" s="0" t="s">
        <v>8337</v>
      </c>
    </row>
    <row r="1151">
      <c r="A1151" s="0">
        <v>5941</v>
      </c>
      <c r="B1151" s="0" t="s">
        <v>8338</v>
      </c>
      <c r="C1151" s="0" t="s">
        <v>945</v>
      </c>
      <c r="D1151" s="0" t="s">
        <v>8202</v>
      </c>
      <c r="E1151" s="0" t="s">
        <v>8339</v>
      </c>
      <c r="F1151" s="0">
        <v>3</v>
      </c>
      <c r="G1151" s="0" t="s">
        <v>319</v>
      </c>
      <c r="H1151" s="0" t="s">
        <v>658</v>
      </c>
      <c r="I1151" s="0" t="s">
        <v>1746</v>
      </c>
      <c r="J1151" s="0" t="s">
        <v>594</v>
      </c>
      <c r="K1151" s="0" t="s">
        <v>508</v>
      </c>
      <c r="P1151" s="0" t="s">
        <v>323</v>
      </c>
      <c r="Q1151" s="0" t="s">
        <v>8340</v>
      </c>
      <c r="R1151" s="0" t="s">
        <v>526</v>
      </c>
      <c r="U1151" s="0" t="s">
        <v>8341</v>
      </c>
      <c r="X1151" s="0" t="s">
        <v>347</v>
      </c>
      <c r="Y1151" s="0" t="s">
        <v>42</v>
      </c>
      <c r="Z1151" s="0" t="s">
        <v>2384</v>
      </c>
      <c r="AA1151" s="0" t="s">
        <v>116</v>
      </c>
      <c r="AB1151" s="0" t="s">
        <v>531</v>
      </c>
      <c r="AC1151" s="0" t="s">
        <v>532</v>
      </c>
      <c r="AD1151" s="0" t="s">
        <v>8204</v>
      </c>
      <c r="AE1151" s="0" t="s">
        <v>8205</v>
      </c>
      <c r="AF1151" s="0" t="s">
        <v>301</v>
      </c>
      <c r="AM1151" s="0" t="s">
        <v>816</v>
      </c>
      <c r="AN1151" s="0" t="s">
        <v>426</v>
      </c>
      <c r="AO1151" s="0" t="s">
        <v>573</v>
      </c>
      <c r="AP1151" s="0" t="s">
        <v>305</v>
      </c>
      <c r="AQ1151" s="0" t="s">
        <v>1763</v>
      </c>
      <c r="AR1151" s="0" t="s">
        <v>1434</v>
      </c>
      <c r="AS1151" s="0">
        <v>80</v>
      </c>
      <c r="AT1151" s="0">
        <v>162</v>
      </c>
      <c r="AU1151" s="0">
        <v>200</v>
      </c>
      <c r="AV1151" s="0" t="s">
        <v>332</v>
      </c>
      <c r="AW1151" s="0" t="s">
        <v>332</v>
      </c>
      <c r="AX1151" s="0" t="s">
        <v>627</v>
      </c>
      <c r="AY1151" s="0" t="s">
        <v>780</v>
      </c>
      <c r="AZ1151" s="0" t="s">
        <v>461</v>
      </c>
      <c r="BA1151" s="0">
        <v>547</v>
      </c>
      <c r="BB1151" s="0" t="s">
        <v>232</v>
      </c>
      <c r="BC1151" s="0">
        <v>2</v>
      </c>
      <c r="BD1151" s="0">
        <v>14</v>
      </c>
      <c r="BE1151" s="0">
        <v>70560</v>
      </c>
      <c r="BF1151" s="0">
        <v>4</v>
      </c>
      <c r="BG1151" s="0" t="s">
        <v>8342</v>
      </c>
      <c r="BI1151" s="0">
        <v>5106</v>
      </c>
      <c r="BK1151" s="0" t="s">
        <v>8343</v>
      </c>
    </row>
    <row r="1152">
      <c r="A1152" s="0">
        <v>5925</v>
      </c>
      <c r="B1152" s="0" t="s">
        <v>8344</v>
      </c>
      <c r="C1152" s="0" t="s">
        <v>656</v>
      </c>
      <c r="D1152" s="0" t="s">
        <v>8202</v>
      </c>
      <c r="E1152" s="0" t="s">
        <v>8345</v>
      </c>
      <c r="F1152" s="0">
        <v>1</v>
      </c>
      <c r="G1152" s="0" t="s">
        <v>293</v>
      </c>
      <c r="H1152" s="0" t="s">
        <v>294</v>
      </c>
      <c r="I1152" s="0" t="s">
        <v>295</v>
      </c>
      <c r="J1152" s="0" t="s">
        <v>319</v>
      </c>
      <c r="K1152" s="0" t="s">
        <v>483</v>
      </c>
      <c r="L1152" s="0" t="s">
        <v>4063</v>
      </c>
      <c r="P1152" s="0" t="s">
        <v>343</v>
      </c>
      <c r="Q1152" s="0" t="s">
        <v>343</v>
      </c>
      <c r="U1152" s="0" t="s">
        <v>8346</v>
      </c>
      <c r="X1152" s="0" t="s">
        <v>347</v>
      </c>
      <c r="Y1152" s="0" t="s">
        <v>42</v>
      </c>
      <c r="Z1152" s="0" t="s">
        <v>2384</v>
      </c>
      <c r="AA1152" s="0" t="s">
        <v>116</v>
      </c>
      <c r="AB1152" s="0" t="s">
        <v>531</v>
      </c>
      <c r="AC1152" s="0" t="s">
        <v>532</v>
      </c>
      <c r="AD1152" s="0" t="s">
        <v>8204</v>
      </c>
      <c r="AE1152" s="0" t="s">
        <v>8205</v>
      </c>
      <c r="AF1152" s="0" t="s">
        <v>301</v>
      </c>
      <c r="AP1152" s="0" t="s">
        <v>305</v>
      </c>
      <c r="BA1152" s="0">
        <v>547</v>
      </c>
      <c r="BB1152" s="0" t="s">
        <v>232</v>
      </c>
      <c r="BC1152" s="0">
        <v>2</v>
      </c>
      <c r="BD1152" s="0">
        <v>10</v>
      </c>
      <c r="BE1152" s="0">
        <v>70560</v>
      </c>
      <c r="BF1152" s="0">
        <v>4</v>
      </c>
      <c r="BG1152" s="0" t="s">
        <v>8347</v>
      </c>
      <c r="BI1152" s="0">
        <v>4790</v>
      </c>
      <c r="BK1152" s="0" t="s">
        <v>8348</v>
      </c>
    </row>
    <row r="1153">
      <c r="A1153" s="0">
        <v>5926</v>
      </c>
      <c r="B1153" s="0" t="s">
        <v>8344</v>
      </c>
      <c r="C1153" s="0" t="s">
        <v>656</v>
      </c>
      <c r="D1153" s="0" t="s">
        <v>8202</v>
      </c>
      <c r="E1153" s="0" t="s">
        <v>8345</v>
      </c>
      <c r="F1153" s="0">
        <v>1</v>
      </c>
      <c r="G1153" s="0" t="s">
        <v>293</v>
      </c>
      <c r="H1153" s="0" t="s">
        <v>294</v>
      </c>
      <c r="I1153" s="0" t="s">
        <v>295</v>
      </c>
      <c r="J1153" s="0" t="s">
        <v>319</v>
      </c>
      <c r="K1153" s="0" t="s">
        <v>483</v>
      </c>
      <c r="L1153" s="0" t="s">
        <v>8349</v>
      </c>
      <c r="P1153" s="0" t="s">
        <v>343</v>
      </c>
      <c r="Q1153" s="0" t="s">
        <v>343</v>
      </c>
      <c r="U1153" s="0" t="s">
        <v>8350</v>
      </c>
      <c r="X1153" s="0" t="s">
        <v>347</v>
      </c>
      <c r="Y1153" s="0" t="s">
        <v>42</v>
      </c>
      <c r="Z1153" s="0" t="s">
        <v>2384</v>
      </c>
      <c r="AA1153" s="0" t="s">
        <v>116</v>
      </c>
      <c r="AB1153" s="0" t="s">
        <v>531</v>
      </c>
      <c r="AC1153" s="0" t="s">
        <v>532</v>
      </c>
      <c r="AD1153" s="0" t="s">
        <v>8204</v>
      </c>
      <c r="AE1153" s="0" t="s">
        <v>8205</v>
      </c>
      <c r="AF1153" s="0" t="s">
        <v>301</v>
      </c>
      <c r="AP1153" s="0" t="s">
        <v>305</v>
      </c>
      <c r="BA1153" s="0">
        <v>547</v>
      </c>
      <c r="BB1153" s="0" t="s">
        <v>232</v>
      </c>
      <c r="BC1153" s="0">
        <v>2</v>
      </c>
      <c r="BD1153" s="0">
        <v>10</v>
      </c>
      <c r="BE1153" s="0">
        <v>70560</v>
      </c>
      <c r="BF1153" s="0">
        <v>4</v>
      </c>
      <c r="BG1153" s="0" t="s">
        <v>8351</v>
      </c>
      <c r="BI1153" s="0">
        <v>4808</v>
      </c>
      <c r="BK1153" s="0" t="s">
        <v>8352</v>
      </c>
    </row>
    <row r="1154">
      <c r="A1154" s="0">
        <v>5938</v>
      </c>
      <c r="B1154" s="0" t="s">
        <v>8353</v>
      </c>
      <c r="C1154" s="0" t="s">
        <v>945</v>
      </c>
      <c r="D1154" s="0" t="s">
        <v>8202</v>
      </c>
      <c r="E1154" s="0" t="s">
        <v>8354</v>
      </c>
      <c r="F1154" s="0">
        <v>3</v>
      </c>
      <c r="G1154" s="0" t="s">
        <v>319</v>
      </c>
      <c r="H1154" s="0" t="s">
        <v>523</v>
      </c>
      <c r="I1154" s="0" t="s">
        <v>8355</v>
      </c>
      <c r="J1154" s="0" t="s">
        <v>293</v>
      </c>
      <c r="K1154" s="0" t="s">
        <v>294</v>
      </c>
      <c r="L1154" s="0" t="s">
        <v>295</v>
      </c>
      <c r="M1154" s="0" t="s">
        <v>594</v>
      </c>
      <c r="N1154" s="0" t="s">
        <v>508</v>
      </c>
      <c r="P1154" s="0" t="s">
        <v>323</v>
      </c>
      <c r="Q1154" s="0" t="s">
        <v>343</v>
      </c>
      <c r="R1154" s="0" t="s">
        <v>6865</v>
      </c>
      <c r="T1154" s="0" t="s">
        <v>8356</v>
      </c>
      <c r="U1154" s="0" t="s">
        <v>8357</v>
      </c>
      <c r="X1154" s="0" t="s">
        <v>347</v>
      </c>
      <c r="Y1154" s="0" t="s">
        <v>42</v>
      </c>
      <c r="Z1154" s="0" t="s">
        <v>2384</v>
      </c>
      <c r="AA1154" s="0" t="s">
        <v>116</v>
      </c>
      <c r="AB1154" s="0" t="s">
        <v>531</v>
      </c>
      <c r="AC1154" s="0" t="s">
        <v>532</v>
      </c>
      <c r="AD1154" s="0" t="s">
        <v>8204</v>
      </c>
      <c r="AE1154" s="0" t="s">
        <v>8205</v>
      </c>
      <c r="AF1154" s="0" t="s">
        <v>301</v>
      </c>
      <c r="AM1154" s="0" t="s">
        <v>780</v>
      </c>
      <c r="AN1154" s="0" t="s">
        <v>422</v>
      </c>
      <c r="AO1154" s="0" t="s">
        <v>443</v>
      </c>
      <c r="AP1154" s="0" t="s">
        <v>305</v>
      </c>
      <c r="AQ1154" s="0" t="s">
        <v>2337</v>
      </c>
      <c r="AR1154" s="0" t="s">
        <v>502</v>
      </c>
      <c r="AS1154" s="0">
        <v>215</v>
      </c>
      <c r="AT1154" s="0">
        <v>306</v>
      </c>
      <c r="AU1154" s="0">
        <v>344</v>
      </c>
      <c r="AV1154" s="0" t="s">
        <v>332</v>
      </c>
      <c r="AW1154" s="0" t="s">
        <v>332</v>
      </c>
      <c r="AX1154" s="0" t="s">
        <v>309</v>
      </c>
      <c r="AY1154" s="0" t="s">
        <v>1472</v>
      </c>
      <c r="AZ1154" s="0" t="s">
        <v>303</v>
      </c>
      <c r="BA1154" s="0">
        <v>547</v>
      </c>
      <c r="BB1154" s="0" t="s">
        <v>232</v>
      </c>
      <c r="BC1154" s="0">
        <v>2</v>
      </c>
      <c r="BD1154" s="0">
        <v>14</v>
      </c>
      <c r="BE1154" s="0">
        <v>70560</v>
      </c>
      <c r="BF1154" s="0">
        <v>4</v>
      </c>
      <c r="BG1154" s="0" t="s">
        <v>8358</v>
      </c>
      <c r="BI1154" s="0">
        <v>5046</v>
      </c>
      <c r="BK1154" s="0" t="s">
        <v>8359</v>
      </c>
    </row>
    <row r="1155">
      <c r="A1155" s="0">
        <v>5954</v>
      </c>
      <c r="B1155" s="0" t="s">
        <v>8360</v>
      </c>
      <c r="C1155" s="0" t="s">
        <v>6376</v>
      </c>
      <c r="D1155" s="0" t="s">
        <v>8202</v>
      </c>
      <c r="E1155" s="0" t="s">
        <v>8361</v>
      </c>
      <c r="F1155" s="0">
        <v>1</v>
      </c>
      <c r="G1155" s="0" t="s">
        <v>319</v>
      </c>
      <c r="H1155" s="0" t="s">
        <v>658</v>
      </c>
      <c r="I1155" s="0" t="s">
        <v>948</v>
      </c>
      <c r="J1155" s="0" t="s">
        <v>594</v>
      </c>
      <c r="K1155" s="0" t="s">
        <v>508</v>
      </c>
      <c r="P1155" s="0" t="s">
        <v>323</v>
      </c>
      <c r="Q1155" s="0" t="s">
        <v>4015</v>
      </c>
      <c r="R1155" s="0" t="s">
        <v>8362</v>
      </c>
      <c r="U1155" s="0" t="s">
        <v>8363</v>
      </c>
      <c r="X1155" s="0" t="s">
        <v>347</v>
      </c>
      <c r="Y1155" s="0" t="s">
        <v>42</v>
      </c>
      <c r="Z1155" s="0" t="s">
        <v>2384</v>
      </c>
      <c r="AA1155" s="0" t="s">
        <v>116</v>
      </c>
      <c r="AB1155" s="0" t="s">
        <v>531</v>
      </c>
      <c r="AC1155" s="0" t="s">
        <v>532</v>
      </c>
      <c r="AD1155" s="0" t="s">
        <v>8204</v>
      </c>
      <c r="AE1155" s="0" t="s">
        <v>8205</v>
      </c>
      <c r="AF1155" s="0" t="s">
        <v>301</v>
      </c>
      <c r="AP1155" s="0" t="s">
        <v>305</v>
      </c>
      <c r="BA1155" s="0">
        <v>547</v>
      </c>
      <c r="BB1155" s="0" t="s">
        <v>232</v>
      </c>
      <c r="BC1155" s="0">
        <v>2</v>
      </c>
      <c r="BD1155" s="0">
        <v>374103</v>
      </c>
      <c r="BE1155" s="0">
        <v>70560</v>
      </c>
      <c r="BF1155" s="0">
        <v>4</v>
      </c>
      <c r="BG1155" s="0" t="s">
        <v>8364</v>
      </c>
      <c r="BI1155" s="0">
        <v>5120</v>
      </c>
      <c r="BK1155" s="0" t="s">
        <v>8365</v>
      </c>
    </row>
    <row r="1156">
      <c r="A1156" s="0">
        <v>5940</v>
      </c>
      <c r="B1156" s="0" t="s">
        <v>8366</v>
      </c>
      <c r="C1156" s="0" t="s">
        <v>315</v>
      </c>
      <c r="D1156" s="0" t="s">
        <v>8202</v>
      </c>
      <c r="E1156" s="0" t="s">
        <v>8367</v>
      </c>
      <c r="F1156" s="0">
        <v>2</v>
      </c>
      <c r="G1156" s="0" t="s">
        <v>525</v>
      </c>
      <c r="H1156" s="0" t="s">
        <v>400</v>
      </c>
      <c r="I1156" s="0" t="s">
        <v>1133</v>
      </c>
      <c r="J1156" s="0" t="s">
        <v>319</v>
      </c>
      <c r="K1156" s="0" t="s">
        <v>523</v>
      </c>
      <c r="L1156" s="0" t="s">
        <v>524</v>
      </c>
      <c r="P1156" s="0" t="s">
        <v>343</v>
      </c>
      <c r="Q1156" s="0" t="s">
        <v>343</v>
      </c>
      <c r="T1156" s="0" t="s">
        <v>8368</v>
      </c>
      <c r="U1156" s="0" t="s">
        <v>8369</v>
      </c>
      <c r="X1156" s="0" t="s">
        <v>347</v>
      </c>
      <c r="Y1156" s="0" t="s">
        <v>42</v>
      </c>
      <c r="Z1156" s="0" t="s">
        <v>2384</v>
      </c>
      <c r="AA1156" s="0" t="s">
        <v>116</v>
      </c>
      <c r="AB1156" s="0" t="s">
        <v>531</v>
      </c>
      <c r="AC1156" s="0" t="s">
        <v>532</v>
      </c>
      <c r="AD1156" s="0" t="s">
        <v>8204</v>
      </c>
      <c r="AE1156" s="0" t="s">
        <v>8205</v>
      </c>
      <c r="AF1156" s="0" t="s">
        <v>301</v>
      </c>
      <c r="AP1156" s="0" t="s">
        <v>305</v>
      </c>
      <c r="BA1156" s="0">
        <v>547</v>
      </c>
      <c r="BB1156" s="0" t="s">
        <v>232</v>
      </c>
      <c r="BC1156" s="0">
        <v>2</v>
      </c>
      <c r="BD1156" s="0">
        <v>374043</v>
      </c>
      <c r="BE1156" s="0">
        <v>70560</v>
      </c>
      <c r="BF1156" s="0">
        <v>4</v>
      </c>
      <c r="BG1156" s="0" t="s">
        <v>8370</v>
      </c>
      <c r="BI1156" s="0">
        <v>5063</v>
      </c>
      <c r="BK1156" s="0" t="s">
        <v>8371</v>
      </c>
    </row>
    <row r="1157">
      <c r="A1157" s="0">
        <v>5939</v>
      </c>
      <c r="B1157" s="0" t="s">
        <v>8372</v>
      </c>
      <c r="C1157" s="0" t="s">
        <v>315</v>
      </c>
      <c r="D1157" s="0" t="s">
        <v>8202</v>
      </c>
      <c r="E1157" s="0" t="s">
        <v>8373</v>
      </c>
      <c r="F1157" s="0">
        <v>2</v>
      </c>
      <c r="G1157" s="0" t="s">
        <v>525</v>
      </c>
      <c r="H1157" s="0" t="s">
        <v>400</v>
      </c>
      <c r="I1157" s="0" t="s">
        <v>1133</v>
      </c>
      <c r="J1157" s="0" t="s">
        <v>319</v>
      </c>
      <c r="K1157" s="0" t="s">
        <v>523</v>
      </c>
      <c r="L1157" s="0" t="s">
        <v>1268</v>
      </c>
      <c r="M1157" s="0" t="s">
        <v>293</v>
      </c>
      <c r="N1157" s="0" t="s">
        <v>294</v>
      </c>
      <c r="O1157" s="0" t="s">
        <v>295</v>
      </c>
      <c r="P1157" s="0" t="s">
        <v>343</v>
      </c>
      <c r="Q1157" s="0" t="s">
        <v>343</v>
      </c>
      <c r="T1157" s="0" t="s">
        <v>8368</v>
      </c>
      <c r="U1157" s="0" t="s">
        <v>8374</v>
      </c>
      <c r="X1157" s="0" t="s">
        <v>347</v>
      </c>
      <c r="Y1157" s="0" t="s">
        <v>42</v>
      </c>
      <c r="Z1157" s="0" t="s">
        <v>2384</v>
      </c>
      <c r="AA1157" s="0" t="s">
        <v>116</v>
      </c>
      <c r="AB1157" s="0" t="s">
        <v>531</v>
      </c>
      <c r="AC1157" s="0" t="s">
        <v>532</v>
      </c>
      <c r="AD1157" s="0" t="s">
        <v>8204</v>
      </c>
      <c r="AE1157" s="0" t="s">
        <v>8205</v>
      </c>
      <c r="AF1157" s="0" t="s">
        <v>301</v>
      </c>
      <c r="AP1157" s="0" t="s">
        <v>305</v>
      </c>
      <c r="BA1157" s="0">
        <v>547</v>
      </c>
      <c r="BB1157" s="0" t="s">
        <v>232</v>
      </c>
      <c r="BC1157" s="0">
        <v>2</v>
      </c>
      <c r="BD1157" s="0">
        <v>374043</v>
      </c>
      <c r="BE1157" s="0">
        <v>70560</v>
      </c>
      <c r="BF1157" s="0">
        <v>4</v>
      </c>
      <c r="BG1157" s="0" t="s">
        <v>8375</v>
      </c>
      <c r="BI1157" s="0">
        <v>5055</v>
      </c>
      <c r="BK1157" s="0" t="s">
        <v>8376</v>
      </c>
    </row>
    <row r="1158">
      <c r="A1158" s="0">
        <v>5972</v>
      </c>
      <c r="B1158" s="0" t="s">
        <v>8377</v>
      </c>
      <c r="C1158" s="0" t="s">
        <v>315</v>
      </c>
      <c r="D1158" s="0" t="s">
        <v>8202</v>
      </c>
      <c r="E1158" s="0" t="s">
        <v>8378</v>
      </c>
      <c r="F1158" s="0">
        <v>1</v>
      </c>
      <c r="G1158" s="0" t="s">
        <v>293</v>
      </c>
      <c r="H1158" s="0" t="s">
        <v>294</v>
      </c>
      <c r="I1158" s="0" t="s">
        <v>295</v>
      </c>
      <c r="J1158" s="0" t="s">
        <v>2635</v>
      </c>
      <c r="K1158" s="0" t="s">
        <v>2635</v>
      </c>
      <c r="L1158" s="0" t="s">
        <v>4646</v>
      </c>
      <c r="P1158" s="0" t="s">
        <v>343</v>
      </c>
      <c r="Q1158" s="0" t="s">
        <v>343</v>
      </c>
      <c r="U1158" s="0" t="s">
        <v>8379</v>
      </c>
      <c r="X1158" s="0" t="s">
        <v>347</v>
      </c>
      <c r="Y1158" s="0" t="s">
        <v>42</v>
      </c>
      <c r="Z1158" s="0" t="s">
        <v>2384</v>
      </c>
      <c r="AA1158" s="0" t="s">
        <v>116</v>
      </c>
      <c r="AB1158" s="0" t="s">
        <v>531</v>
      </c>
      <c r="AC1158" s="0" t="s">
        <v>532</v>
      </c>
      <c r="AD1158" s="0" t="s">
        <v>8204</v>
      </c>
      <c r="AE1158" s="0" t="s">
        <v>8205</v>
      </c>
      <c r="AF1158" s="0" t="s">
        <v>301</v>
      </c>
      <c r="AP1158" s="0" t="s">
        <v>305</v>
      </c>
      <c r="BA1158" s="0">
        <v>547</v>
      </c>
      <c r="BB1158" s="0" t="s">
        <v>232</v>
      </c>
      <c r="BC1158" s="0">
        <v>2</v>
      </c>
      <c r="BD1158" s="0">
        <v>374043</v>
      </c>
      <c r="BE1158" s="0">
        <v>70560</v>
      </c>
      <c r="BF1158" s="0">
        <v>4</v>
      </c>
      <c r="BG1158" s="0" t="s">
        <v>8380</v>
      </c>
      <c r="BI1158" s="0">
        <v>5234</v>
      </c>
      <c r="BK1158" s="0" t="s">
        <v>8381</v>
      </c>
    </row>
    <row r="1159">
      <c r="A1159" s="0">
        <v>5970</v>
      </c>
      <c r="B1159" s="0" t="s">
        <v>8377</v>
      </c>
      <c r="C1159" s="0" t="s">
        <v>315</v>
      </c>
      <c r="D1159" s="0" t="s">
        <v>8202</v>
      </c>
      <c r="E1159" s="0" t="s">
        <v>8378</v>
      </c>
      <c r="F1159" s="0">
        <v>1</v>
      </c>
      <c r="G1159" s="0" t="s">
        <v>293</v>
      </c>
      <c r="H1159" s="0" t="s">
        <v>294</v>
      </c>
      <c r="I1159" s="0" t="s">
        <v>295</v>
      </c>
      <c r="J1159" s="0" t="s">
        <v>2635</v>
      </c>
      <c r="K1159" s="0" t="s">
        <v>2635</v>
      </c>
      <c r="L1159" s="0" t="s">
        <v>497</v>
      </c>
      <c r="P1159" s="0" t="s">
        <v>343</v>
      </c>
      <c r="Q1159" s="0" t="s">
        <v>343</v>
      </c>
      <c r="U1159" s="0" t="s">
        <v>8382</v>
      </c>
      <c r="X1159" s="0" t="s">
        <v>347</v>
      </c>
      <c r="Y1159" s="0" t="s">
        <v>42</v>
      </c>
      <c r="Z1159" s="0" t="s">
        <v>2384</v>
      </c>
      <c r="AA1159" s="0" t="s">
        <v>116</v>
      </c>
      <c r="AB1159" s="0" t="s">
        <v>531</v>
      </c>
      <c r="AC1159" s="0" t="s">
        <v>532</v>
      </c>
      <c r="AD1159" s="0" t="s">
        <v>8204</v>
      </c>
      <c r="AE1159" s="0" t="s">
        <v>8205</v>
      </c>
      <c r="AF1159" s="0" t="s">
        <v>301</v>
      </c>
      <c r="AP1159" s="0" t="s">
        <v>305</v>
      </c>
      <c r="BA1159" s="0">
        <v>547</v>
      </c>
      <c r="BB1159" s="0" t="s">
        <v>232</v>
      </c>
      <c r="BC1159" s="0">
        <v>2</v>
      </c>
      <c r="BD1159" s="0">
        <v>374043</v>
      </c>
      <c r="BE1159" s="0">
        <v>70560</v>
      </c>
      <c r="BF1159" s="0">
        <v>4</v>
      </c>
      <c r="BG1159" s="0" t="s">
        <v>8383</v>
      </c>
      <c r="BI1159" s="0">
        <v>5224</v>
      </c>
      <c r="BK1159" s="0" t="s">
        <v>8384</v>
      </c>
    </row>
    <row r="1160">
      <c r="A1160" s="0">
        <v>5971</v>
      </c>
      <c r="B1160" s="0" t="s">
        <v>8377</v>
      </c>
      <c r="C1160" s="0" t="s">
        <v>315</v>
      </c>
      <c r="D1160" s="0" t="s">
        <v>8202</v>
      </c>
      <c r="E1160" s="0" t="s">
        <v>8378</v>
      </c>
      <c r="F1160" s="0">
        <v>1</v>
      </c>
      <c r="G1160" s="0" t="s">
        <v>293</v>
      </c>
      <c r="H1160" s="0" t="s">
        <v>294</v>
      </c>
      <c r="I1160" s="0" t="s">
        <v>295</v>
      </c>
      <c r="J1160" s="0" t="s">
        <v>2635</v>
      </c>
      <c r="K1160" s="0" t="s">
        <v>2635</v>
      </c>
      <c r="L1160" s="0" t="s">
        <v>469</v>
      </c>
      <c r="P1160" s="0" t="s">
        <v>343</v>
      </c>
      <c r="Q1160" s="0" t="s">
        <v>343</v>
      </c>
      <c r="U1160" s="0" t="s">
        <v>8385</v>
      </c>
      <c r="X1160" s="0" t="s">
        <v>347</v>
      </c>
      <c r="Y1160" s="0" t="s">
        <v>42</v>
      </c>
      <c r="Z1160" s="0" t="s">
        <v>2384</v>
      </c>
      <c r="AA1160" s="0" t="s">
        <v>116</v>
      </c>
      <c r="AB1160" s="0" t="s">
        <v>531</v>
      </c>
      <c r="AC1160" s="0" t="s">
        <v>532</v>
      </c>
      <c r="AD1160" s="0" t="s">
        <v>8204</v>
      </c>
      <c r="AE1160" s="0" t="s">
        <v>8205</v>
      </c>
      <c r="AF1160" s="0" t="s">
        <v>301</v>
      </c>
      <c r="AP1160" s="0" t="s">
        <v>305</v>
      </c>
      <c r="BA1160" s="0">
        <v>547</v>
      </c>
      <c r="BB1160" s="0" t="s">
        <v>232</v>
      </c>
      <c r="BC1160" s="0">
        <v>2</v>
      </c>
      <c r="BD1160" s="0">
        <v>374043</v>
      </c>
      <c r="BE1160" s="0">
        <v>70560</v>
      </c>
      <c r="BF1160" s="0">
        <v>4</v>
      </c>
      <c r="BG1160" s="0" t="s">
        <v>8386</v>
      </c>
      <c r="BI1160" s="0">
        <v>5229</v>
      </c>
      <c r="BK1160" s="0" t="s">
        <v>8387</v>
      </c>
    </row>
    <row r="1161">
      <c r="A1161" s="0">
        <v>5935</v>
      </c>
      <c r="B1161" s="0" t="s">
        <v>1810</v>
      </c>
      <c r="C1161" s="0" t="s">
        <v>315</v>
      </c>
      <c r="D1161" s="0" t="s">
        <v>8202</v>
      </c>
      <c r="E1161" s="0" t="s">
        <v>1811</v>
      </c>
      <c r="F1161" s="0">
        <v>1</v>
      </c>
      <c r="G1161" s="0" t="s">
        <v>319</v>
      </c>
      <c r="H1161" s="0" t="s">
        <v>1745</v>
      </c>
      <c r="I1161" s="0" t="s">
        <v>6530</v>
      </c>
      <c r="J1161" s="0" t="s">
        <v>525</v>
      </c>
      <c r="K1161" s="0" t="s">
        <v>400</v>
      </c>
      <c r="P1161" s="0" t="s">
        <v>323</v>
      </c>
      <c r="Q1161" s="0" t="s">
        <v>323</v>
      </c>
      <c r="R1161" s="0" t="s">
        <v>6865</v>
      </c>
      <c r="T1161" s="0" t="s">
        <v>8388</v>
      </c>
      <c r="U1161" s="0" t="s">
        <v>8389</v>
      </c>
      <c r="X1161" s="0" t="s">
        <v>347</v>
      </c>
      <c r="Y1161" s="0" t="s">
        <v>42</v>
      </c>
      <c r="Z1161" s="0" t="s">
        <v>2384</v>
      </c>
      <c r="AA1161" s="0" t="s">
        <v>116</v>
      </c>
      <c r="AB1161" s="0" t="s">
        <v>531</v>
      </c>
      <c r="AC1161" s="0" t="s">
        <v>532</v>
      </c>
      <c r="AD1161" s="0" t="s">
        <v>8204</v>
      </c>
      <c r="AE1161" s="0" t="s">
        <v>8205</v>
      </c>
      <c r="AF1161" s="0" t="s">
        <v>301</v>
      </c>
      <c r="AP1161" s="0" t="s">
        <v>305</v>
      </c>
      <c r="BA1161" s="0">
        <v>547</v>
      </c>
      <c r="BB1161" s="0" t="s">
        <v>232</v>
      </c>
      <c r="BC1161" s="0">
        <v>2</v>
      </c>
      <c r="BD1161" s="0">
        <v>374043</v>
      </c>
      <c r="BE1161" s="0">
        <v>70560</v>
      </c>
      <c r="BF1161" s="0">
        <v>4</v>
      </c>
      <c r="BG1161" s="0" t="s">
        <v>8390</v>
      </c>
      <c r="BI1161" s="0">
        <v>4984</v>
      </c>
      <c r="BK1161" s="0" t="s">
        <v>8391</v>
      </c>
    </row>
    <row r="1162">
      <c r="A1162" s="0">
        <v>5911</v>
      </c>
      <c r="B1162" s="0" t="s">
        <v>5943</v>
      </c>
      <c r="C1162" s="0" t="s">
        <v>315</v>
      </c>
      <c r="D1162" s="0" t="s">
        <v>8202</v>
      </c>
      <c r="E1162" s="0" t="s">
        <v>1326</v>
      </c>
      <c r="F1162" s="0">
        <v>2</v>
      </c>
      <c r="G1162" s="0" t="s">
        <v>555</v>
      </c>
      <c r="H1162" s="0" t="s">
        <v>1112</v>
      </c>
      <c r="I1162" s="0" t="s">
        <v>417</v>
      </c>
      <c r="J1162" s="0" t="s">
        <v>293</v>
      </c>
      <c r="K1162" s="0" t="s">
        <v>294</v>
      </c>
      <c r="L1162" s="0" t="s">
        <v>295</v>
      </c>
      <c r="M1162" s="0" t="s">
        <v>594</v>
      </c>
      <c r="N1162" s="0" t="s">
        <v>508</v>
      </c>
      <c r="P1162" s="0" t="s">
        <v>323</v>
      </c>
      <c r="Q1162" s="0" t="s">
        <v>343</v>
      </c>
      <c r="R1162" s="0" t="s">
        <v>661</v>
      </c>
      <c r="T1162" s="0" t="s">
        <v>8392</v>
      </c>
      <c r="U1162" s="0" t="s">
        <v>8393</v>
      </c>
      <c r="X1162" s="0" t="s">
        <v>347</v>
      </c>
      <c r="Y1162" s="0" t="s">
        <v>42</v>
      </c>
      <c r="Z1162" s="0" t="s">
        <v>2384</v>
      </c>
      <c r="AA1162" s="0" t="s">
        <v>116</v>
      </c>
      <c r="AB1162" s="0" t="s">
        <v>531</v>
      </c>
      <c r="AC1162" s="0" t="s">
        <v>532</v>
      </c>
      <c r="AD1162" s="0" t="s">
        <v>8204</v>
      </c>
      <c r="AE1162" s="0" t="s">
        <v>8205</v>
      </c>
      <c r="AF1162" s="0" t="s">
        <v>301</v>
      </c>
      <c r="AP1162" s="0" t="s">
        <v>305</v>
      </c>
      <c r="BA1162" s="0">
        <v>547</v>
      </c>
      <c r="BB1162" s="0" t="s">
        <v>232</v>
      </c>
      <c r="BC1162" s="0">
        <v>2</v>
      </c>
      <c r="BD1162" s="0">
        <v>374043</v>
      </c>
      <c r="BE1162" s="0">
        <v>70560</v>
      </c>
      <c r="BF1162" s="0">
        <v>4</v>
      </c>
      <c r="BG1162" s="0" t="s">
        <v>8394</v>
      </c>
      <c r="BI1162" s="0">
        <v>4517</v>
      </c>
      <c r="BK1162" s="0" t="s">
        <v>8395</v>
      </c>
    </row>
    <row r="1163">
      <c r="A1163" s="0">
        <v>5910</v>
      </c>
      <c r="B1163" s="0" t="s">
        <v>5943</v>
      </c>
      <c r="C1163" s="0" t="s">
        <v>315</v>
      </c>
      <c r="D1163" s="0" t="s">
        <v>8202</v>
      </c>
      <c r="E1163" s="0" t="s">
        <v>1326</v>
      </c>
      <c r="F1163" s="0">
        <v>2</v>
      </c>
      <c r="G1163" s="0" t="s">
        <v>555</v>
      </c>
      <c r="H1163" s="0" t="s">
        <v>1112</v>
      </c>
      <c r="I1163" s="0" t="s">
        <v>1204</v>
      </c>
      <c r="J1163" s="0" t="s">
        <v>594</v>
      </c>
      <c r="K1163" s="0" t="s">
        <v>508</v>
      </c>
      <c r="M1163" s="0" t="s">
        <v>293</v>
      </c>
      <c r="N1163" s="0" t="s">
        <v>294</v>
      </c>
      <c r="O1163" s="0" t="s">
        <v>295</v>
      </c>
      <c r="P1163" s="0" t="s">
        <v>323</v>
      </c>
      <c r="Q1163" s="0" t="s">
        <v>343</v>
      </c>
      <c r="R1163" s="0" t="s">
        <v>1021</v>
      </c>
      <c r="T1163" s="0" t="s">
        <v>8392</v>
      </c>
      <c r="U1163" s="0" t="s">
        <v>8396</v>
      </c>
      <c r="X1163" s="0" t="s">
        <v>347</v>
      </c>
      <c r="Y1163" s="0" t="s">
        <v>42</v>
      </c>
      <c r="Z1163" s="0" t="s">
        <v>2384</v>
      </c>
      <c r="AA1163" s="0" t="s">
        <v>116</v>
      </c>
      <c r="AB1163" s="0" t="s">
        <v>531</v>
      </c>
      <c r="AC1163" s="0" t="s">
        <v>532</v>
      </c>
      <c r="AD1163" s="0" t="s">
        <v>8204</v>
      </c>
      <c r="AE1163" s="0" t="s">
        <v>8205</v>
      </c>
      <c r="AF1163" s="0" t="s">
        <v>301</v>
      </c>
      <c r="AP1163" s="0" t="s">
        <v>305</v>
      </c>
      <c r="BA1163" s="0">
        <v>547</v>
      </c>
      <c r="BB1163" s="0" t="s">
        <v>232</v>
      </c>
      <c r="BC1163" s="0">
        <v>2</v>
      </c>
      <c r="BD1163" s="0">
        <v>374043</v>
      </c>
      <c r="BE1163" s="0">
        <v>70560</v>
      </c>
      <c r="BF1163" s="0">
        <v>4</v>
      </c>
      <c r="BG1163" s="0" t="s">
        <v>8397</v>
      </c>
      <c r="BI1163" s="0">
        <v>4467</v>
      </c>
      <c r="BK1163" s="0" t="s">
        <v>8398</v>
      </c>
    </row>
    <row r="1164">
      <c r="A1164" s="0">
        <v>5933</v>
      </c>
      <c r="B1164" s="0" t="s">
        <v>8399</v>
      </c>
      <c r="C1164" s="0" t="s">
        <v>339</v>
      </c>
      <c r="D1164" s="0" t="s">
        <v>8202</v>
      </c>
      <c r="E1164" s="0" t="s">
        <v>8400</v>
      </c>
      <c r="F1164" s="0">
        <v>1</v>
      </c>
      <c r="G1164" s="0" t="s">
        <v>319</v>
      </c>
      <c r="H1164" s="0" t="s">
        <v>658</v>
      </c>
      <c r="I1164" s="0" t="s">
        <v>948</v>
      </c>
      <c r="J1164" s="0" t="s">
        <v>594</v>
      </c>
      <c r="K1164" s="0" t="s">
        <v>508</v>
      </c>
      <c r="P1164" s="0" t="s">
        <v>323</v>
      </c>
      <c r="Q1164" s="0" t="s">
        <v>868</v>
      </c>
      <c r="R1164" s="0" t="s">
        <v>7657</v>
      </c>
      <c r="U1164" s="0" t="s">
        <v>8401</v>
      </c>
      <c r="X1164" s="0" t="s">
        <v>347</v>
      </c>
      <c r="Y1164" s="0" t="s">
        <v>42</v>
      </c>
      <c r="Z1164" s="0" t="s">
        <v>2384</v>
      </c>
      <c r="AA1164" s="0" t="s">
        <v>116</v>
      </c>
      <c r="AB1164" s="0" t="s">
        <v>531</v>
      </c>
      <c r="AC1164" s="0" t="s">
        <v>532</v>
      </c>
      <c r="AD1164" s="0" t="s">
        <v>8204</v>
      </c>
      <c r="AE1164" s="0" t="s">
        <v>8205</v>
      </c>
      <c r="AF1164" s="0" t="s">
        <v>301</v>
      </c>
      <c r="AP1164" s="0" t="s">
        <v>305</v>
      </c>
      <c r="BA1164" s="0">
        <v>547</v>
      </c>
      <c r="BB1164" s="0" t="s">
        <v>232</v>
      </c>
      <c r="BC1164" s="0">
        <v>2</v>
      </c>
      <c r="BD1164" s="0">
        <v>8</v>
      </c>
      <c r="BE1164" s="0">
        <v>70560</v>
      </c>
      <c r="BF1164" s="0">
        <v>4</v>
      </c>
      <c r="BG1164" s="0" t="s">
        <v>8402</v>
      </c>
      <c r="BI1164" s="0">
        <v>4946</v>
      </c>
      <c r="BK1164" s="0" t="s">
        <v>8403</v>
      </c>
    </row>
    <row r="1165">
      <c r="A1165" s="0">
        <v>5932</v>
      </c>
      <c r="B1165" s="0" t="s">
        <v>8404</v>
      </c>
      <c r="C1165" s="0" t="s">
        <v>339</v>
      </c>
      <c r="D1165" s="0" t="s">
        <v>8202</v>
      </c>
      <c r="E1165" s="0" t="s">
        <v>8405</v>
      </c>
      <c r="F1165" s="0">
        <v>1</v>
      </c>
      <c r="G1165" s="0" t="s">
        <v>319</v>
      </c>
      <c r="H1165" s="0" t="s">
        <v>658</v>
      </c>
      <c r="I1165" s="0" t="s">
        <v>948</v>
      </c>
      <c r="J1165" s="0" t="s">
        <v>594</v>
      </c>
      <c r="K1165" s="0" t="s">
        <v>508</v>
      </c>
      <c r="P1165" s="0" t="s">
        <v>323</v>
      </c>
      <c r="Q1165" s="0" t="s">
        <v>868</v>
      </c>
      <c r="R1165" s="0" t="s">
        <v>7657</v>
      </c>
      <c r="U1165" s="0" t="s">
        <v>8406</v>
      </c>
      <c r="X1165" s="0" t="s">
        <v>347</v>
      </c>
      <c r="Y1165" s="0" t="s">
        <v>42</v>
      </c>
      <c r="Z1165" s="0" t="s">
        <v>2384</v>
      </c>
      <c r="AA1165" s="0" t="s">
        <v>116</v>
      </c>
      <c r="AB1165" s="0" t="s">
        <v>531</v>
      </c>
      <c r="AC1165" s="0" t="s">
        <v>532</v>
      </c>
      <c r="AD1165" s="0" t="s">
        <v>8204</v>
      </c>
      <c r="AE1165" s="0" t="s">
        <v>8205</v>
      </c>
      <c r="AF1165" s="0" t="s">
        <v>301</v>
      </c>
      <c r="AP1165" s="0" t="s">
        <v>305</v>
      </c>
      <c r="BA1165" s="0">
        <v>547</v>
      </c>
      <c r="BB1165" s="0" t="s">
        <v>232</v>
      </c>
      <c r="BC1165" s="0">
        <v>2</v>
      </c>
      <c r="BD1165" s="0">
        <v>8</v>
      </c>
      <c r="BE1165" s="0">
        <v>70560</v>
      </c>
      <c r="BF1165" s="0">
        <v>4</v>
      </c>
      <c r="BG1165" s="0" t="s">
        <v>8407</v>
      </c>
      <c r="BI1165" s="0">
        <v>4930</v>
      </c>
      <c r="BK1165" s="0" t="s">
        <v>8408</v>
      </c>
    </row>
    <row r="1166">
      <c r="A1166" s="0">
        <v>5976</v>
      </c>
      <c r="B1166" s="0" t="s">
        <v>1821</v>
      </c>
      <c r="C1166" s="0" t="s">
        <v>1139</v>
      </c>
      <c r="D1166" s="0" t="s">
        <v>8202</v>
      </c>
      <c r="E1166" s="0" t="s">
        <v>1822</v>
      </c>
      <c r="F1166" s="0">
        <v>1</v>
      </c>
      <c r="G1166" s="0" t="s">
        <v>293</v>
      </c>
      <c r="H1166" s="0" t="s">
        <v>294</v>
      </c>
      <c r="I1166" s="0" t="s">
        <v>295</v>
      </c>
      <c r="P1166" s="0" t="s">
        <v>343</v>
      </c>
      <c r="Q1166" s="0" t="s">
        <v>343</v>
      </c>
      <c r="U1166" s="0" t="s">
        <v>8409</v>
      </c>
      <c r="X1166" s="0" t="s">
        <v>347</v>
      </c>
      <c r="Y1166" s="0" t="s">
        <v>42</v>
      </c>
      <c r="Z1166" s="0" t="s">
        <v>2384</v>
      </c>
      <c r="AA1166" s="0" t="s">
        <v>116</v>
      </c>
      <c r="AB1166" s="0" t="s">
        <v>531</v>
      </c>
      <c r="AC1166" s="0" t="s">
        <v>532</v>
      </c>
      <c r="AD1166" s="0" t="s">
        <v>8204</v>
      </c>
      <c r="AE1166" s="0" t="s">
        <v>8205</v>
      </c>
      <c r="AF1166" s="0" t="s">
        <v>301</v>
      </c>
      <c r="AM1166" s="0" t="s">
        <v>3056</v>
      </c>
      <c r="AN1166" s="0" t="s">
        <v>2788</v>
      </c>
      <c r="AO1166" s="0" t="s">
        <v>2789</v>
      </c>
      <c r="AP1166" s="0" t="s">
        <v>305</v>
      </c>
      <c r="AQ1166" s="0" t="s">
        <v>8410</v>
      </c>
      <c r="AR1166" s="0" t="s">
        <v>8411</v>
      </c>
      <c r="AS1166" s="0">
        <v>312</v>
      </c>
      <c r="AT1166" s="0">
        <v>640</v>
      </c>
      <c r="AU1166" s="0">
        <v>728</v>
      </c>
      <c r="AV1166" s="0" t="s">
        <v>977</v>
      </c>
      <c r="AW1166" s="0" t="s">
        <v>332</v>
      </c>
      <c r="AX1166" s="0" t="s">
        <v>2791</v>
      </c>
      <c r="AY1166" s="0" t="s">
        <v>3038</v>
      </c>
      <c r="AZ1166" s="0" t="s">
        <v>475</v>
      </c>
      <c r="BA1166" s="0">
        <v>547</v>
      </c>
      <c r="BB1166" s="0" t="s">
        <v>232</v>
      </c>
      <c r="BC1166" s="0">
        <v>2</v>
      </c>
      <c r="BD1166" s="0">
        <v>38030</v>
      </c>
      <c r="BE1166" s="0">
        <v>70560</v>
      </c>
      <c r="BF1166" s="0">
        <v>4</v>
      </c>
      <c r="BG1166" s="0" t="s">
        <v>8412</v>
      </c>
      <c r="BI1166" s="0">
        <v>5257</v>
      </c>
      <c r="BK1166" s="0" t="s">
        <v>8413</v>
      </c>
    </row>
    <row r="1167">
      <c r="A1167" s="0">
        <v>5957</v>
      </c>
      <c r="B1167" s="0" t="s">
        <v>8414</v>
      </c>
      <c r="C1167" s="0" t="s">
        <v>290</v>
      </c>
      <c r="D1167" s="0" t="s">
        <v>8202</v>
      </c>
      <c r="E1167" s="0" t="s">
        <v>8415</v>
      </c>
      <c r="F1167" s="0">
        <v>1</v>
      </c>
      <c r="G1167" s="0" t="s">
        <v>293</v>
      </c>
      <c r="H1167" s="0" t="s">
        <v>294</v>
      </c>
      <c r="I1167" s="0" t="s">
        <v>295</v>
      </c>
      <c r="P1167" s="0" t="s">
        <v>323</v>
      </c>
      <c r="Q1167" s="0" t="s">
        <v>323</v>
      </c>
      <c r="R1167" s="0" t="s">
        <v>8416</v>
      </c>
      <c r="U1167" s="0" t="s">
        <v>8417</v>
      </c>
      <c r="X1167" s="0" t="s">
        <v>347</v>
      </c>
      <c r="Y1167" s="0" t="s">
        <v>42</v>
      </c>
      <c r="Z1167" s="0" t="s">
        <v>2384</v>
      </c>
      <c r="AA1167" s="0" t="s">
        <v>116</v>
      </c>
      <c r="AB1167" s="0" t="s">
        <v>531</v>
      </c>
      <c r="AC1167" s="0" t="s">
        <v>532</v>
      </c>
      <c r="AD1167" s="0" t="s">
        <v>8204</v>
      </c>
      <c r="AE1167" s="0" t="s">
        <v>8205</v>
      </c>
      <c r="AF1167" s="0" t="s">
        <v>301</v>
      </c>
      <c r="AP1167" s="0" t="s">
        <v>305</v>
      </c>
      <c r="BA1167" s="0">
        <v>547</v>
      </c>
      <c r="BB1167" s="0" t="s">
        <v>232</v>
      </c>
      <c r="BC1167" s="0">
        <v>2</v>
      </c>
      <c r="BD1167" s="0">
        <v>374053</v>
      </c>
      <c r="BE1167" s="0">
        <v>70560</v>
      </c>
      <c r="BF1167" s="0">
        <v>4</v>
      </c>
      <c r="BG1167" s="0" t="s">
        <v>8418</v>
      </c>
      <c r="BI1167" s="0">
        <v>5138</v>
      </c>
      <c r="BK1167" s="0" t="s">
        <v>8419</v>
      </c>
    </row>
    <row r="1168">
      <c r="A1168" s="0">
        <v>5942</v>
      </c>
      <c r="B1168" s="0" t="s">
        <v>8420</v>
      </c>
      <c r="C1168" s="0" t="s">
        <v>290</v>
      </c>
      <c r="D1168" s="0" t="s">
        <v>8202</v>
      </c>
      <c r="E1168" s="0" t="s">
        <v>8421</v>
      </c>
      <c r="F1168" s="0">
        <v>1</v>
      </c>
      <c r="G1168" s="0" t="s">
        <v>293</v>
      </c>
      <c r="H1168" s="0" t="s">
        <v>294</v>
      </c>
      <c r="I1168" s="0" t="s">
        <v>295</v>
      </c>
      <c r="P1168" s="0" t="s">
        <v>323</v>
      </c>
      <c r="Q1168" s="0" t="s">
        <v>323</v>
      </c>
      <c r="R1168" s="0" t="s">
        <v>1021</v>
      </c>
      <c r="T1168" s="0" t="s">
        <v>8422</v>
      </c>
      <c r="U1168" s="0" t="s">
        <v>8423</v>
      </c>
      <c r="X1168" s="0" t="s">
        <v>347</v>
      </c>
      <c r="Y1168" s="0" t="s">
        <v>42</v>
      </c>
      <c r="Z1168" s="0" t="s">
        <v>2384</v>
      </c>
      <c r="AA1168" s="0" t="s">
        <v>116</v>
      </c>
      <c r="AB1168" s="0" t="s">
        <v>531</v>
      </c>
      <c r="AC1168" s="0" t="s">
        <v>532</v>
      </c>
      <c r="AD1168" s="0" t="s">
        <v>8204</v>
      </c>
      <c r="AE1168" s="0" t="s">
        <v>8205</v>
      </c>
      <c r="AF1168" s="0" t="s">
        <v>301</v>
      </c>
      <c r="AP1168" s="0" t="s">
        <v>305</v>
      </c>
      <c r="BA1168" s="0">
        <v>547</v>
      </c>
      <c r="BB1168" s="0" t="s">
        <v>232</v>
      </c>
      <c r="BC1168" s="0">
        <v>2</v>
      </c>
      <c r="BD1168" s="0">
        <v>374053</v>
      </c>
      <c r="BE1168" s="0">
        <v>70560</v>
      </c>
      <c r="BF1168" s="0">
        <v>4</v>
      </c>
      <c r="BG1168" s="0" t="s">
        <v>8424</v>
      </c>
      <c r="BI1168" s="0">
        <v>5151</v>
      </c>
      <c r="BK1168" s="0" t="s">
        <v>8425</v>
      </c>
    </row>
    <row r="1169">
      <c r="A1169" s="0">
        <v>5958</v>
      </c>
      <c r="B1169" s="0" t="s">
        <v>2481</v>
      </c>
      <c r="C1169" s="0" t="s">
        <v>290</v>
      </c>
      <c r="D1169" s="0" t="s">
        <v>8202</v>
      </c>
      <c r="E1169" s="0" t="s">
        <v>2482</v>
      </c>
      <c r="F1169" s="0">
        <v>1</v>
      </c>
      <c r="G1169" s="0" t="s">
        <v>293</v>
      </c>
      <c r="H1169" s="0" t="s">
        <v>294</v>
      </c>
      <c r="I1169" s="0" t="s">
        <v>295</v>
      </c>
      <c r="P1169" s="0" t="s">
        <v>343</v>
      </c>
      <c r="Q1169" s="0" t="s">
        <v>343</v>
      </c>
      <c r="U1169" s="0" t="s">
        <v>8426</v>
      </c>
      <c r="X1169" s="0" t="s">
        <v>347</v>
      </c>
      <c r="Y1169" s="0" t="s">
        <v>42</v>
      </c>
      <c r="Z1169" s="0" t="s">
        <v>2384</v>
      </c>
      <c r="AA1169" s="0" t="s">
        <v>116</v>
      </c>
      <c r="AB1169" s="0" t="s">
        <v>531</v>
      </c>
      <c r="AC1169" s="0" t="s">
        <v>532</v>
      </c>
      <c r="AD1169" s="0" t="s">
        <v>8204</v>
      </c>
      <c r="AE1169" s="0" t="s">
        <v>8205</v>
      </c>
      <c r="AF1169" s="0" t="s">
        <v>301</v>
      </c>
      <c r="AP1169" s="0" t="s">
        <v>305</v>
      </c>
      <c r="BA1169" s="0">
        <v>547</v>
      </c>
      <c r="BB1169" s="0" t="s">
        <v>232</v>
      </c>
      <c r="BC1169" s="0">
        <v>2</v>
      </c>
      <c r="BD1169" s="0">
        <v>374053</v>
      </c>
      <c r="BE1169" s="0">
        <v>70560</v>
      </c>
      <c r="BF1169" s="0">
        <v>4</v>
      </c>
      <c r="BG1169" s="0" t="s">
        <v>8427</v>
      </c>
      <c r="BI1169" s="0">
        <v>5144</v>
      </c>
      <c r="BK1169" s="0" t="s">
        <v>8428</v>
      </c>
    </row>
    <row r="1170">
      <c r="A1170" s="0">
        <v>5973</v>
      </c>
      <c r="B1170" s="0" t="s">
        <v>8429</v>
      </c>
      <c r="C1170" s="0" t="s">
        <v>315</v>
      </c>
      <c r="D1170" s="0" t="s">
        <v>8202</v>
      </c>
      <c r="E1170" s="0" t="s">
        <v>8430</v>
      </c>
      <c r="F1170" s="0">
        <v>2</v>
      </c>
      <c r="G1170" s="0" t="s">
        <v>293</v>
      </c>
      <c r="H1170" s="0" t="s">
        <v>294</v>
      </c>
      <c r="I1170" s="0" t="s">
        <v>295</v>
      </c>
      <c r="J1170" s="0" t="s">
        <v>2635</v>
      </c>
      <c r="K1170" s="0" t="s">
        <v>2635</v>
      </c>
      <c r="L1170" s="0" t="s">
        <v>497</v>
      </c>
      <c r="P1170" s="0" t="s">
        <v>343</v>
      </c>
      <c r="Q1170" s="0" t="s">
        <v>343</v>
      </c>
      <c r="U1170" s="0" t="s">
        <v>8431</v>
      </c>
      <c r="X1170" s="0" t="s">
        <v>347</v>
      </c>
      <c r="Y1170" s="0" t="s">
        <v>42</v>
      </c>
      <c r="Z1170" s="0" t="s">
        <v>2384</v>
      </c>
      <c r="AA1170" s="0" t="s">
        <v>116</v>
      </c>
      <c r="AB1170" s="0" t="s">
        <v>531</v>
      </c>
      <c r="AC1170" s="0" t="s">
        <v>532</v>
      </c>
      <c r="AD1170" s="0" t="s">
        <v>8204</v>
      </c>
      <c r="AE1170" s="0" t="s">
        <v>8205</v>
      </c>
      <c r="AF1170" s="0" t="s">
        <v>301</v>
      </c>
      <c r="AP1170" s="0" t="s">
        <v>305</v>
      </c>
      <c r="BA1170" s="0">
        <v>547</v>
      </c>
      <c r="BB1170" s="0" t="s">
        <v>232</v>
      </c>
      <c r="BC1170" s="0">
        <v>2</v>
      </c>
      <c r="BD1170" s="0">
        <v>374043</v>
      </c>
      <c r="BE1170" s="0">
        <v>70560</v>
      </c>
      <c r="BF1170" s="0">
        <v>4</v>
      </c>
      <c r="BG1170" s="0" t="s">
        <v>8432</v>
      </c>
      <c r="BI1170" s="0">
        <v>5238</v>
      </c>
      <c r="BK1170" s="0" t="s">
        <v>8433</v>
      </c>
    </row>
    <row r="1171">
      <c r="A1171" s="0">
        <v>5950</v>
      </c>
      <c r="B1171" s="0" t="s">
        <v>8434</v>
      </c>
      <c r="C1171" s="0" t="s">
        <v>315</v>
      </c>
      <c r="D1171" s="0" t="s">
        <v>8202</v>
      </c>
      <c r="E1171" s="0" t="s">
        <v>8435</v>
      </c>
      <c r="F1171" s="0">
        <v>3</v>
      </c>
      <c r="G1171" s="0" t="s">
        <v>319</v>
      </c>
      <c r="H1171" s="0" t="s">
        <v>658</v>
      </c>
      <c r="I1171" s="0" t="s">
        <v>1268</v>
      </c>
      <c r="J1171" s="0" t="s">
        <v>293</v>
      </c>
      <c r="K1171" s="0" t="s">
        <v>294</v>
      </c>
      <c r="L1171" s="0" t="s">
        <v>295</v>
      </c>
      <c r="M1171" s="0" t="s">
        <v>594</v>
      </c>
      <c r="N1171" s="0" t="s">
        <v>508</v>
      </c>
      <c r="P1171" s="0" t="s">
        <v>323</v>
      </c>
      <c r="Q1171" s="0" t="s">
        <v>343</v>
      </c>
      <c r="R1171" s="0" t="s">
        <v>1021</v>
      </c>
      <c r="U1171" s="0" t="s">
        <v>8436</v>
      </c>
      <c r="X1171" s="0" t="s">
        <v>347</v>
      </c>
      <c r="Y1171" s="0" t="s">
        <v>42</v>
      </c>
      <c r="Z1171" s="0" t="s">
        <v>2384</v>
      </c>
      <c r="AA1171" s="0" t="s">
        <v>116</v>
      </c>
      <c r="AB1171" s="0" t="s">
        <v>531</v>
      </c>
      <c r="AC1171" s="0" t="s">
        <v>532</v>
      </c>
      <c r="AD1171" s="0" t="s">
        <v>8204</v>
      </c>
      <c r="AE1171" s="0" t="s">
        <v>8205</v>
      </c>
      <c r="AF1171" s="0" t="s">
        <v>301</v>
      </c>
      <c r="AP1171" s="0" t="s">
        <v>305</v>
      </c>
      <c r="BA1171" s="0">
        <v>547</v>
      </c>
      <c r="BB1171" s="0" t="s">
        <v>232</v>
      </c>
      <c r="BC1171" s="0">
        <v>2</v>
      </c>
      <c r="BD1171" s="0">
        <v>374043</v>
      </c>
      <c r="BE1171" s="0">
        <v>70560</v>
      </c>
      <c r="BF1171" s="0">
        <v>4</v>
      </c>
      <c r="BG1171" s="0" t="s">
        <v>8437</v>
      </c>
      <c r="BI1171" s="0">
        <v>5085</v>
      </c>
      <c r="BK1171" s="0" t="s">
        <v>8438</v>
      </c>
    </row>
    <row r="1172">
      <c r="A1172" s="0">
        <v>5930</v>
      </c>
      <c r="B1172" s="0" t="s">
        <v>8439</v>
      </c>
      <c r="C1172" s="0" t="s">
        <v>315</v>
      </c>
      <c r="D1172" s="0" t="s">
        <v>8202</v>
      </c>
      <c r="E1172" s="0" t="s">
        <v>2259</v>
      </c>
      <c r="F1172" s="0">
        <v>1</v>
      </c>
      <c r="G1172" s="0" t="s">
        <v>594</v>
      </c>
      <c r="H1172" s="0" t="s">
        <v>508</v>
      </c>
      <c r="I1172" s="0" t="s">
        <v>1133</v>
      </c>
      <c r="J1172" s="0" t="s">
        <v>319</v>
      </c>
      <c r="K1172" s="0" t="s">
        <v>398</v>
      </c>
      <c r="L1172" s="0" t="s">
        <v>6530</v>
      </c>
      <c r="P1172" s="0" t="s">
        <v>323</v>
      </c>
      <c r="Q1172" s="0" t="s">
        <v>323</v>
      </c>
      <c r="R1172" s="0" t="s">
        <v>526</v>
      </c>
      <c r="U1172" s="0" t="s">
        <v>8440</v>
      </c>
      <c r="X1172" s="0" t="s">
        <v>347</v>
      </c>
      <c r="Y1172" s="0" t="s">
        <v>42</v>
      </c>
      <c r="Z1172" s="0" t="s">
        <v>2384</v>
      </c>
      <c r="AA1172" s="0" t="s">
        <v>116</v>
      </c>
      <c r="AB1172" s="0" t="s">
        <v>531</v>
      </c>
      <c r="AC1172" s="0" t="s">
        <v>532</v>
      </c>
      <c r="AD1172" s="0" t="s">
        <v>8204</v>
      </c>
      <c r="AE1172" s="0" t="s">
        <v>8205</v>
      </c>
      <c r="AF1172" s="0" t="s">
        <v>301</v>
      </c>
      <c r="AP1172" s="0" t="s">
        <v>305</v>
      </c>
      <c r="BA1172" s="0">
        <v>547</v>
      </c>
      <c r="BB1172" s="0" t="s">
        <v>232</v>
      </c>
      <c r="BC1172" s="0">
        <v>2</v>
      </c>
      <c r="BD1172" s="0">
        <v>374043</v>
      </c>
      <c r="BE1172" s="0">
        <v>70560</v>
      </c>
      <c r="BF1172" s="0">
        <v>4</v>
      </c>
      <c r="BG1172" s="0" t="s">
        <v>8441</v>
      </c>
      <c r="BI1172" s="0">
        <v>4900</v>
      </c>
      <c r="BK1172" s="0" t="s">
        <v>8442</v>
      </c>
    </row>
    <row r="1173">
      <c r="A1173" s="0">
        <v>5922</v>
      </c>
      <c r="B1173" s="0" t="s">
        <v>8443</v>
      </c>
      <c r="C1173" s="0" t="s">
        <v>339</v>
      </c>
      <c r="D1173" s="0" t="s">
        <v>8202</v>
      </c>
      <c r="E1173" s="0" t="s">
        <v>4112</v>
      </c>
      <c r="F1173" s="0">
        <v>2</v>
      </c>
      <c r="G1173" s="0" t="s">
        <v>293</v>
      </c>
      <c r="H1173" s="0" t="s">
        <v>294</v>
      </c>
      <c r="I1173" s="0" t="s">
        <v>295</v>
      </c>
      <c r="J1173" s="0" t="s">
        <v>555</v>
      </c>
      <c r="K1173" s="0" t="s">
        <v>1112</v>
      </c>
      <c r="L1173" s="0" t="s">
        <v>2947</v>
      </c>
      <c r="N1173" s="0" t="s">
        <v>343</v>
      </c>
      <c r="P1173" s="0" t="s">
        <v>343</v>
      </c>
      <c r="Q1173" s="0" t="s">
        <v>343</v>
      </c>
      <c r="U1173" s="0" t="s">
        <v>8444</v>
      </c>
      <c r="X1173" s="0" t="s">
        <v>347</v>
      </c>
      <c r="Y1173" s="0" t="s">
        <v>42</v>
      </c>
      <c r="Z1173" s="0" t="s">
        <v>2384</v>
      </c>
      <c r="AA1173" s="0" t="s">
        <v>116</v>
      </c>
      <c r="AB1173" s="0" t="s">
        <v>531</v>
      </c>
      <c r="AC1173" s="0" t="s">
        <v>532</v>
      </c>
      <c r="AD1173" s="0" t="s">
        <v>8204</v>
      </c>
      <c r="AE1173" s="0" t="s">
        <v>8205</v>
      </c>
      <c r="AF1173" s="0" t="s">
        <v>301</v>
      </c>
      <c r="AP1173" s="0" t="s">
        <v>305</v>
      </c>
      <c r="BA1173" s="0">
        <v>547</v>
      </c>
      <c r="BB1173" s="0" t="s">
        <v>232</v>
      </c>
      <c r="BC1173" s="0">
        <v>2</v>
      </c>
      <c r="BD1173" s="0">
        <v>8</v>
      </c>
      <c r="BE1173" s="0">
        <v>70560</v>
      </c>
      <c r="BF1173" s="0">
        <v>4</v>
      </c>
      <c r="BG1173" s="0" t="s">
        <v>8445</v>
      </c>
      <c r="BI1173" s="0">
        <v>4734</v>
      </c>
      <c r="BK1173" s="0" t="s">
        <v>8446</v>
      </c>
    </row>
    <row r="1174">
      <c r="A1174" s="0">
        <v>5904</v>
      </c>
      <c r="B1174" s="0" t="s">
        <v>8447</v>
      </c>
      <c r="C1174" s="0" t="s">
        <v>315</v>
      </c>
      <c r="D1174" s="0" t="s">
        <v>8202</v>
      </c>
      <c r="E1174" s="0" t="s">
        <v>8448</v>
      </c>
      <c r="F1174" s="0">
        <v>2</v>
      </c>
      <c r="G1174" s="0" t="s">
        <v>525</v>
      </c>
      <c r="H1174" s="0" t="s">
        <v>400</v>
      </c>
      <c r="I1174" s="0" t="s">
        <v>1133</v>
      </c>
      <c r="J1174" s="0" t="s">
        <v>555</v>
      </c>
      <c r="K1174" s="0" t="s">
        <v>1112</v>
      </c>
      <c r="L1174" s="0" t="s">
        <v>7129</v>
      </c>
      <c r="P1174" s="0" t="s">
        <v>323</v>
      </c>
      <c r="Q1174" s="0" t="s">
        <v>343</v>
      </c>
      <c r="R1174" s="0" t="s">
        <v>6865</v>
      </c>
      <c r="T1174" s="0" t="s">
        <v>8449</v>
      </c>
      <c r="U1174" s="0" t="s">
        <v>8450</v>
      </c>
      <c r="X1174" s="0" t="s">
        <v>347</v>
      </c>
      <c r="Y1174" s="0" t="s">
        <v>42</v>
      </c>
      <c r="Z1174" s="0" t="s">
        <v>2384</v>
      </c>
      <c r="AA1174" s="0" t="s">
        <v>116</v>
      </c>
      <c r="AB1174" s="0" t="s">
        <v>531</v>
      </c>
      <c r="AC1174" s="0" t="s">
        <v>532</v>
      </c>
      <c r="AD1174" s="0" t="s">
        <v>8204</v>
      </c>
      <c r="AE1174" s="0" t="s">
        <v>8205</v>
      </c>
      <c r="AF1174" s="0" t="s">
        <v>301</v>
      </c>
      <c r="AP1174" s="0" t="s">
        <v>305</v>
      </c>
      <c r="BA1174" s="0">
        <v>547</v>
      </c>
      <c r="BB1174" s="0" t="s">
        <v>232</v>
      </c>
      <c r="BC1174" s="0">
        <v>2</v>
      </c>
      <c r="BD1174" s="0">
        <v>374043</v>
      </c>
      <c r="BE1174" s="0">
        <v>70560</v>
      </c>
      <c r="BF1174" s="0">
        <v>4</v>
      </c>
      <c r="BG1174" s="0" t="s">
        <v>8451</v>
      </c>
      <c r="BI1174" s="0">
        <v>3835</v>
      </c>
      <c r="BK1174" s="0" t="s">
        <v>8452</v>
      </c>
    </row>
    <row r="1175">
      <c r="A1175" s="0">
        <v>5905</v>
      </c>
      <c r="B1175" s="0" t="s">
        <v>8447</v>
      </c>
      <c r="C1175" s="0" t="s">
        <v>315</v>
      </c>
      <c r="D1175" s="0" t="s">
        <v>8202</v>
      </c>
      <c r="E1175" s="0" t="s">
        <v>8448</v>
      </c>
      <c r="F1175" s="0">
        <v>2</v>
      </c>
      <c r="G1175" s="0" t="s">
        <v>525</v>
      </c>
      <c r="H1175" s="0" t="s">
        <v>400</v>
      </c>
      <c r="I1175" s="0" t="s">
        <v>1133</v>
      </c>
      <c r="J1175" s="0" t="s">
        <v>555</v>
      </c>
      <c r="K1175" s="0" t="s">
        <v>1112</v>
      </c>
      <c r="L1175" s="0" t="s">
        <v>1189</v>
      </c>
      <c r="P1175" s="0" t="s">
        <v>323</v>
      </c>
      <c r="Q1175" s="0" t="s">
        <v>343</v>
      </c>
      <c r="R1175" s="0" t="s">
        <v>8453</v>
      </c>
      <c r="U1175" s="0" t="s">
        <v>8454</v>
      </c>
      <c r="X1175" s="0" t="s">
        <v>347</v>
      </c>
      <c r="Y1175" s="0" t="s">
        <v>42</v>
      </c>
      <c r="Z1175" s="0" t="s">
        <v>2384</v>
      </c>
      <c r="AA1175" s="0" t="s">
        <v>116</v>
      </c>
      <c r="AB1175" s="0" t="s">
        <v>531</v>
      </c>
      <c r="AC1175" s="0" t="s">
        <v>532</v>
      </c>
      <c r="AD1175" s="0" t="s">
        <v>8204</v>
      </c>
      <c r="AE1175" s="0" t="s">
        <v>8205</v>
      </c>
      <c r="AF1175" s="0" t="s">
        <v>301</v>
      </c>
      <c r="AP1175" s="0" t="s">
        <v>305</v>
      </c>
      <c r="BA1175" s="0">
        <v>547</v>
      </c>
      <c r="BB1175" s="0" t="s">
        <v>232</v>
      </c>
      <c r="BC1175" s="0">
        <v>2</v>
      </c>
      <c r="BD1175" s="0">
        <v>374043</v>
      </c>
      <c r="BE1175" s="0">
        <v>70560</v>
      </c>
      <c r="BF1175" s="0">
        <v>4</v>
      </c>
      <c r="BG1175" s="0" t="s">
        <v>8455</v>
      </c>
      <c r="BI1175" s="0">
        <v>3924</v>
      </c>
      <c r="BK1175" s="0" t="s">
        <v>8456</v>
      </c>
    </row>
    <row r="1176">
      <c r="A1176" s="0">
        <v>5903</v>
      </c>
      <c r="B1176" s="0" t="s">
        <v>8447</v>
      </c>
      <c r="C1176" s="0" t="s">
        <v>315</v>
      </c>
      <c r="D1176" s="0" t="s">
        <v>8202</v>
      </c>
      <c r="E1176" s="0" t="s">
        <v>8448</v>
      </c>
      <c r="F1176" s="0">
        <v>2</v>
      </c>
      <c r="G1176" s="0" t="s">
        <v>525</v>
      </c>
      <c r="H1176" s="0" t="s">
        <v>400</v>
      </c>
      <c r="I1176" s="0" t="s">
        <v>705</v>
      </c>
      <c r="J1176" s="0" t="s">
        <v>555</v>
      </c>
      <c r="K1176" s="0" t="s">
        <v>1112</v>
      </c>
      <c r="L1176" s="0" t="s">
        <v>549</v>
      </c>
      <c r="P1176" s="0" t="s">
        <v>323</v>
      </c>
      <c r="Q1176" s="0" t="s">
        <v>343</v>
      </c>
      <c r="R1176" s="0" t="s">
        <v>661</v>
      </c>
      <c r="U1176" s="0" t="s">
        <v>8457</v>
      </c>
      <c r="X1176" s="0" t="s">
        <v>347</v>
      </c>
      <c r="Y1176" s="0" t="s">
        <v>42</v>
      </c>
      <c r="Z1176" s="0" t="s">
        <v>2384</v>
      </c>
      <c r="AA1176" s="0" t="s">
        <v>116</v>
      </c>
      <c r="AB1176" s="0" t="s">
        <v>531</v>
      </c>
      <c r="AC1176" s="0" t="s">
        <v>532</v>
      </c>
      <c r="AD1176" s="0" t="s">
        <v>8204</v>
      </c>
      <c r="AE1176" s="0" t="s">
        <v>8205</v>
      </c>
      <c r="AF1176" s="0" t="s">
        <v>301</v>
      </c>
      <c r="AP1176" s="0" t="s">
        <v>305</v>
      </c>
      <c r="BA1176" s="0">
        <v>547</v>
      </c>
      <c r="BB1176" s="0" t="s">
        <v>232</v>
      </c>
      <c r="BC1176" s="0">
        <v>2</v>
      </c>
      <c r="BD1176" s="0">
        <v>374043</v>
      </c>
      <c r="BE1176" s="0">
        <v>70560</v>
      </c>
      <c r="BF1176" s="0">
        <v>4</v>
      </c>
      <c r="BG1176" s="0" t="s">
        <v>8458</v>
      </c>
      <c r="BI1176" s="0">
        <v>3738</v>
      </c>
      <c r="BK1176" s="0" t="s">
        <v>8459</v>
      </c>
    </row>
    <row r="1177">
      <c r="A1177" s="0">
        <v>5979</v>
      </c>
      <c r="B1177" s="0" t="s">
        <v>8460</v>
      </c>
      <c r="C1177" s="0" t="s">
        <v>1139</v>
      </c>
      <c r="D1177" s="0" t="s">
        <v>8202</v>
      </c>
      <c r="E1177" s="0" t="s">
        <v>8461</v>
      </c>
      <c r="F1177" s="0">
        <v>1</v>
      </c>
      <c r="G1177" s="0" t="s">
        <v>293</v>
      </c>
      <c r="H1177" s="0" t="s">
        <v>294</v>
      </c>
      <c r="I1177" s="0" t="s">
        <v>295</v>
      </c>
      <c r="P1177" s="0" t="s">
        <v>323</v>
      </c>
      <c r="Q1177" s="0" t="s">
        <v>323</v>
      </c>
      <c r="R1177" s="0" t="s">
        <v>1021</v>
      </c>
      <c r="U1177" s="0" t="s">
        <v>8462</v>
      </c>
      <c r="X1177" s="0" t="s">
        <v>347</v>
      </c>
      <c r="Y1177" s="0" t="s">
        <v>42</v>
      </c>
      <c r="Z1177" s="0" t="s">
        <v>2384</v>
      </c>
      <c r="AA1177" s="0" t="s">
        <v>116</v>
      </c>
      <c r="AB1177" s="0" t="s">
        <v>531</v>
      </c>
      <c r="AC1177" s="0" t="s">
        <v>532</v>
      </c>
      <c r="AD1177" s="0" t="s">
        <v>8204</v>
      </c>
      <c r="AE1177" s="0" t="s">
        <v>8205</v>
      </c>
      <c r="AF1177" s="0" t="s">
        <v>301</v>
      </c>
      <c r="AM1177" s="0" t="s">
        <v>8463</v>
      </c>
      <c r="AN1177" s="0" t="s">
        <v>1066</v>
      </c>
      <c r="AO1177" s="0" t="s">
        <v>608</v>
      </c>
      <c r="AP1177" s="0" t="s">
        <v>305</v>
      </c>
      <c r="AQ1177" s="0" t="s">
        <v>2308</v>
      </c>
      <c r="AR1177" s="0" t="s">
        <v>809</v>
      </c>
      <c r="AS1177" s="0">
        <v>70</v>
      </c>
      <c r="AT1177" s="0">
        <v>141</v>
      </c>
      <c r="AU1177" s="0">
        <v>163</v>
      </c>
      <c r="AV1177" s="0" t="s">
        <v>332</v>
      </c>
      <c r="AX1177" s="0" t="s">
        <v>8464</v>
      </c>
      <c r="AY1177" s="0" t="s">
        <v>650</v>
      </c>
      <c r="AZ1177" s="0" t="s">
        <v>1432</v>
      </c>
      <c r="BA1177" s="0">
        <v>547</v>
      </c>
      <c r="BB1177" s="0" t="s">
        <v>232</v>
      </c>
      <c r="BC1177" s="0">
        <v>2</v>
      </c>
      <c r="BD1177" s="0">
        <v>38030</v>
      </c>
      <c r="BE1177" s="0">
        <v>70560</v>
      </c>
      <c r="BF1177" s="0">
        <v>4</v>
      </c>
      <c r="BG1177" s="0" t="s">
        <v>8465</v>
      </c>
      <c r="BI1177" s="0">
        <v>5267</v>
      </c>
      <c r="BK1177" s="0" t="s">
        <v>8466</v>
      </c>
    </row>
    <row r="1178">
      <c r="A1178" s="0">
        <v>5966</v>
      </c>
      <c r="B1178" s="0" t="s">
        <v>8467</v>
      </c>
      <c r="C1178" s="0" t="s">
        <v>656</v>
      </c>
      <c r="D1178" s="0" t="s">
        <v>8202</v>
      </c>
      <c r="E1178" s="0" t="s">
        <v>8468</v>
      </c>
      <c r="F1178" s="0">
        <v>1</v>
      </c>
      <c r="G1178" s="0" t="s">
        <v>293</v>
      </c>
      <c r="H1178" s="0" t="s">
        <v>294</v>
      </c>
      <c r="I1178" s="0" t="s">
        <v>295</v>
      </c>
      <c r="J1178" s="0" t="s">
        <v>525</v>
      </c>
      <c r="K1178" s="0" t="s">
        <v>400</v>
      </c>
      <c r="L1178" s="0" t="s">
        <v>1133</v>
      </c>
      <c r="P1178" s="0" t="s">
        <v>343</v>
      </c>
      <c r="Q1178" s="0" t="s">
        <v>343</v>
      </c>
      <c r="U1178" s="0" t="s">
        <v>8469</v>
      </c>
      <c r="X1178" s="0" t="s">
        <v>347</v>
      </c>
      <c r="Y1178" s="0" t="s">
        <v>42</v>
      </c>
      <c r="Z1178" s="0" t="s">
        <v>2384</v>
      </c>
      <c r="AA1178" s="0" t="s">
        <v>116</v>
      </c>
      <c r="AB1178" s="0" t="s">
        <v>531</v>
      </c>
      <c r="AC1178" s="0" t="s">
        <v>532</v>
      </c>
      <c r="AD1178" s="0" t="s">
        <v>8204</v>
      </c>
      <c r="AE1178" s="0" t="s">
        <v>8205</v>
      </c>
      <c r="AF1178" s="0" t="s">
        <v>301</v>
      </c>
      <c r="AP1178" s="0" t="s">
        <v>305</v>
      </c>
      <c r="BA1178" s="0">
        <v>547</v>
      </c>
      <c r="BB1178" s="0" t="s">
        <v>232</v>
      </c>
      <c r="BC1178" s="0">
        <v>2</v>
      </c>
      <c r="BD1178" s="0">
        <v>10</v>
      </c>
      <c r="BE1178" s="0">
        <v>70560</v>
      </c>
      <c r="BF1178" s="0">
        <v>4</v>
      </c>
      <c r="BG1178" s="0" t="s">
        <v>8470</v>
      </c>
      <c r="BI1178" s="0">
        <v>5205</v>
      </c>
      <c r="BK1178" s="0" t="s">
        <v>8471</v>
      </c>
    </row>
    <row r="1179">
      <c r="A1179" s="0">
        <v>5896</v>
      </c>
      <c r="B1179" s="0" t="s">
        <v>8472</v>
      </c>
      <c r="C1179" s="0" t="s">
        <v>315</v>
      </c>
      <c r="D1179" s="0" t="s">
        <v>8202</v>
      </c>
      <c r="E1179" s="0" t="s">
        <v>542</v>
      </c>
      <c r="F1179" s="0">
        <v>1</v>
      </c>
      <c r="G1179" s="0" t="s">
        <v>594</v>
      </c>
      <c r="H1179" s="0" t="s">
        <v>508</v>
      </c>
      <c r="J1179" s="0" t="s">
        <v>555</v>
      </c>
      <c r="K1179" s="0" t="s">
        <v>1112</v>
      </c>
      <c r="L1179" s="0" t="s">
        <v>1204</v>
      </c>
      <c r="M1179" s="0" t="s">
        <v>293</v>
      </c>
      <c r="N1179" s="0" t="s">
        <v>294</v>
      </c>
      <c r="O1179" s="0" t="s">
        <v>295</v>
      </c>
      <c r="P1179" s="0" t="s">
        <v>323</v>
      </c>
      <c r="Q1179" s="0" t="s">
        <v>323</v>
      </c>
      <c r="R1179" s="0" t="s">
        <v>6865</v>
      </c>
      <c r="T1179" s="0" t="s">
        <v>8473</v>
      </c>
      <c r="U1179" s="0" t="s">
        <v>8474</v>
      </c>
      <c r="X1179" s="0" t="s">
        <v>347</v>
      </c>
      <c r="Y1179" s="0" t="s">
        <v>42</v>
      </c>
      <c r="Z1179" s="0" t="s">
        <v>2384</v>
      </c>
      <c r="AA1179" s="0" t="s">
        <v>116</v>
      </c>
      <c r="AB1179" s="0" t="s">
        <v>531</v>
      </c>
      <c r="AC1179" s="0" t="s">
        <v>532</v>
      </c>
      <c r="AD1179" s="0" t="s">
        <v>8204</v>
      </c>
      <c r="AE1179" s="0" t="s">
        <v>8205</v>
      </c>
      <c r="AF1179" s="0" t="s">
        <v>301</v>
      </c>
      <c r="AP1179" s="0" t="s">
        <v>305</v>
      </c>
      <c r="BA1179" s="0">
        <v>547</v>
      </c>
      <c r="BB1179" s="0" t="s">
        <v>232</v>
      </c>
      <c r="BC1179" s="0">
        <v>2</v>
      </c>
      <c r="BD1179" s="0">
        <v>374043</v>
      </c>
      <c r="BE1179" s="0">
        <v>70560</v>
      </c>
      <c r="BF1179" s="0">
        <v>4</v>
      </c>
      <c r="BG1179" s="0" t="s">
        <v>8475</v>
      </c>
      <c r="BI1179" s="0">
        <v>2944</v>
      </c>
      <c r="BK1179" s="0" t="s">
        <v>8476</v>
      </c>
    </row>
    <row r="1180">
      <c r="A1180" s="0">
        <v>5894</v>
      </c>
      <c r="B1180" s="0" t="s">
        <v>8477</v>
      </c>
      <c r="C1180" s="0" t="s">
        <v>315</v>
      </c>
      <c r="D1180" s="0" t="s">
        <v>8202</v>
      </c>
      <c r="E1180" s="0" t="s">
        <v>8478</v>
      </c>
      <c r="F1180" s="0">
        <v>1</v>
      </c>
      <c r="G1180" s="0" t="s">
        <v>594</v>
      </c>
      <c r="H1180" s="0" t="s">
        <v>508</v>
      </c>
      <c r="I1180" s="0" t="s">
        <v>705</v>
      </c>
      <c r="J1180" s="0" t="s">
        <v>293</v>
      </c>
      <c r="K1180" s="0" t="s">
        <v>294</v>
      </c>
      <c r="L1180" s="0" t="s">
        <v>295</v>
      </c>
      <c r="P1180" s="0" t="s">
        <v>343</v>
      </c>
      <c r="Q1180" s="0" t="s">
        <v>343</v>
      </c>
      <c r="U1180" s="0" t="s">
        <v>8479</v>
      </c>
      <c r="X1180" s="0" t="s">
        <v>347</v>
      </c>
      <c r="Y1180" s="0" t="s">
        <v>42</v>
      </c>
      <c r="Z1180" s="0" t="s">
        <v>2384</v>
      </c>
      <c r="AA1180" s="0" t="s">
        <v>116</v>
      </c>
      <c r="AB1180" s="0" t="s">
        <v>531</v>
      </c>
      <c r="AC1180" s="0" t="s">
        <v>532</v>
      </c>
      <c r="AD1180" s="0" t="s">
        <v>8204</v>
      </c>
      <c r="AE1180" s="0" t="s">
        <v>8205</v>
      </c>
      <c r="AF1180" s="0" t="s">
        <v>301</v>
      </c>
      <c r="AP1180" s="0" t="s">
        <v>305</v>
      </c>
      <c r="BA1180" s="0">
        <v>547</v>
      </c>
      <c r="BB1180" s="0" t="s">
        <v>232</v>
      </c>
      <c r="BC1180" s="0">
        <v>2</v>
      </c>
      <c r="BD1180" s="0">
        <v>374043</v>
      </c>
      <c r="BE1180" s="0">
        <v>70560</v>
      </c>
      <c r="BF1180" s="0">
        <v>4</v>
      </c>
      <c r="BG1180" s="0" t="s">
        <v>8480</v>
      </c>
      <c r="BI1180" s="0">
        <v>2401</v>
      </c>
      <c r="BK1180" s="0" t="s">
        <v>8481</v>
      </c>
    </row>
    <row r="1181">
      <c r="A1181" s="0">
        <v>5987</v>
      </c>
      <c r="B1181" s="0" t="s">
        <v>8482</v>
      </c>
      <c r="C1181" s="0" t="s">
        <v>1139</v>
      </c>
      <c r="D1181" s="0" t="s">
        <v>8202</v>
      </c>
      <c r="E1181" s="0" t="s">
        <v>8483</v>
      </c>
      <c r="F1181" s="0">
        <v>2</v>
      </c>
      <c r="G1181" s="0" t="s">
        <v>293</v>
      </c>
      <c r="H1181" s="0" t="s">
        <v>294</v>
      </c>
      <c r="I1181" s="0" t="s">
        <v>295</v>
      </c>
      <c r="P1181" s="0" t="s">
        <v>343</v>
      </c>
      <c r="Q1181" s="0" t="s">
        <v>343</v>
      </c>
      <c r="U1181" s="0" t="s">
        <v>8484</v>
      </c>
      <c r="X1181" s="0" t="s">
        <v>347</v>
      </c>
      <c r="Y1181" s="0" t="s">
        <v>42</v>
      </c>
      <c r="Z1181" s="0" t="s">
        <v>2384</v>
      </c>
      <c r="AA1181" s="0" t="s">
        <v>116</v>
      </c>
      <c r="AB1181" s="0" t="s">
        <v>531</v>
      </c>
      <c r="AC1181" s="0" t="s">
        <v>532</v>
      </c>
      <c r="AD1181" s="0" t="s">
        <v>8204</v>
      </c>
      <c r="AE1181" s="0" t="s">
        <v>8205</v>
      </c>
      <c r="AF1181" s="0" t="s">
        <v>301</v>
      </c>
      <c r="AM1181" s="0" t="s">
        <v>763</v>
      </c>
      <c r="AN1181" s="0" t="s">
        <v>763</v>
      </c>
      <c r="AO1181" s="0" t="s">
        <v>763</v>
      </c>
      <c r="AP1181" s="0" t="s">
        <v>305</v>
      </c>
      <c r="AQ1181" s="0" t="s">
        <v>977</v>
      </c>
      <c r="AR1181" s="0" t="s">
        <v>331</v>
      </c>
      <c r="AS1181" s="0">
        <v>1774</v>
      </c>
      <c r="AT1181" s="0">
        <v>3625</v>
      </c>
      <c r="AU1181" s="0">
        <v>4198</v>
      </c>
      <c r="AV1181" s="0" t="s">
        <v>332</v>
      </c>
      <c r="AX1181" s="0" t="s">
        <v>393</v>
      </c>
      <c r="AY1181" s="0" t="s">
        <v>1483</v>
      </c>
      <c r="AZ1181" s="0" t="s">
        <v>4133</v>
      </c>
      <c r="BA1181" s="0">
        <v>547</v>
      </c>
      <c r="BB1181" s="0" t="s">
        <v>232</v>
      </c>
      <c r="BC1181" s="0">
        <v>2</v>
      </c>
      <c r="BD1181" s="0">
        <v>38030</v>
      </c>
      <c r="BE1181" s="0">
        <v>70560</v>
      </c>
      <c r="BF1181" s="0">
        <v>4</v>
      </c>
      <c r="BG1181" s="0" t="s">
        <v>8485</v>
      </c>
      <c r="BI1181" s="0">
        <v>5295</v>
      </c>
      <c r="BK1181" s="0" t="s">
        <v>8486</v>
      </c>
    </row>
    <row r="1182">
      <c r="A1182" s="0">
        <v>5988</v>
      </c>
      <c r="B1182" s="0" t="s">
        <v>8487</v>
      </c>
      <c r="C1182" s="0" t="s">
        <v>1139</v>
      </c>
      <c r="D1182" s="0" t="s">
        <v>8202</v>
      </c>
      <c r="E1182" s="0" t="s">
        <v>8488</v>
      </c>
      <c r="F1182" s="0">
        <v>2</v>
      </c>
      <c r="G1182" s="0" t="s">
        <v>293</v>
      </c>
      <c r="H1182" s="0" t="s">
        <v>294</v>
      </c>
      <c r="I1182" s="0" t="s">
        <v>295</v>
      </c>
      <c r="P1182" s="0" t="s">
        <v>343</v>
      </c>
      <c r="Q1182" s="0" t="s">
        <v>343</v>
      </c>
      <c r="U1182" s="0" t="s">
        <v>8489</v>
      </c>
      <c r="X1182" s="0" t="s">
        <v>347</v>
      </c>
      <c r="Y1182" s="0" t="s">
        <v>42</v>
      </c>
      <c r="Z1182" s="0" t="s">
        <v>2384</v>
      </c>
      <c r="AA1182" s="0" t="s">
        <v>116</v>
      </c>
      <c r="AB1182" s="0" t="s">
        <v>531</v>
      </c>
      <c r="AC1182" s="0" t="s">
        <v>532</v>
      </c>
      <c r="AD1182" s="0" t="s">
        <v>8204</v>
      </c>
      <c r="AE1182" s="0" t="s">
        <v>8205</v>
      </c>
      <c r="AF1182" s="0" t="s">
        <v>301</v>
      </c>
      <c r="AM1182" s="0" t="s">
        <v>763</v>
      </c>
      <c r="AN1182" s="0" t="s">
        <v>763</v>
      </c>
      <c r="AO1182" s="0" t="s">
        <v>926</v>
      </c>
      <c r="AP1182" s="0" t="s">
        <v>305</v>
      </c>
      <c r="AQ1182" s="0" t="s">
        <v>2984</v>
      </c>
      <c r="AR1182" s="0" t="s">
        <v>2337</v>
      </c>
      <c r="AS1182" s="0">
        <v>1365</v>
      </c>
      <c r="AT1182" s="0">
        <v>2830</v>
      </c>
      <c r="AU1182" s="0">
        <v>3218</v>
      </c>
      <c r="AV1182" s="0" t="s">
        <v>332</v>
      </c>
      <c r="AX1182" s="0" t="s">
        <v>500</v>
      </c>
      <c r="AY1182" s="0" t="s">
        <v>808</v>
      </c>
      <c r="AZ1182" s="0" t="s">
        <v>4133</v>
      </c>
      <c r="BA1182" s="0">
        <v>547</v>
      </c>
      <c r="BB1182" s="0" t="s">
        <v>232</v>
      </c>
      <c r="BC1182" s="0">
        <v>2</v>
      </c>
      <c r="BD1182" s="0">
        <v>38030</v>
      </c>
      <c r="BE1182" s="0">
        <v>70560</v>
      </c>
      <c r="BF1182" s="0">
        <v>4</v>
      </c>
      <c r="BG1182" s="0" t="s">
        <v>8490</v>
      </c>
      <c r="BI1182" s="0">
        <v>5299</v>
      </c>
      <c r="BK1182" s="0" t="s">
        <v>8491</v>
      </c>
    </row>
    <row r="1183">
      <c r="A1183" s="0">
        <v>5986</v>
      </c>
      <c r="B1183" s="0" t="s">
        <v>2507</v>
      </c>
      <c r="C1183" s="0" t="s">
        <v>1139</v>
      </c>
      <c r="D1183" s="0" t="s">
        <v>8202</v>
      </c>
      <c r="E1183" s="0" t="s">
        <v>2508</v>
      </c>
      <c r="F1183" s="0">
        <v>4</v>
      </c>
      <c r="G1183" s="0" t="s">
        <v>293</v>
      </c>
      <c r="H1183" s="0" t="s">
        <v>294</v>
      </c>
      <c r="I1183" s="0" t="s">
        <v>295</v>
      </c>
      <c r="P1183" s="0" t="s">
        <v>343</v>
      </c>
      <c r="Q1183" s="0" t="s">
        <v>343</v>
      </c>
      <c r="U1183" s="0" t="s">
        <v>8492</v>
      </c>
      <c r="X1183" s="0" t="s">
        <v>347</v>
      </c>
      <c r="Y1183" s="0" t="s">
        <v>42</v>
      </c>
      <c r="Z1183" s="0" t="s">
        <v>2384</v>
      </c>
      <c r="AA1183" s="0" t="s">
        <v>116</v>
      </c>
      <c r="AB1183" s="0" t="s">
        <v>531</v>
      </c>
      <c r="AC1183" s="0" t="s">
        <v>532</v>
      </c>
      <c r="AD1183" s="0" t="s">
        <v>8204</v>
      </c>
      <c r="AE1183" s="0" t="s">
        <v>8205</v>
      </c>
      <c r="AF1183" s="0" t="s">
        <v>301</v>
      </c>
      <c r="AM1183" s="0" t="s">
        <v>310</v>
      </c>
      <c r="AN1183" s="0" t="s">
        <v>310</v>
      </c>
      <c r="AO1183" s="0" t="s">
        <v>763</v>
      </c>
      <c r="AP1183" s="0" t="s">
        <v>305</v>
      </c>
      <c r="AQ1183" s="0" t="s">
        <v>1850</v>
      </c>
      <c r="AR1183" s="0" t="s">
        <v>4132</v>
      </c>
      <c r="AS1183" s="0">
        <v>783</v>
      </c>
      <c r="AT1183" s="0">
        <v>1629</v>
      </c>
      <c r="AU1183" s="0">
        <v>1906</v>
      </c>
      <c r="AV1183" s="0" t="s">
        <v>332</v>
      </c>
      <c r="AX1183" s="0" t="s">
        <v>1472</v>
      </c>
      <c r="AY1183" s="0" t="s">
        <v>780</v>
      </c>
      <c r="AZ1183" s="0" t="s">
        <v>4133</v>
      </c>
      <c r="BA1183" s="0">
        <v>547</v>
      </c>
      <c r="BB1183" s="0" t="s">
        <v>232</v>
      </c>
      <c r="BC1183" s="0">
        <v>2</v>
      </c>
      <c r="BD1183" s="0">
        <v>38030</v>
      </c>
      <c r="BE1183" s="0">
        <v>70560</v>
      </c>
      <c r="BF1183" s="0">
        <v>4</v>
      </c>
      <c r="BG1183" s="0" t="s">
        <v>8493</v>
      </c>
      <c r="BI1183" s="0">
        <v>5292</v>
      </c>
      <c r="BK1183" s="0" t="s">
        <v>8494</v>
      </c>
    </row>
    <row r="1184">
      <c r="A1184" s="0">
        <v>5985</v>
      </c>
      <c r="B1184" s="0" t="s">
        <v>2512</v>
      </c>
      <c r="C1184" s="0" t="s">
        <v>1139</v>
      </c>
      <c r="D1184" s="0" t="s">
        <v>8202</v>
      </c>
      <c r="E1184" s="0" t="s">
        <v>2513</v>
      </c>
      <c r="F1184" s="0">
        <v>4</v>
      </c>
      <c r="G1184" s="0" t="s">
        <v>293</v>
      </c>
      <c r="H1184" s="0" t="s">
        <v>294</v>
      </c>
      <c r="I1184" s="0" t="s">
        <v>295</v>
      </c>
      <c r="P1184" s="0" t="s">
        <v>343</v>
      </c>
      <c r="Q1184" s="0" t="s">
        <v>343</v>
      </c>
      <c r="U1184" s="0" t="s">
        <v>8495</v>
      </c>
      <c r="X1184" s="0" t="s">
        <v>347</v>
      </c>
      <c r="Y1184" s="0" t="s">
        <v>42</v>
      </c>
      <c r="Z1184" s="0" t="s">
        <v>2384</v>
      </c>
      <c r="AA1184" s="0" t="s">
        <v>116</v>
      </c>
      <c r="AB1184" s="0" t="s">
        <v>531</v>
      </c>
      <c r="AC1184" s="0" t="s">
        <v>532</v>
      </c>
      <c r="AD1184" s="0" t="s">
        <v>8204</v>
      </c>
      <c r="AE1184" s="0" t="s">
        <v>8205</v>
      </c>
      <c r="AF1184" s="0" t="s">
        <v>301</v>
      </c>
      <c r="AM1184" s="0" t="s">
        <v>387</v>
      </c>
      <c r="AN1184" s="0" t="s">
        <v>387</v>
      </c>
      <c r="AO1184" s="0" t="s">
        <v>763</v>
      </c>
      <c r="AP1184" s="0" t="s">
        <v>305</v>
      </c>
      <c r="AQ1184" s="0" t="s">
        <v>3086</v>
      </c>
      <c r="AR1184" s="0" t="s">
        <v>3087</v>
      </c>
      <c r="AS1184" s="0">
        <v>564</v>
      </c>
      <c r="AT1184" s="0">
        <v>1124</v>
      </c>
      <c r="AU1184" s="0">
        <v>1370</v>
      </c>
      <c r="AV1184" s="0" t="s">
        <v>332</v>
      </c>
      <c r="AX1184" s="0" t="s">
        <v>491</v>
      </c>
      <c r="AY1184" s="0" t="s">
        <v>598</v>
      </c>
      <c r="AZ1184" s="0" t="s">
        <v>304</v>
      </c>
      <c r="BA1184" s="0">
        <v>547</v>
      </c>
      <c r="BB1184" s="0" t="s">
        <v>232</v>
      </c>
      <c r="BC1184" s="0">
        <v>2</v>
      </c>
      <c r="BD1184" s="0">
        <v>38030</v>
      </c>
      <c r="BE1184" s="0">
        <v>70560</v>
      </c>
      <c r="BF1184" s="0">
        <v>4</v>
      </c>
      <c r="BG1184" s="0" t="s">
        <v>8496</v>
      </c>
      <c r="BI1184" s="0">
        <v>5288</v>
      </c>
      <c r="BK1184" s="0" t="s">
        <v>8497</v>
      </c>
    </row>
    <row r="1185">
      <c r="A1185" s="0">
        <v>5889</v>
      </c>
      <c r="B1185" s="0" t="s">
        <v>8498</v>
      </c>
      <c r="C1185" s="0" t="s">
        <v>315</v>
      </c>
      <c r="D1185" s="0" t="s">
        <v>8202</v>
      </c>
      <c r="E1185" s="0" t="s">
        <v>8499</v>
      </c>
      <c r="F1185" s="0">
        <v>1</v>
      </c>
      <c r="G1185" s="0" t="s">
        <v>594</v>
      </c>
      <c r="H1185" s="0" t="s">
        <v>508</v>
      </c>
      <c r="I1185" s="0" t="s">
        <v>705</v>
      </c>
      <c r="J1185" s="0" t="s">
        <v>293</v>
      </c>
      <c r="K1185" s="0" t="s">
        <v>294</v>
      </c>
      <c r="L1185" s="0" t="s">
        <v>295</v>
      </c>
      <c r="P1185" s="0" t="s">
        <v>323</v>
      </c>
      <c r="Q1185" s="0" t="s">
        <v>323</v>
      </c>
      <c r="R1185" s="0" t="s">
        <v>7657</v>
      </c>
      <c r="U1185" s="0" t="s">
        <v>8500</v>
      </c>
      <c r="X1185" s="0" t="s">
        <v>347</v>
      </c>
      <c r="Y1185" s="0" t="s">
        <v>42</v>
      </c>
      <c r="Z1185" s="0" t="s">
        <v>2384</v>
      </c>
      <c r="AA1185" s="0" t="s">
        <v>116</v>
      </c>
      <c r="AB1185" s="0" t="s">
        <v>531</v>
      </c>
      <c r="AC1185" s="0" t="s">
        <v>532</v>
      </c>
      <c r="AD1185" s="0" t="s">
        <v>8204</v>
      </c>
      <c r="AE1185" s="0" t="s">
        <v>8205</v>
      </c>
      <c r="AF1185" s="0" t="s">
        <v>301</v>
      </c>
      <c r="AP1185" s="0" t="s">
        <v>305</v>
      </c>
      <c r="BA1185" s="0">
        <v>547</v>
      </c>
      <c r="BB1185" s="0" t="s">
        <v>232</v>
      </c>
      <c r="BC1185" s="0">
        <v>2</v>
      </c>
      <c r="BD1185" s="0">
        <v>374043</v>
      </c>
      <c r="BE1185" s="0">
        <v>70560</v>
      </c>
      <c r="BF1185" s="0">
        <v>4</v>
      </c>
      <c r="BG1185" s="0" t="s">
        <v>8501</v>
      </c>
      <c r="BI1185" s="0">
        <v>1146</v>
      </c>
      <c r="BK1185" s="0" t="s">
        <v>8502</v>
      </c>
    </row>
    <row r="1186">
      <c r="A1186" s="0">
        <v>5888</v>
      </c>
      <c r="B1186" s="0" t="s">
        <v>8503</v>
      </c>
      <c r="C1186" s="0" t="s">
        <v>315</v>
      </c>
      <c r="D1186" s="0" t="s">
        <v>8202</v>
      </c>
      <c r="E1186" s="0" t="s">
        <v>8504</v>
      </c>
      <c r="F1186" s="0">
        <v>1</v>
      </c>
      <c r="G1186" s="0" t="s">
        <v>594</v>
      </c>
      <c r="H1186" s="0" t="s">
        <v>508</v>
      </c>
      <c r="I1186" s="0" t="s">
        <v>705</v>
      </c>
      <c r="J1186" s="0" t="s">
        <v>293</v>
      </c>
      <c r="K1186" s="0" t="s">
        <v>294</v>
      </c>
      <c r="L1186" s="0" t="s">
        <v>295</v>
      </c>
      <c r="P1186" s="0" t="s">
        <v>323</v>
      </c>
      <c r="Q1186" s="0" t="s">
        <v>323</v>
      </c>
      <c r="R1186" s="0" t="s">
        <v>7657</v>
      </c>
      <c r="U1186" s="0" t="s">
        <v>8505</v>
      </c>
      <c r="X1186" s="0" t="s">
        <v>347</v>
      </c>
      <c r="Y1186" s="0" t="s">
        <v>42</v>
      </c>
      <c r="Z1186" s="0" t="s">
        <v>2384</v>
      </c>
      <c r="AA1186" s="0" t="s">
        <v>116</v>
      </c>
      <c r="AB1186" s="0" t="s">
        <v>531</v>
      </c>
      <c r="AC1186" s="0" t="s">
        <v>532</v>
      </c>
      <c r="AD1186" s="0" t="s">
        <v>8204</v>
      </c>
      <c r="AE1186" s="0" t="s">
        <v>8205</v>
      </c>
      <c r="AF1186" s="0" t="s">
        <v>301</v>
      </c>
      <c r="AP1186" s="0" t="s">
        <v>305</v>
      </c>
      <c r="BA1186" s="0">
        <v>547</v>
      </c>
      <c r="BB1186" s="0" t="s">
        <v>232</v>
      </c>
      <c r="BC1186" s="0">
        <v>2</v>
      </c>
      <c r="BD1186" s="0">
        <v>374043</v>
      </c>
      <c r="BE1186" s="0">
        <v>70560</v>
      </c>
      <c r="BF1186" s="0">
        <v>4</v>
      </c>
      <c r="BG1186" s="0" t="s">
        <v>8506</v>
      </c>
      <c r="BI1186" s="0">
        <v>817</v>
      </c>
      <c r="BK1186" s="0" t="s">
        <v>8507</v>
      </c>
    </row>
    <row r="1187">
      <c r="A1187" s="0">
        <v>5975</v>
      </c>
      <c r="B1187" s="0" t="s">
        <v>8508</v>
      </c>
      <c r="C1187" s="0" t="s">
        <v>290</v>
      </c>
      <c r="D1187" s="0" t="s">
        <v>8202</v>
      </c>
      <c r="E1187" s="0" t="s">
        <v>8509</v>
      </c>
      <c r="F1187" s="0">
        <v>1</v>
      </c>
      <c r="G1187" s="0" t="s">
        <v>555</v>
      </c>
      <c r="H1187" s="0" t="s">
        <v>1112</v>
      </c>
      <c r="I1187" s="0" t="s">
        <v>1204</v>
      </c>
      <c r="J1187" s="0" t="s">
        <v>293</v>
      </c>
      <c r="K1187" s="0" t="s">
        <v>294</v>
      </c>
      <c r="L1187" s="0" t="s">
        <v>295</v>
      </c>
      <c r="P1187" s="0" t="s">
        <v>343</v>
      </c>
      <c r="Q1187" s="0" t="s">
        <v>343</v>
      </c>
      <c r="U1187" s="0" t="s">
        <v>8510</v>
      </c>
      <c r="X1187" s="0" t="s">
        <v>347</v>
      </c>
      <c r="Y1187" s="0" t="s">
        <v>42</v>
      </c>
      <c r="Z1187" s="0" t="s">
        <v>2384</v>
      </c>
      <c r="AA1187" s="0" t="s">
        <v>116</v>
      </c>
      <c r="AB1187" s="0" t="s">
        <v>531</v>
      </c>
      <c r="AC1187" s="0" t="s">
        <v>532</v>
      </c>
      <c r="AD1187" s="0" t="s">
        <v>8204</v>
      </c>
      <c r="AE1187" s="0" t="s">
        <v>8205</v>
      </c>
      <c r="AF1187" s="0" t="s">
        <v>301</v>
      </c>
      <c r="AP1187" s="0" t="s">
        <v>305</v>
      </c>
      <c r="BA1187" s="0">
        <v>547</v>
      </c>
      <c r="BB1187" s="0" t="s">
        <v>232</v>
      </c>
      <c r="BC1187" s="0">
        <v>2</v>
      </c>
      <c r="BD1187" s="0">
        <v>374053</v>
      </c>
      <c r="BE1187" s="0">
        <v>70560</v>
      </c>
      <c r="BF1187" s="0">
        <v>4</v>
      </c>
      <c r="BG1187" s="0" t="s">
        <v>8511</v>
      </c>
      <c r="BI1187" s="0">
        <v>5246</v>
      </c>
      <c r="BK1187" s="0" t="s">
        <v>8512</v>
      </c>
    </row>
    <row r="1188">
      <c r="A1188" s="0">
        <v>5968</v>
      </c>
      <c r="B1188" s="0" t="s">
        <v>8513</v>
      </c>
      <c r="C1188" s="0" t="s">
        <v>315</v>
      </c>
      <c r="D1188" s="0" t="s">
        <v>8202</v>
      </c>
      <c r="E1188" s="0" t="s">
        <v>6780</v>
      </c>
      <c r="F1188" s="0">
        <v>2</v>
      </c>
      <c r="G1188" s="0" t="s">
        <v>293</v>
      </c>
      <c r="H1188" s="0" t="s">
        <v>294</v>
      </c>
      <c r="I1188" s="0" t="s">
        <v>295</v>
      </c>
      <c r="J1188" s="0" t="s">
        <v>555</v>
      </c>
      <c r="K1188" s="0" t="s">
        <v>1112</v>
      </c>
      <c r="L1188" s="0" t="s">
        <v>1204</v>
      </c>
      <c r="P1188" s="0" t="s">
        <v>343</v>
      </c>
      <c r="Q1188" s="0" t="s">
        <v>343</v>
      </c>
      <c r="T1188" s="0" t="s">
        <v>8514</v>
      </c>
      <c r="U1188" s="0" t="s">
        <v>8515</v>
      </c>
      <c r="X1188" s="0" t="s">
        <v>347</v>
      </c>
      <c r="Y1188" s="0" t="s">
        <v>42</v>
      </c>
      <c r="Z1188" s="0" t="s">
        <v>2384</v>
      </c>
      <c r="AA1188" s="0" t="s">
        <v>116</v>
      </c>
      <c r="AB1188" s="0" t="s">
        <v>531</v>
      </c>
      <c r="AC1188" s="0" t="s">
        <v>532</v>
      </c>
      <c r="AD1188" s="0" t="s">
        <v>8204</v>
      </c>
      <c r="AE1188" s="0" t="s">
        <v>8205</v>
      </c>
      <c r="AF1188" s="0" t="s">
        <v>301</v>
      </c>
      <c r="AP1188" s="0" t="s">
        <v>305</v>
      </c>
      <c r="BA1188" s="0">
        <v>547</v>
      </c>
      <c r="BB1188" s="0" t="s">
        <v>232</v>
      </c>
      <c r="BC1188" s="0">
        <v>2</v>
      </c>
      <c r="BD1188" s="0">
        <v>374043</v>
      </c>
      <c r="BE1188" s="0">
        <v>70560</v>
      </c>
      <c r="BF1188" s="0">
        <v>4</v>
      </c>
      <c r="BG1188" s="0" t="s">
        <v>8516</v>
      </c>
      <c r="BI1188" s="0">
        <v>5250</v>
      </c>
      <c r="BK1188" s="0" t="s">
        <v>8517</v>
      </c>
    </row>
    <row r="1189">
      <c r="A1189" s="0">
        <v>5969</v>
      </c>
      <c r="B1189" s="0" t="s">
        <v>8513</v>
      </c>
      <c r="C1189" s="0" t="s">
        <v>315</v>
      </c>
      <c r="D1189" s="0" t="s">
        <v>8202</v>
      </c>
      <c r="E1189" s="0" t="s">
        <v>6780</v>
      </c>
      <c r="F1189" s="0">
        <v>2</v>
      </c>
      <c r="G1189" s="0" t="s">
        <v>293</v>
      </c>
      <c r="H1189" s="0" t="s">
        <v>294</v>
      </c>
      <c r="I1189" s="0" t="s">
        <v>295</v>
      </c>
      <c r="J1189" s="0" t="s">
        <v>555</v>
      </c>
      <c r="K1189" s="0" t="s">
        <v>1112</v>
      </c>
      <c r="L1189" s="0" t="s">
        <v>417</v>
      </c>
      <c r="P1189" s="0" t="s">
        <v>343</v>
      </c>
      <c r="Q1189" s="0" t="s">
        <v>343</v>
      </c>
      <c r="T1189" s="0" t="s">
        <v>8514</v>
      </c>
      <c r="U1189" s="0" t="s">
        <v>8518</v>
      </c>
      <c r="X1189" s="0" t="s">
        <v>347</v>
      </c>
      <c r="Y1189" s="0" t="s">
        <v>42</v>
      </c>
      <c r="Z1189" s="0" t="s">
        <v>2384</v>
      </c>
      <c r="AA1189" s="0" t="s">
        <v>116</v>
      </c>
      <c r="AB1189" s="0" t="s">
        <v>531</v>
      </c>
      <c r="AC1189" s="0" t="s">
        <v>532</v>
      </c>
      <c r="AD1189" s="0" t="s">
        <v>8204</v>
      </c>
      <c r="AE1189" s="0" t="s">
        <v>8205</v>
      </c>
      <c r="AF1189" s="0" t="s">
        <v>301</v>
      </c>
      <c r="AP1189" s="0" t="s">
        <v>305</v>
      </c>
      <c r="BA1189" s="0">
        <v>547</v>
      </c>
      <c r="BB1189" s="0" t="s">
        <v>232</v>
      </c>
      <c r="BC1189" s="0">
        <v>2</v>
      </c>
      <c r="BD1189" s="0">
        <v>374043</v>
      </c>
      <c r="BE1189" s="0">
        <v>70560</v>
      </c>
      <c r="BF1189" s="0">
        <v>4</v>
      </c>
      <c r="BG1189" s="0" t="s">
        <v>8519</v>
      </c>
      <c r="BI1189" s="0">
        <v>5254</v>
      </c>
      <c r="BK1189" s="0" t="s">
        <v>8520</v>
      </c>
    </row>
    <row r="1190">
      <c r="A1190" s="0">
        <v>5943</v>
      </c>
      <c r="B1190" s="0" t="s">
        <v>4140</v>
      </c>
      <c r="C1190" s="0" t="s">
        <v>579</v>
      </c>
      <c r="D1190" s="0" t="s">
        <v>8202</v>
      </c>
      <c r="E1190" s="0" t="s">
        <v>4141</v>
      </c>
      <c r="F1190" s="0">
        <v>1</v>
      </c>
      <c r="G1190" s="0" t="s">
        <v>293</v>
      </c>
      <c r="H1190" s="0" t="s">
        <v>294</v>
      </c>
      <c r="I1190" s="0" t="s">
        <v>295</v>
      </c>
      <c r="J1190" s="0" t="s">
        <v>581</v>
      </c>
      <c r="K1190" s="0" t="s">
        <v>581</v>
      </c>
      <c r="L1190" s="0" t="s">
        <v>582</v>
      </c>
      <c r="P1190" s="0" t="s">
        <v>343</v>
      </c>
      <c r="Q1190" s="0" t="s">
        <v>343</v>
      </c>
      <c r="T1190" s="0" t="s">
        <v>8521</v>
      </c>
      <c r="U1190" s="0" t="s">
        <v>8522</v>
      </c>
      <c r="X1190" s="0" t="s">
        <v>347</v>
      </c>
      <c r="Y1190" s="0" t="s">
        <v>42</v>
      </c>
      <c r="Z1190" s="0" t="s">
        <v>2384</v>
      </c>
      <c r="AA1190" s="0" t="s">
        <v>116</v>
      </c>
      <c r="AB1190" s="0" t="s">
        <v>531</v>
      </c>
      <c r="AC1190" s="0" t="s">
        <v>532</v>
      </c>
      <c r="AD1190" s="0" t="s">
        <v>8204</v>
      </c>
      <c r="AE1190" s="0" t="s">
        <v>8205</v>
      </c>
      <c r="AF1190" s="0" t="s">
        <v>301</v>
      </c>
      <c r="AP1190" s="0" t="s">
        <v>305</v>
      </c>
      <c r="BA1190" s="0">
        <v>547</v>
      </c>
      <c r="BB1190" s="0" t="s">
        <v>232</v>
      </c>
      <c r="BC1190" s="0">
        <v>2</v>
      </c>
      <c r="BD1190" s="0">
        <v>374046</v>
      </c>
      <c r="BE1190" s="0">
        <v>70560</v>
      </c>
      <c r="BF1190" s="0">
        <v>4</v>
      </c>
      <c r="BG1190" s="0" t="s">
        <v>8523</v>
      </c>
      <c r="BI1190" s="0">
        <v>5184</v>
      </c>
      <c r="BK1190" s="0" t="s">
        <v>8524</v>
      </c>
    </row>
    <row r="1191">
      <c r="A1191" s="0">
        <v>5949</v>
      </c>
      <c r="B1191" s="0" t="s">
        <v>5981</v>
      </c>
      <c r="C1191" s="0" t="s">
        <v>315</v>
      </c>
      <c r="D1191" s="0" t="s">
        <v>8202</v>
      </c>
      <c r="E1191" s="0" t="s">
        <v>1665</v>
      </c>
      <c r="F1191" s="0">
        <v>3</v>
      </c>
      <c r="G1191" s="0" t="s">
        <v>319</v>
      </c>
      <c r="H1191" s="0" t="s">
        <v>658</v>
      </c>
      <c r="I1191" s="0" t="s">
        <v>6530</v>
      </c>
      <c r="J1191" s="0" t="s">
        <v>293</v>
      </c>
      <c r="K1191" s="0" t="s">
        <v>294</v>
      </c>
      <c r="L1191" s="0" t="s">
        <v>295</v>
      </c>
      <c r="M1191" s="0" t="s">
        <v>594</v>
      </c>
      <c r="N1191" s="0" t="s">
        <v>508</v>
      </c>
      <c r="P1191" s="0" t="s">
        <v>323</v>
      </c>
      <c r="Q1191" s="0" t="s">
        <v>343</v>
      </c>
      <c r="R1191" s="0" t="s">
        <v>6865</v>
      </c>
      <c r="T1191" s="0" t="s">
        <v>8388</v>
      </c>
      <c r="U1191" s="0" t="s">
        <v>8525</v>
      </c>
      <c r="X1191" s="0" t="s">
        <v>347</v>
      </c>
      <c r="Y1191" s="0" t="s">
        <v>42</v>
      </c>
      <c r="Z1191" s="0" t="s">
        <v>2384</v>
      </c>
      <c r="AA1191" s="0" t="s">
        <v>116</v>
      </c>
      <c r="AB1191" s="0" t="s">
        <v>531</v>
      </c>
      <c r="AC1191" s="0" t="s">
        <v>532</v>
      </c>
      <c r="AD1191" s="0" t="s">
        <v>8204</v>
      </c>
      <c r="AE1191" s="0" t="s">
        <v>8205</v>
      </c>
      <c r="AF1191" s="0" t="s">
        <v>301</v>
      </c>
      <c r="AP1191" s="0" t="s">
        <v>305</v>
      </c>
      <c r="BA1191" s="0">
        <v>547</v>
      </c>
      <c r="BB1191" s="0" t="s">
        <v>232</v>
      </c>
      <c r="BC1191" s="0">
        <v>2</v>
      </c>
      <c r="BD1191" s="0">
        <v>374043</v>
      </c>
      <c r="BE1191" s="0">
        <v>70560</v>
      </c>
      <c r="BF1191" s="0">
        <v>4</v>
      </c>
      <c r="BG1191" s="0" t="s">
        <v>8526</v>
      </c>
      <c r="BI1191" s="0">
        <v>5078</v>
      </c>
      <c r="BK1191" s="0" t="s">
        <v>8527</v>
      </c>
    </row>
    <row r="1192">
      <c r="A1192" s="0">
        <v>5989</v>
      </c>
      <c r="B1192" s="0" t="s">
        <v>8528</v>
      </c>
      <c r="C1192" s="0" t="s">
        <v>656</v>
      </c>
      <c r="D1192" s="0" t="s">
        <v>8202</v>
      </c>
      <c r="E1192" s="0" t="s">
        <v>8529</v>
      </c>
      <c r="F1192" s="0">
        <v>3</v>
      </c>
      <c r="G1192" s="0" t="s">
        <v>293</v>
      </c>
      <c r="H1192" s="0" t="s">
        <v>294</v>
      </c>
      <c r="I1192" s="0" t="s">
        <v>295</v>
      </c>
      <c r="P1192" s="0" t="s">
        <v>343</v>
      </c>
      <c r="Q1192" s="0" t="s">
        <v>343</v>
      </c>
      <c r="U1192" s="0" t="s">
        <v>8530</v>
      </c>
      <c r="X1192" s="0" t="s">
        <v>347</v>
      </c>
      <c r="Y1192" s="0" t="s">
        <v>42</v>
      </c>
      <c r="Z1192" s="0" t="s">
        <v>2384</v>
      </c>
      <c r="AA1192" s="0" t="s">
        <v>116</v>
      </c>
      <c r="AB1192" s="0" t="s">
        <v>531</v>
      </c>
      <c r="AC1192" s="0" t="s">
        <v>532</v>
      </c>
      <c r="AD1192" s="0" t="s">
        <v>8204</v>
      </c>
      <c r="AE1192" s="0" t="s">
        <v>8205</v>
      </c>
      <c r="AF1192" s="0" t="s">
        <v>301</v>
      </c>
      <c r="AP1192" s="0" t="s">
        <v>305</v>
      </c>
      <c r="BA1192" s="0">
        <v>547</v>
      </c>
      <c r="BB1192" s="0" t="s">
        <v>232</v>
      </c>
      <c r="BC1192" s="0">
        <v>2</v>
      </c>
      <c r="BD1192" s="0">
        <v>10</v>
      </c>
      <c r="BE1192" s="0">
        <v>70560</v>
      </c>
      <c r="BF1192" s="0">
        <v>4</v>
      </c>
      <c r="BG1192" s="0" t="s">
        <v>8531</v>
      </c>
      <c r="BI1192" s="0">
        <v>5303</v>
      </c>
      <c r="BK1192" s="0" t="s">
        <v>8532</v>
      </c>
    </row>
    <row r="1193">
      <c r="A1193" s="0">
        <v>5895</v>
      </c>
      <c r="B1193" s="0" t="s">
        <v>8533</v>
      </c>
      <c r="C1193" s="0" t="s">
        <v>315</v>
      </c>
      <c r="D1193" s="0" t="s">
        <v>8202</v>
      </c>
      <c r="E1193" s="0" t="s">
        <v>8534</v>
      </c>
      <c r="F1193" s="0">
        <v>1</v>
      </c>
      <c r="G1193" s="0" t="s">
        <v>594</v>
      </c>
      <c r="H1193" s="0" t="s">
        <v>508</v>
      </c>
      <c r="I1193" s="0" t="s">
        <v>705</v>
      </c>
      <c r="J1193" s="0" t="s">
        <v>293</v>
      </c>
      <c r="K1193" s="0" t="s">
        <v>294</v>
      </c>
      <c r="L1193" s="0" t="s">
        <v>295</v>
      </c>
      <c r="P1193" s="0" t="s">
        <v>343</v>
      </c>
      <c r="Q1193" s="0" t="s">
        <v>343</v>
      </c>
      <c r="U1193" s="0" t="s">
        <v>8535</v>
      </c>
      <c r="X1193" s="0" t="s">
        <v>347</v>
      </c>
      <c r="Y1193" s="0" t="s">
        <v>42</v>
      </c>
      <c r="Z1193" s="0" t="s">
        <v>2384</v>
      </c>
      <c r="AA1193" s="0" t="s">
        <v>116</v>
      </c>
      <c r="AB1193" s="0" t="s">
        <v>531</v>
      </c>
      <c r="AC1193" s="0" t="s">
        <v>532</v>
      </c>
      <c r="AD1193" s="0" t="s">
        <v>8204</v>
      </c>
      <c r="AE1193" s="0" t="s">
        <v>8205</v>
      </c>
      <c r="AF1193" s="0" t="s">
        <v>301</v>
      </c>
      <c r="AP1193" s="0" t="s">
        <v>305</v>
      </c>
      <c r="BA1193" s="0">
        <v>547</v>
      </c>
      <c r="BB1193" s="0" t="s">
        <v>232</v>
      </c>
      <c r="BC1193" s="0">
        <v>2</v>
      </c>
      <c r="BD1193" s="0">
        <v>374043</v>
      </c>
      <c r="BE1193" s="0">
        <v>70560</v>
      </c>
      <c r="BF1193" s="0">
        <v>4</v>
      </c>
      <c r="BG1193" s="0" t="s">
        <v>8536</v>
      </c>
      <c r="BI1193" s="0">
        <v>2596</v>
      </c>
      <c r="BK1193" s="0" t="s">
        <v>8537</v>
      </c>
    </row>
    <row r="1194">
      <c r="A1194" s="0">
        <v>5967</v>
      </c>
      <c r="B1194" s="0" t="s">
        <v>8538</v>
      </c>
      <c r="C1194" s="0" t="s">
        <v>656</v>
      </c>
      <c r="D1194" s="0" t="s">
        <v>8202</v>
      </c>
      <c r="E1194" s="0" t="s">
        <v>8539</v>
      </c>
      <c r="F1194" s="0">
        <v>1</v>
      </c>
      <c r="G1194" s="0" t="s">
        <v>293</v>
      </c>
      <c r="H1194" s="0" t="s">
        <v>294</v>
      </c>
      <c r="I1194" s="0" t="s">
        <v>295</v>
      </c>
      <c r="P1194" s="0" t="s">
        <v>343</v>
      </c>
      <c r="Q1194" s="0" t="s">
        <v>343</v>
      </c>
      <c r="U1194" s="0" t="s">
        <v>8540</v>
      </c>
      <c r="X1194" s="0" t="s">
        <v>347</v>
      </c>
      <c r="Y1194" s="0" t="s">
        <v>42</v>
      </c>
      <c r="Z1194" s="0" t="s">
        <v>2384</v>
      </c>
      <c r="AA1194" s="0" t="s">
        <v>116</v>
      </c>
      <c r="AB1194" s="0" t="s">
        <v>531</v>
      </c>
      <c r="AC1194" s="0" t="s">
        <v>532</v>
      </c>
      <c r="AD1194" s="0" t="s">
        <v>8204</v>
      </c>
      <c r="AE1194" s="0" t="s">
        <v>8205</v>
      </c>
      <c r="AF1194" s="0" t="s">
        <v>301</v>
      </c>
      <c r="AP1194" s="0" t="s">
        <v>305</v>
      </c>
      <c r="BA1194" s="0">
        <v>547</v>
      </c>
      <c r="BB1194" s="0" t="s">
        <v>232</v>
      </c>
      <c r="BC1194" s="0">
        <v>2</v>
      </c>
      <c r="BD1194" s="0">
        <v>10</v>
      </c>
      <c r="BE1194" s="0">
        <v>70560</v>
      </c>
      <c r="BF1194" s="0">
        <v>4</v>
      </c>
      <c r="BG1194" s="0" t="s">
        <v>8541</v>
      </c>
      <c r="BI1194" s="0">
        <v>5217</v>
      </c>
      <c r="BK1194" s="0" t="s">
        <v>8542</v>
      </c>
    </row>
    <row r="1195">
      <c r="A1195" s="0">
        <v>5960</v>
      </c>
      <c r="B1195" s="0" t="s">
        <v>8543</v>
      </c>
      <c r="C1195" s="0" t="s">
        <v>656</v>
      </c>
      <c r="D1195" s="0" t="s">
        <v>8202</v>
      </c>
      <c r="E1195" s="0" t="s">
        <v>8544</v>
      </c>
      <c r="F1195" s="0">
        <v>1</v>
      </c>
      <c r="G1195" s="0" t="s">
        <v>293</v>
      </c>
      <c r="H1195" s="0" t="s">
        <v>294</v>
      </c>
      <c r="I1195" s="0" t="s">
        <v>295</v>
      </c>
      <c r="P1195" s="0" t="s">
        <v>323</v>
      </c>
      <c r="Q1195" s="0" t="s">
        <v>323</v>
      </c>
      <c r="R1195" s="0" t="s">
        <v>7617</v>
      </c>
      <c r="U1195" s="0" t="s">
        <v>8545</v>
      </c>
      <c r="X1195" s="0" t="s">
        <v>347</v>
      </c>
      <c r="Y1195" s="0" t="s">
        <v>42</v>
      </c>
      <c r="Z1195" s="0" t="s">
        <v>2384</v>
      </c>
      <c r="AA1195" s="0" t="s">
        <v>116</v>
      </c>
      <c r="AB1195" s="0" t="s">
        <v>531</v>
      </c>
      <c r="AC1195" s="0" t="s">
        <v>532</v>
      </c>
      <c r="AD1195" s="0" t="s">
        <v>8204</v>
      </c>
      <c r="AE1195" s="0" t="s">
        <v>8205</v>
      </c>
      <c r="AF1195" s="0" t="s">
        <v>301</v>
      </c>
      <c r="AP1195" s="0" t="s">
        <v>305</v>
      </c>
      <c r="BA1195" s="0">
        <v>547</v>
      </c>
      <c r="BB1195" s="0" t="s">
        <v>232</v>
      </c>
      <c r="BC1195" s="0">
        <v>2</v>
      </c>
      <c r="BD1195" s="0">
        <v>10</v>
      </c>
      <c r="BE1195" s="0">
        <v>70560</v>
      </c>
      <c r="BF1195" s="0">
        <v>4</v>
      </c>
      <c r="BG1195" s="0" t="s">
        <v>8546</v>
      </c>
      <c r="BI1195" s="0">
        <v>5165</v>
      </c>
      <c r="BK1195" s="0" t="s">
        <v>8547</v>
      </c>
    </row>
    <row r="1196">
      <c r="A1196" s="0">
        <v>5997</v>
      </c>
      <c r="B1196" s="0" t="s">
        <v>8548</v>
      </c>
      <c r="C1196" s="0" t="s">
        <v>1855</v>
      </c>
      <c r="D1196" s="0" t="s">
        <v>8202</v>
      </c>
      <c r="E1196" s="0" t="s">
        <v>8549</v>
      </c>
      <c r="F1196" s="0">
        <v>3</v>
      </c>
      <c r="G1196" s="0" t="s">
        <v>525</v>
      </c>
      <c r="H1196" s="0" t="s">
        <v>400</v>
      </c>
      <c r="I1196" s="0" t="s">
        <v>1133</v>
      </c>
      <c r="J1196" s="0" t="s">
        <v>293</v>
      </c>
      <c r="K1196" s="0" t="s">
        <v>294</v>
      </c>
      <c r="L1196" s="0" t="s">
        <v>295</v>
      </c>
      <c r="P1196" s="0" t="s">
        <v>343</v>
      </c>
      <c r="Q1196" s="0" t="s">
        <v>343</v>
      </c>
      <c r="U1196" s="0" t="s">
        <v>8550</v>
      </c>
      <c r="X1196" s="0" t="s">
        <v>347</v>
      </c>
      <c r="Y1196" s="0" t="s">
        <v>42</v>
      </c>
      <c r="Z1196" s="0" t="s">
        <v>2384</v>
      </c>
      <c r="AA1196" s="0" t="s">
        <v>116</v>
      </c>
      <c r="AB1196" s="0" t="s">
        <v>531</v>
      </c>
      <c r="AC1196" s="0" t="s">
        <v>532</v>
      </c>
      <c r="AD1196" s="0" t="s">
        <v>8204</v>
      </c>
      <c r="AE1196" s="0" t="s">
        <v>8205</v>
      </c>
      <c r="AF1196" s="0" t="s">
        <v>301</v>
      </c>
      <c r="AP1196" s="0" t="s">
        <v>305</v>
      </c>
      <c r="BA1196" s="0">
        <v>547</v>
      </c>
      <c r="BB1196" s="0" t="s">
        <v>232</v>
      </c>
      <c r="BC1196" s="0">
        <v>2</v>
      </c>
      <c r="BD1196" s="0">
        <v>28</v>
      </c>
      <c r="BE1196" s="0">
        <v>70560</v>
      </c>
      <c r="BF1196" s="0">
        <v>4</v>
      </c>
      <c r="BG1196" s="0" t="s">
        <v>8551</v>
      </c>
      <c r="BI1196" s="0">
        <v>5331</v>
      </c>
      <c r="BK1196" s="0" t="s">
        <v>8552</v>
      </c>
    </row>
    <row r="1197">
      <c r="A1197" s="0">
        <v>5952</v>
      </c>
      <c r="B1197" s="0" t="s">
        <v>8553</v>
      </c>
      <c r="C1197" s="0" t="s">
        <v>339</v>
      </c>
      <c r="D1197" s="0" t="s">
        <v>8202</v>
      </c>
      <c r="E1197" s="0" t="s">
        <v>8554</v>
      </c>
      <c r="F1197" s="0">
        <v>3</v>
      </c>
      <c r="G1197" s="0" t="s">
        <v>319</v>
      </c>
      <c r="H1197" s="0" t="s">
        <v>470</v>
      </c>
      <c r="I1197" s="0" t="s">
        <v>8355</v>
      </c>
      <c r="J1197" s="0" t="s">
        <v>594</v>
      </c>
      <c r="K1197" s="0" t="s">
        <v>508</v>
      </c>
      <c r="P1197" s="0" t="s">
        <v>323</v>
      </c>
      <c r="Q1197" s="0" t="s">
        <v>343</v>
      </c>
      <c r="R1197" s="0" t="s">
        <v>8555</v>
      </c>
      <c r="U1197" s="0" t="s">
        <v>8556</v>
      </c>
      <c r="X1197" s="0" t="s">
        <v>347</v>
      </c>
      <c r="Y1197" s="0" t="s">
        <v>42</v>
      </c>
      <c r="Z1197" s="0" t="s">
        <v>2384</v>
      </c>
      <c r="AA1197" s="0" t="s">
        <v>116</v>
      </c>
      <c r="AB1197" s="0" t="s">
        <v>531</v>
      </c>
      <c r="AC1197" s="0" t="s">
        <v>532</v>
      </c>
      <c r="AD1197" s="0" t="s">
        <v>8204</v>
      </c>
      <c r="AE1197" s="0" t="s">
        <v>8205</v>
      </c>
      <c r="AF1197" s="0" t="s">
        <v>301</v>
      </c>
      <c r="AP1197" s="0" t="s">
        <v>305</v>
      </c>
      <c r="BA1197" s="0">
        <v>547</v>
      </c>
      <c r="BB1197" s="0" t="s">
        <v>232</v>
      </c>
      <c r="BC1197" s="0">
        <v>2</v>
      </c>
      <c r="BD1197" s="0">
        <v>8</v>
      </c>
      <c r="BE1197" s="0">
        <v>70560</v>
      </c>
      <c r="BF1197" s="0">
        <v>4</v>
      </c>
      <c r="BG1197" s="0" t="s">
        <v>8557</v>
      </c>
      <c r="BI1197" s="0">
        <v>5099</v>
      </c>
      <c r="BK1197" s="0" t="s">
        <v>8558</v>
      </c>
    </row>
    <row r="1198">
      <c r="A1198" s="0">
        <v>5983</v>
      </c>
      <c r="B1198" s="0" t="s">
        <v>8559</v>
      </c>
      <c r="C1198" s="0" t="s">
        <v>1139</v>
      </c>
      <c r="D1198" s="0" t="s">
        <v>8202</v>
      </c>
      <c r="E1198" s="0" t="s">
        <v>1499</v>
      </c>
      <c r="F1198" s="0">
        <v>1</v>
      </c>
      <c r="G1198" s="0" t="s">
        <v>293</v>
      </c>
      <c r="H1198" s="0" t="s">
        <v>294</v>
      </c>
      <c r="I1198" s="0" t="s">
        <v>295</v>
      </c>
      <c r="P1198" s="0" t="s">
        <v>343</v>
      </c>
      <c r="Q1198" s="0" t="s">
        <v>343</v>
      </c>
      <c r="U1198" s="0" t="s">
        <v>8560</v>
      </c>
      <c r="X1198" s="0" t="s">
        <v>347</v>
      </c>
      <c r="Y1198" s="0" t="s">
        <v>42</v>
      </c>
      <c r="Z1198" s="0" t="s">
        <v>2384</v>
      </c>
      <c r="AA1198" s="0" t="s">
        <v>116</v>
      </c>
      <c r="AB1198" s="0" t="s">
        <v>531</v>
      </c>
      <c r="AC1198" s="0" t="s">
        <v>532</v>
      </c>
      <c r="AD1198" s="0" t="s">
        <v>8204</v>
      </c>
      <c r="AE1198" s="0" t="s">
        <v>8205</v>
      </c>
      <c r="AF1198" s="0" t="s">
        <v>301</v>
      </c>
      <c r="AM1198" s="0" t="s">
        <v>924</v>
      </c>
      <c r="AN1198" s="0" t="s">
        <v>1502</v>
      </c>
      <c r="AO1198" s="0" t="s">
        <v>1503</v>
      </c>
      <c r="AP1198" s="0" t="s">
        <v>305</v>
      </c>
      <c r="AQ1198" s="0" t="s">
        <v>1271</v>
      </c>
      <c r="AR1198" s="0" t="s">
        <v>1504</v>
      </c>
      <c r="AS1198" s="0">
        <v>124</v>
      </c>
      <c r="AT1198" s="0">
        <v>280</v>
      </c>
      <c r="AU1198" s="0">
        <v>304</v>
      </c>
      <c r="AV1198" s="0" t="s">
        <v>332</v>
      </c>
      <c r="AX1198" s="0" t="s">
        <v>5935</v>
      </c>
      <c r="AY1198" s="0" t="s">
        <v>924</v>
      </c>
      <c r="AZ1198" s="0" t="s">
        <v>2740</v>
      </c>
      <c r="BA1198" s="0">
        <v>547</v>
      </c>
      <c r="BB1198" s="0" t="s">
        <v>232</v>
      </c>
      <c r="BC1198" s="0">
        <v>2</v>
      </c>
      <c r="BD1198" s="0">
        <v>38030</v>
      </c>
      <c r="BE1198" s="0">
        <v>70560</v>
      </c>
      <c r="BF1198" s="0">
        <v>4</v>
      </c>
      <c r="BG1198" s="0" t="s">
        <v>8561</v>
      </c>
      <c r="BI1198" s="0">
        <v>5281</v>
      </c>
      <c r="BK1198" s="0" t="s">
        <v>8562</v>
      </c>
    </row>
    <row r="1199">
      <c r="A1199" s="0">
        <v>5984</v>
      </c>
      <c r="C1199" s="0" t="s">
        <v>315</v>
      </c>
      <c r="D1199" s="0" t="s">
        <v>8202</v>
      </c>
      <c r="E1199" s="0" t="s">
        <v>8563</v>
      </c>
      <c r="F1199" s="0">
        <v>10</v>
      </c>
      <c r="G1199" s="0" t="s">
        <v>8564</v>
      </c>
      <c r="H1199" s="0" t="s">
        <v>8564</v>
      </c>
      <c r="I1199" s="0" t="s">
        <v>1021</v>
      </c>
      <c r="P1199" s="0" t="s">
        <v>343</v>
      </c>
      <c r="Q1199" s="0" t="s">
        <v>343</v>
      </c>
      <c r="U1199" s="0" t="s">
        <v>8565</v>
      </c>
      <c r="X1199" s="0" t="s">
        <v>347</v>
      </c>
      <c r="Y1199" s="0" t="s">
        <v>42</v>
      </c>
      <c r="Z1199" s="0" t="s">
        <v>2384</v>
      </c>
      <c r="AA1199" s="0" t="s">
        <v>116</v>
      </c>
      <c r="AB1199" s="0" t="s">
        <v>531</v>
      </c>
      <c r="AC1199" s="0" t="s">
        <v>532</v>
      </c>
      <c r="AD1199" s="0" t="s">
        <v>8204</v>
      </c>
      <c r="AE1199" s="0" t="s">
        <v>8205</v>
      </c>
      <c r="AF1199" s="0" t="s">
        <v>301</v>
      </c>
      <c r="AP1199" s="0" t="s">
        <v>305</v>
      </c>
      <c r="BA1199" s="0">
        <v>547</v>
      </c>
      <c r="BB1199" s="0" t="s">
        <v>232</v>
      </c>
      <c r="BC1199" s="0">
        <v>2</v>
      </c>
      <c r="BD1199" s="0">
        <v>374043</v>
      </c>
      <c r="BE1199" s="0">
        <v>70560</v>
      </c>
      <c r="BF1199" s="0">
        <v>4</v>
      </c>
      <c r="BG1199" s="0" t="s">
        <v>8566</v>
      </c>
      <c r="BI1199" s="0">
        <v>5284</v>
      </c>
      <c r="BK1199" s="0" t="s">
        <v>8567</v>
      </c>
    </row>
    <row r="1200">
      <c r="A1200" s="0">
        <v>5951</v>
      </c>
      <c r="B1200" s="0" t="s">
        <v>8568</v>
      </c>
      <c r="C1200" s="0" t="s">
        <v>945</v>
      </c>
      <c r="D1200" s="0" t="s">
        <v>8202</v>
      </c>
      <c r="E1200" s="0" t="s">
        <v>8569</v>
      </c>
      <c r="F1200" s="0">
        <v>3</v>
      </c>
      <c r="G1200" s="0" t="s">
        <v>319</v>
      </c>
      <c r="H1200" s="0" t="s">
        <v>658</v>
      </c>
      <c r="I1200" s="0" t="s">
        <v>948</v>
      </c>
      <c r="J1200" s="0" t="s">
        <v>594</v>
      </c>
      <c r="K1200" s="0" t="s">
        <v>508</v>
      </c>
      <c r="M1200" s="0" t="s">
        <v>293</v>
      </c>
      <c r="N1200" s="0" t="s">
        <v>294</v>
      </c>
      <c r="O1200" s="0" t="s">
        <v>295</v>
      </c>
      <c r="P1200" s="0" t="s">
        <v>323</v>
      </c>
      <c r="Q1200" s="0" t="s">
        <v>343</v>
      </c>
      <c r="R1200" s="0" t="s">
        <v>7617</v>
      </c>
      <c r="U1200" s="0" t="s">
        <v>8570</v>
      </c>
      <c r="X1200" s="0" t="s">
        <v>347</v>
      </c>
      <c r="Y1200" s="0" t="s">
        <v>42</v>
      </c>
      <c r="Z1200" s="0" t="s">
        <v>2384</v>
      </c>
      <c r="AA1200" s="0" t="s">
        <v>116</v>
      </c>
      <c r="AB1200" s="0" t="s">
        <v>531</v>
      </c>
      <c r="AC1200" s="0" t="s">
        <v>532</v>
      </c>
      <c r="AD1200" s="0" t="s">
        <v>8204</v>
      </c>
      <c r="AE1200" s="0" t="s">
        <v>8205</v>
      </c>
      <c r="AF1200" s="0" t="s">
        <v>301</v>
      </c>
      <c r="AM1200" s="0" t="s">
        <v>352</v>
      </c>
      <c r="AN1200" s="0" t="s">
        <v>310</v>
      </c>
      <c r="AO1200" s="0" t="s">
        <v>487</v>
      </c>
      <c r="AP1200" s="0" t="s">
        <v>305</v>
      </c>
      <c r="AQ1200" s="0" t="s">
        <v>3402</v>
      </c>
      <c r="AR1200" s="0" t="s">
        <v>475</v>
      </c>
      <c r="AS1200" s="0">
        <v>108</v>
      </c>
      <c r="AT1200" s="0">
        <v>228</v>
      </c>
      <c r="AU1200" s="0">
        <v>296</v>
      </c>
      <c r="AV1200" s="0" t="s">
        <v>332</v>
      </c>
      <c r="AW1200" s="0" t="s">
        <v>332</v>
      </c>
      <c r="AX1200" s="0" t="s">
        <v>388</v>
      </c>
      <c r="AY1200" s="0" t="s">
        <v>1472</v>
      </c>
      <c r="AZ1200" s="0" t="s">
        <v>504</v>
      </c>
      <c r="BA1200" s="0">
        <v>547</v>
      </c>
      <c r="BB1200" s="0" t="s">
        <v>232</v>
      </c>
      <c r="BC1200" s="0">
        <v>2</v>
      </c>
      <c r="BD1200" s="0">
        <v>14</v>
      </c>
      <c r="BE1200" s="0">
        <v>70560</v>
      </c>
      <c r="BF1200" s="0">
        <v>4</v>
      </c>
      <c r="BG1200" s="0" t="s">
        <v>8571</v>
      </c>
      <c r="BI1200" s="0">
        <v>5092</v>
      </c>
      <c r="BK1200" s="0" t="s">
        <v>8572</v>
      </c>
    </row>
    <row r="1201">
      <c r="A1201" s="0">
        <v>5915</v>
      </c>
      <c r="B1201" s="0" t="s">
        <v>547</v>
      </c>
      <c r="C1201" s="0" t="s">
        <v>315</v>
      </c>
      <c r="D1201" s="0" t="s">
        <v>8202</v>
      </c>
      <c r="E1201" s="0" t="s">
        <v>548</v>
      </c>
      <c r="F1201" s="0">
        <v>1</v>
      </c>
      <c r="G1201" s="0" t="s">
        <v>594</v>
      </c>
      <c r="H1201" s="0" t="s">
        <v>508</v>
      </c>
      <c r="I1201" s="0" t="s">
        <v>705</v>
      </c>
      <c r="J1201" s="0" t="s">
        <v>293</v>
      </c>
      <c r="K1201" s="0" t="s">
        <v>294</v>
      </c>
      <c r="L1201" s="0" t="s">
        <v>295</v>
      </c>
      <c r="P1201" s="0" t="s">
        <v>343</v>
      </c>
      <c r="Q1201" s="0" t="s">
        <v>343</v>
      </c>
      <c r="U1201" s="0" t="s">
        <v>8573</v>
      </c>
      <c r="X1201" s="0" t="s">
        <v>347</v>
      </c>
      <c r="Y1201" s="0" t="s">
        <v>42</v>
      </c>
      <c r="Z1201" s="0" t="s">
        <v>2384</v>
      </c>
      <c r="AA1201" s="0" t="s">
        <v>116</v>
      </c>
      <c r="AB1201" s="0" t="s">
        <v>531</v>
      </c>
      <c r="AC1201" s="0" t="s">
        <v>532</v>
      </c>
      <c r="AD1201" s="0" t="s">
        <v>8204</v>
      </c>
      <c r="AE1201" s="0" t="s">
        <v>8205</v>
      </c>
      <c r="AF1201" s="0" t="s">
        <v>301</v>
      </c>
      <c r="AP1201" s="0" t="s">
        <v>305</v>
      </c>
      <c r="BA1201" s="0">
        <v>547</v>
      </c>
      <c r="BB1201" s="0" t="s">
        <v>232</v>
      </c>
      <c r="BC1201" s="0">
        <v>2</v>
      </c>
      <c r="BD1201" s="0">
        <v>374043</v>
      </c>
      <c r="BE1201" s="0">
        <v>70560</v>
      </c>
      <c r="BF1201" s="0">
        <v>4</v>
      </c>
      <c r="BG1201" s="0" t="s">
        <v>8574</v>
      </c>
      <c r="BI1201" s="0">
        <v>4565</v>
      </c>
      <c r="BK1201" s="0" t="s">
        <v>8575</v>
      </c>
    </row>
    <row r="1202">
      <c r="A1202" s="0">
        <v>5901</v>
      </c>
      <c r="B1202" s="0" t="s">
        <v>8576</v>
      </c>
      <c r="C1202" s="0" t="s">
        <v>315</v>
      </c>
      <c r="D1202" s="0" t="s">
        <v>8202</v>
      </c>
      <c r="E1202" s="0" t="s">
        <v>8577</v>
      </c>
      <c r="F1202" s="0">
        <v>1</v>
      </c>
      <c r="G1202" s="0" t="s">
        <v>594</v>
      </c>
      <c r="H1202" s="0" t="s">
        <v>508</v>
      </c>
      <c r="I1202" s="0" t="s">
        <v>4306</v>
      </c>
      <c r="J1202" s="0" t="s">
        <v>555</v>
      </c>
      <c r="K1202" s="0" t="s">
        <v>1112</v>
      </c>
      <c r="L1202" s="0" t="s">
        <v>2947</v>
      </c>
      <c r="M1202" s="0" t="s">
        <v>293</v>
      </c>
      <c r="N1202" s="0" t="s">
        <v>294</v>
      </c>
      <c r="O1202" s="0" t="s">
        <v>295</v>
      </c>
      <c r="P1202" s="0" t="s">
        <v>323</v>
      </c>
      <c r="Q1202" s="0" t="s">
        <v>323</v>
      </c>
      <c r="R1202" s="0" t="s">
        <v>2103</v>
      </c>
      <c r="U1202" s="0" t="s">
        <v>8578</v>
      </c>
      <c r="X1202" s="0" t="s">
        <v>347</v>
      </c>
      <c r="Y1202" s="0" t="s">
        <v>42</v>
      </c>
      <c r="Z1202" s="0" t="s">
        <v>2384</v>
      </c>
      <c r="AA1202" s="0" t="s">
        <v>116</v>
      </c>
      <c r="AB1202" s="0" t="s">
        <v>531</v>
      </c>
      <c r="AC1202" s="0" t="s">
        <v>532</v>
      </c>
      <c r="AD1202" s="0" t="s">
        <v>8204</v>
      </c>
      <c r="AE1202" s="0" t="s">
        <v>8205</v>
      </c>
      <c r="AF1202" s="0" t="s">
        <v>301</v>
      </c>
      <c r="AP1202" s="0" t="s">
        <v>305</v>
      </c>
      <c r="BA1202" s="0">
        <v>547</v>
      </c>
      <c r="BB1202" s="0" t="s">
        <v>232</v>
      </c>
      <c r="BC1202" s="0">
        <v>2</v>
      </c>
      <c r="BD1202" s="0">
        <v>374043</v>
      </c>
      <c r="BE1202" s="0">
        <v>70560</v>
      </c>
      <c r="BF1202" s="0">
        <v>4</v>
      </c>
      <c r="BG1202" s="0" t="s">
        <v>8579</v>
      </c>
      <c r="BI1202" s="0">
        <v>3516</v>
      </c>
      <c r="BK1202" s="0" t="s">
        <v>8580</v>
      </c>
    </row>
    <row r="1203">
      <c r="A1203" s="0">
        <v>5899</v>
      </c>
      <c r="B1203" s="0" t="s">
        <v>8581</v>
      </c>
      <c r="C1203" s="0" t="s">
        <v>315</v>
      </c>
      <c r="D1203" s="0" t="s">
        <v>8202</v>
      </c>
      <c r="E1203" s="0" t="s">
        <v>554</v>
      </c>
      <c r="F1203" s="0">
        <v>1</v>
      </c>
      <c r="G1203" s="0" t="s">
        <v>594</v>
      </c>
      <c r="H1203" s="0" t="s">
        <v>508</v>
      </c>
      <c r="I1203" s="0" t="s">
        <v>705</v>
      </c>
      <c r="J1203" s="0" t="s">
        <v>555</v>
      </c>
      <c r="K1203" s="0" t="s">
        <v>1112</v>
      </c>
      <c r="L1203" s="0" t="s">
        <v>549</v>
      </c>
      <c r="M1203" s="0" t="s">
        <v>293</v>
      </c>
      <c r="N1203" s="0" t="s">
        <v>294</v>
      </c>
      <c r="O1203" s="0" t="s">
        <v>295</v>
      </c>
      <c r="P1203" s="0" t="s">
        <v>323</v>
      </c>
      <c r="Q1203" s="0" t="s">
        <v>323</v>
      </c>
      <c r="R1203" s="0" t="s">
        <v>661</v>
      </c>
      <c r="U1203" s="0" t="s">
        <v>8582</v>
      </c>
      <c r="X1203" s="0" t="s">
        <v>347</v>
      </c>
      <c r="Y1203" s="0" t="s">
        <v>42</v>
      </c>
      <c r="Z1203" s="0" t="s">
        <v>2384</v>
      </c>
      <c r="AA1203" s="0" t="s">
        <v>116</v>
      </c>
      <c r="AB1203" s="0" t="s">
        <v>531</v>
      </c>
      <c r="AC1203" s="0" t="s">
        <v>532</v>
      </c>
      <c r="AD1203" s="0" t="s">
        <v>8204</v>
      </c>
      <c r="AE1203" s="0" t="s">
        <v>8205</v>
      </c>
      <c r="AF1203" s="0" t="s">
        <v>301</v>
      </c>
      <c r="AP1203" s="0" t="s">
        <v>305</v>
      </c>
      <c r="BA1203" s="0">
        <v>547</v>
      </c>
      <c r="BB1203" s="0" t="s">
        <v>232</v>
      </c>
      <c r="BC1203" s="0">
        <v>2</v>
      </c>
      <c r="BD1203" s="0">
        <v>374043</v>
      </c>
      <c r="BE1203" s="0">
        <v>70560</v>
      </c>
      <c r="BF1203" s="0">
        <v>4</v>
      </c>
      <c r="BG1203" s="0" t="s">
        <v>8583</v>
      </c>
      <c r="BI1203" s="0">
        <v>3394</v>
      </c>
      <c r="BK1203" s="0" t="s">
        <v>8584</v>
      </c>
    </row>
    <row r="1204">
      <c r="A1204" s="0">
        <v>5916</v>
      </c>
      <c r="B1204" s="0" t="s">
        <v>6401</v>
      </c>
      <c r="C1204" s="0" t="s">
        <v>315</v>
      </c>
      <c r="D1204" s="0" t="s">
        <v>8202</v>
      </c>
      <c r="E1204" s="0" t="s">
        <v>6402</v>
      </c>
      <c r="F1204" s="0">
        <v>4</v>
      </c>
      <c r="G1204" s="0" t="s">
        <v>594</v>
      </c>
      <c r="H1204" s="0" t="s">
        <v>508</v>
      </c>
      <c r="I1204" s="0" t="s">
        <v>705</v>
      </c>
      <c r="J1204" s="0" t="s">
        <v>555</v>
      </c>
      <c r="K1204" s="0" t="s">
        <v>1112</v>
      </c>
      <c r="L1204" s="0" t="s">
        <v>549</v>
      </c>
      <c r="P1204" s="0" t="s">
        <v>323</v>
      </c>
      <c r="Q1204" s="0" t="s">
        <v>343</v>
      </c>
      <c r="R1204" s="0" t="s">
        <v>661</v>
      </c>
      <c r="U1204" s="0" t="s">
        <v>8585</v>
      </c>
      <c r="X1204" s="0" t="s">
        <v>347</v>
      </c>
      <c r="Y1204" s="0" t="s">
        <v>42</v>
      </c>
      <c r="Z1204" s="0" t="s">
        <v>2384</v>
      </c>
      <c r="AA1204" s="0" t="s">
        <v>116</v>
      </c>
      <c r="AB1204" s="0" t="s">
        <v>531</v>
      </c>
      <c r="AC1204" s="0" t="s">
        <v>532</v>
      </c>
      <c r="AD1204" s="0" t="s">
        <v>8204</v>
      </c>
      <c r="AE1204" s="0" t="s">
        <v>8205</v>
      </c>
      <c r="AF1204" s="0" t="s">
        <v>301</v>
      </c>
      <c r="AP1204" s="0" t="s">
        <v>305</v>
      </c>
      <c r="BA1204" s="0">
        <v>547</v>
      </c>
      <c r="BB1204" s="0" t="s">
        <v>232</v>
      </c>
      <c r="BC1204" s="0">
        <v>2</v>
      </c>
      <c r="BD1204" s="0">
        <v>374043</v>
      </c>
      <c r="BE1204" s="0">
        <v>70560</v>
      </c>
      <c r="BF1204" s="0">
        <v>4</v>
      </c>
      <c r="BG1204" s="0" t="s">
        <v>8586</v>
      </c>
      <c r="BI1204" s="0">
        <v>4609</v>
      </c>
      <c r="BK1204" s="0" t="s">
        <v>8587</v>
      </c>
    </row>
    <row r="1205">
      <c r="A1205" s="0">
        <v>5993</v>
      </c>
      <c r="B1205" s="0" t="s">
        <v>8588</v>
      </c>
      <c r="C1205" s="0" t="s">
        <v>579</v>
      </c>
      <c r="D1205" s="0" t="s">
        <v>8202</v>
      </c>
      <c r="E1205" s="0" t="s">
        <v>8589</v>
      </c>
      <c r="F1205" s="0">
        <v>2</v>
      </c>
      <c r="G1205" s="0" t="s">
        <v>293</v>
      </c>
      <c r="H1205" s="0" t="s">
        <v>294</v>
      </c>
      <c r="I1205" s="0" t="s">
        <v>295</v>
      </c>
      <c r="P1205" s="0" t="s">
        <v>343</v>
      </c>
      <c r="Q1205" s="0" t="s">
        <v>343</v>
      </c>
      <c r="U1205" s="0" t="s">
        <v>8590</v>
      </c>
      <c r="X1205" s="0" t="s">
        <v>347</v>
      </c>
      <c r="Y1205" s="0" t="s">
        <v>42</v>
      </c>
      <c r="Z1205" s="0" t="s">
        <v>2384</v>
      </c>
      <c r="AA1205" s="0" t="s">
        <v>116</v>
      </c>
      <c r="AB1205" s="0" t="s">
        <v>531</v>
      </c>
      <c r="AC1205" s="0" t="s">
        <v>532</v>
      </c>
      <c r="AD1205" s="0" t="s">
        <v>8204</v>
      </c>
      <c r="AE1205" s="0" t="s">
        <v>8205</v>
      </c>
      <c r="AF1205" s="0" t="s">
        <v>301</v>
      </c>
      <c r="AP1205" s="0" t="s">
        <v>305</v>
      </c>
      <c r="BA1205" s="0">
        <v>547</v>
      </c>
      <c r="BB1205" s="0" t="s">
        <v>232</v>
      </c>
      <c r="BC1205" s="0">
        <v>2</v>
      </c>
      <c r="BD1205" s="0">
        <v>374046</v>
      </c>
      <c r="BE1205" s="0">
        <v>70560</v>
      </c>
      <c r="BF1205" s="0">
        <v>4</v>
      </c>
      <c r="BG1205" s="0" t="s">
        <v>8591</v>
      </c>
      <c r="BI1205" s="0">
        <v>5317</v>
      </c>
      <c r="BK1205" s="0" t="s">
        <v>8592</v>
      </c>
    </row>
    <row r="1206">
      <c r="A1206" s="0">
        <v>5992</v>
      </c>
      <c r="B1206" s="0" t="s">
        <v>8593</v>
      </c>
      <c r="C1206" s="0" t="s">
        <v>579</v>
      </c>
      <c r="D1206" s="0" t="s">
        <v>8202</v>
      </c>
      <c r="E1206" s="0" t="s">
        <v>8594</v>
      </c>
      <c r="F1206" s="0">
        <v>2</v>
      </c>
      <c r="G1206" s="0" t="s">
        <v>293</v>
      </c>
      <c r="H1206" s="0" t="s">
        <v>294</v>
      </c>
      <c r="I1206" s="0" t="s">
        <v>295</v>
      </c>
      <c r="J1206" s="0" t="s">
        <v>581</v>
      </c>
      <c r="K1206" s="0" t="s">
        <v>581</v>
      </c>
      <c r="L1206" s="0" t="s">
        <v>582</v>
      </c>
      <c r="P1206" s="0" t="s">
        <v>343</v>
      </c>
      <c r="Q1206" s="0" t="s">
        <v>343</v>
      </c>
      <c r="U1206" s="0" t="s">
        <v>8595</v>
      </c>
      <c r="X1206" s="0" t="s">
        <v>347</v>
      </c>
      <c r="Y1206" s="0" t="s">
        <v>42</v>
      </c>
      <c r="Z1206" s="0" t="s">
        <v>2384</v>
      </c>
      <c r="AA1206" s="0" t="s">
        <v>116</v>
      </c>
      <c r="AB1206" s="0" t="s">
        <v>531</v>
      </c>
      <c r="AC1206" s="0" t="s">
        <v>532</v>
      </c>
      <c r="AD1206" s="0" t="s">
        <v>8204</v>
      </c>
      <c r="AE1206" s="0" t="s">
        <v>8205</v>
      </c>
      <c r="AF1206" s="0" t="s">
        <v>301</v>
      </c>
      <c r="AP1206" s="0" t="s">
        <v>305</v>
      </c>
      <c r="BA1206" s="0">
        <v>547</v>
      </c>
      <c r="BB1206" s="0" t="s">
        <v>232</v>
      </c>
      <c r="BC1206" s="0">
        <v>2</v>
      </c>
      <c r="BD1206" s="0">
        <v>374046</v>
      </c>
      <c r="BE1206" s="0">
        <v>70560</v>
      </c>
      <c r="BF1206" s="0">
        <v>4</v>
      </c>
      <c r="BG1206" s="0" t="s">
        <v>8596</v>
      </c>
      <c r="BI1206" s="0">
        <v>5313</v>
      </c>
      <c r="BK1206" s="0" t="s">
        <v>8597</v>
      </c>
    </row>
    <row r="1207">
      <c r="A1207" s="0">
        <v>5991</v>
      </c>
      <c r="B1207" s="0" t="s">
        <v>8598</v>
      </c>
      <c r="C1207" s="0" t="s">
        <v>579</v>
      </c>
      <c r="D1207" s="0" t="s">
        <v>8202</v>
      </c>
      <c r="E1207" s="0" t="s">
        <v>8599</v>
      </c>
      <c r="F1207" s="0">
        <v>2</v>
      </c>
      <c r="G1207" s="0" t="s">
        <v>293</v>
      </c>
      <c r="H1207" s="0" t="s">
        <v>294</v>
      </c>
      <c r="I1207" s="0" t="s">
        <v>295</v>
      </c>
      <c r="J1207" s="0" t="s">
        <v>581</v>
      </c>
      <c r="K1207" s="0" t="s">
        <v>581</v>
      </c>
      <c r="L1207" s="0" t="s">
        <v>582</v>
      </c>
      <c r="P1207" s="0" t="s">
        <v>343</v>
      </c>
      <c r="Q1207" s="0" t="s">
        <v>343</v>
      </c>
      <c r="U1207" s="0" t="s">
        <v>8600</v>
      </c>
      <c r="X1207" s="0" t="s">
        <v>347</v>
      </c>
      <c r="Y1207" s="0" t="s">
        <v>42</v>
      </c>
      <c r="Z1207" s="0" t="s">
        <v>2384</v>
      </c>
      <c r="AA1207" s="0" t="s">
        <v>116</v>
      </c>
      <c r="AB1207" s="0" t="s">
        <v>531</v>
      </c>
      <c r="AC1207" s="0" t="s">
        <v>532</v>
      </c>
      <c r="AD1207" s="0" t="s">
        <v>8204</v>
      </c>
      <c r="AE1207" s="0" t="s">
        <v>8205</v>
      </c>
      <c r="AF1207" s="0" t="s">
        <v>301</v>
      </c>
      <c r="AP1207" s="0" t="s">
        <v>305</v>
      </c>
      <c r="BA1207" s="0">
        <v>547</v>
      </c>
      <c r="BB1207" s="0" t="s">
        <v>232</v>
      </c>
      <c r="BC1207" s="0">
        <v>2</v>
      </c>
      <c r="BD1207" s="0">
        <v>374046</v>
      </c>
      <c r="BE1207" s="0">
        <v>70560</v>
      </c>
      <c r="BF1207" s="0">
        <v>4</v>
      </c>
      <c r="BG1207" s="0" t="s">
        <v>8601</v>
      </c>
      <c r="BI1207" s="0">
        <v>5310</v>
      </c>
      <c r="BK1207" s="0" t="s">
        <v>8602</v>
      </c>
    </row>
    <row r="1208">
      <c r="A1208" s="0">
        <v>5994</v>
      </c>
      <c r="B1208" s="0" t="s">
        <v>8603</v>
      </c>
      <c r="C1208" s="0" t="s">
        <v>579</v>
      </c>
      <c r="D1208" s="0" t="s">
        <v>8202</v>
      </c>
      <c r="E1208" s="0" t="s">
        <v>8604</v>
      </c>
      <c r="F1208" s="0">
        <v>1</v>
      </c>
      <c r="G1208" s="0" t="s">
        <v>525</v>
      </c>
      <c r="H1208" s="0" t="s">
        <v>400</v>
      </c>
      <c r="I1208" s="0" t="s">
        <v>705</v>
      </c>
      <c r="J1208" s="0" t="s">
        <v>581</v>
      </c>
      <c r="K1208" s="0" t="s">
        <v>581</v>
      </c>
      <c r="L1208" s="0" t="s">
        <v>582</v>
      </c>
      <c r="P1208" s="0" t="s">
        <v>343</v>
      </c>
      <c r="Q1208" s="0" t="s">
        <v>343</v>
      </c>
      <c r="U1208" s="0" t="s">
        <v>8605</v>
      </c>
      <c r="X1208" s="0" t="s">
        <v>347</v>
      </c>
      <c r="Y1208" s="0" t="s">
        <v>42</v>
      </c>
      <c r="Z1208" s="0" t="s">
        <v>2384</v>
      </c>
      <c r="AA1208" s="0" t="s">
        <v>116</v>
      </c>
      <c r="AB1208" s="0" t="s">
        <v>531</v>
      </c>
      <c r="AC1208" s="0" t="s">
        <v>532</v>
      </c>
      <c r="AD1208" s="0" t="s">
        <v>8204</v>
      </c>
      <c r="AE1208" s="0" t="s">
        <v>8205</v>
      </c>
      <c r="AF1208" s="0" t="s">
        <v>301</v>
      </c>
      <c r="AP1208" s="0" t="s">
        <v>305</v>
      </c>
      <c r="BA1208" s="0">
        <v>547</v>
      </c>
      <c r="BB1208" s="0" t="s">
        <v>232</v>
      </c>
      <c r="BC1208" s="0">
        <v>2</v>
      </c>
      <c r="BD1208" s="0">
        <v>374046</v>
      </c>
      <c r="BE1208" s="0">
        <v>70560</v>
      </c>
      <c r="BF1208" s="0">
        <v>4</v>
      </c>
      <c r="BG1208" s="0" t="s">
        <v>8606</v>
      </c>
      <c r="BI1208" s="0">
        <v>5321</v>
      </c>
      <c r="BK1208" s="0" t="s">
        <v>8607</v>
      </c>
    </row>
    <row r="1209">
      <c r="A1209" s="0">
        <v>5995</v>
      </c>
      <c r="B1209" s="0" t="s">
        <v>8608</v>
      </c>
      <c r="C1209" s="0" t="s">
        <v>579</v>
      </c>
      <c r="D1209" s="0" t="s">
        <v>8202</v>
      </c>
      <c r="E1209" s="0" t="s">
        <v>8609</v>
      </c>
      <c r="F1209" s="0">
        <v>1</v>
      </c>
      <c r="G1209" s="0" t="s">
        <v>525</v>
      </c>
      <c r="H1209" s="0" t="s">
        <v>400</v>
      </c>
      <c r="I1209" s="0" t="s">
        <v>705</v>
      </c>
      <c r="J1209" s="0" t="s">
        <v>581</v>
      </c>
      <c r="K1209" s="0" t="s">
        <v>581</v>
      </c>
      <c r="L1209" s="0" t="s">
        <v>582</v>
      </c>
      <c r="P1209" s="0" t="s">
        <v>343</v>
      </c>
      <c r="Q1209" s="0" t="s">
        <v>343</v>
      </c>
      <c r="U1209" s="0" t="s">
        <v>8610</v>
      </c>
      <c r="X1209" s="0" t="s">
        <v>347</v>
      </c>
      <c r="Y1209" s="0" t="s">
        <v>42</v>
      </c>
      <c r="Z1209" s="0" t="s">
        <v>2384</v>
      </c>
      <c r="AA1209" s="0" t="s">
        <v>116</v>
      </c>
      <c r="AB1209" s="0" t="s">
        <v>531</v>
      </c>
      <c r="AC1209" s="0" t="s">
        <v>532</v>
      </c>
      <c r="AD1209" s="0" t="s">
        <v>8204</v>
      </c>
      <c r="AE1209" s="0" t="s">
        <v>8205</v>
      </c>
      <c r="AF1209" s="0" t="s">
        <v>301</v>
      </c>
      <c r="AP1209" s="0" t="s">
        <v>305</v>
      </c>
      <c r="BA1209" s="0">
        <v>547</v>
      </c>
      <c r="BB1209" s="0" t="s">
        <v>232</v>
      </c>
      <c r="BC1209" s="0">
        <v>2</v>
      </c>
      <c r="BD1209" s="0">
        <v>374046</v>
      </c>
      <c r="BE1209" s="0">
        <v>70560</v>
      </c>
      <c r="BF1209" s="0">
        <v>4</v>
      </c>
      <c r="BG1209" s="0" t="s">
        <v>8611</v>
      </c>
      <c r="BI1209" s="0">
        <v>5325</v>
      </c>
      <c r="BK1209" s="0" t="s">
        <v>8612</v>
      </c>
    </row>
    <row r="1210">
      <c r="A1210" s="0">
        <v>5934</v>
      </c>
      <c r="B1210" s="0" t="s">
        <v>8613</v>
      </c>
      <c r="C1210" s="0" t="s">
        <v>315</v>
      </c>
      <c r="D1210" s="0" t="s">
        <v>8202</v>
      </c>
      <c r="E1210" s="0" t="s">
        <v>8614</v>
      </c>
      <c r="F1210" s="0">
        <v>1</v>
      </c>
      <c r="G1210" s="0" t="s">
        <v>319</v>
      </c>
      <c r="H1210" s="0" t="s">
        <v>658</v>
      </c>
      <c r="I1210" s="0" t="s">
        <v>948</v>
      </c>
      <c r="J1210" s="0" t="s">
        <v>594</v>
      </c>
      <c r="K1210" s="0" t="s">
        <v>508</v>
      </c>
      <c r="P1210" s="0" t="s">
        <v>323</v>
      </c>
      <c r="Q1210" s="0" t="s">
        <v>323</v>
      </c>
      <c r="R1210" s="0" t="s">
        <v>3028</v>
      </c>
      <c r="U1210" s="0" t="s">
        <v>8615</v>
      </c>
      <c r="X1210" s="0" t="s">
        <v>347</v>
      </c>
      <c r="Y1210" s="0" t="s">
        <v>42</v>
      </c>
      <c r="Z1210" s="0" t="s">
        <v>2384</v>
      </c>
      <c r="AA1210" s="0" t="s">
        <v>116</v>
      </c>
      <c r="AB1210" s="0" t="s">
        <v>531</v>
      </c>
      <c r="AC1210" s="0" t="s">
        <v>532</v>
      </c>
      <c r="AD1210" s="0" t="s">
        <v>8204</v>
      </c>
      <c r="AE1210" s="0" t="s">
        <v>8205</v>
      </c>
      <c r="AF1210" s="0" t="s">
        <v>301</v>
      </c>
      <c r="AP1210" s="0" t="s">
        <v>305</v>
      </c>
      <c r="BA1210" s="0">
        <v>547</v>
      </c>
      <c r="BB1210" s="0" t="s">
        <v>232</v>
      </c>
      <c r="BC1210" s="0">
        <v>2</v>
      </c>
      <c r="BD1210" s="0">
        <v>374043</v>
      </c>
      <c r="BE1210" s="0">
        <v>70560</v>
      </c>
      <c r="BF1210" s="0">
        <v>4</v>
      </c>
      <c r="BG1210" s="0" t="s">
        <v>8616</v>
      </c>
      <c r="BI1210" s="0">
        <v>4971</v>
      </c>
      <c r="BK1210" s="0" t="s">
        <v>8617</v>
      </c>
    </row>
    <row r="1211">
      <c r="A1211" s="0">
        <v>5908</v>
      </c>
      <c r="B1211" s="0" t="s">
        <v>1950</v>
      </c>
      <c r="C1211" s="0" t="s">
        <v>315</v>
      </c>
      <c r="D1211" s="0" t="s">
        <v>8202</v>
      </c>
      <c r="E1211" s="0" t="s">
        <v>1514</v>
      </c>
      <c r="F1211" s="0">
        <v>2</v>
      </c>
      <c r="G1211" s="0" t="s">
        <v>555</v>
      </c>
      <c r="H1211" s="0" t="s">
        <v>1020</v>
      </c>
      <c r="I1211" s="0" t="s">
        <v>1204</v>
      </c>
      <c r="J1211" s="0" t="s">
        <v>594</v>
      </c>
      <c r="K1211" s="0" t="s">
        <v>508</v>
      </c>
      <c r="L1211" s="0" t="s">
        <v>8618</v>
      </c>
      <c r="M1211" s="0" t="s">
        <v>293</v>
      </c>
      <c r="N1211" s="0" t="s">
        <v>294</v>
      </c>
      <c r="O1211" s="0" t="s">
        <v>295</v>
      </c>
      <c r="P1211" s="0" t="s">
        <v>323</v>
      </c>
      <c r="Q1211" s="0" t="s">
        <v>323</v>
      </c>
      <c r="R1211" s="0" t="s">
        <v>1021</v>
      </c>
      <c r="T1211" s="0" t="s">
        <v>8619</v>
      </c>
      <c r="U1211" s="0" t="s">
        <v>8620</v>
      </c>
      <c r="X1211" s="0" t="s">
        <v>347</v>
      </c>
      <c r="Y1211" s="0" t="s">
        <v>42</v>
      </c>
      <c r="Z1211" s="0" t="s">
        <v>2384</v>
      </c>
      <c r="AA1211" s="0" t="s">
        <v>116</v>
      </c>
      <c r="AB1211" s="0" t="s">
        <v>531</v>
      </c>
      <c r="AC1211" s="0" t="s">
        <v>532</v>
      </c>
      <c r="AD1211" s="0" t="s">
        <v>8204</v>
      </c>
      <c r="AE1211" s="0" t="s">
        <v>8205</v>
      </c>
      <c r="AF1211" s="0" t="s">
        <v>301</v>
      </c>
      <c r="AP1211" s="0" t="s">
        <v>305</v>
      </c>
      <c r="BA1211" s="0">
        <v>547</v>
      </c>
      <c r="BB1211" s="0" t="s">
        <v>232</v>
      </c>
      <c r="BC1211" s="0">
        <v>2</v>
      </c>
      <c r="BD1211" s="0">
        <v>374043</v>
      </c>
      <c r="BE1211" s="0">
        <v>70560</v>
      </c>
      <c r="BF1211" s="0">
        <v>4</v>
      </c>
      <c r="BG1211" s="0" t="s">
        <v>8621</v>
      </c>
      <c r="BI1211" s="0">
        <v>4360</v>
      </c>
      <c r="BK1211" s="0" t="s">
        <v>8622</v>
      </c>
    </row>
    <row r="1212">
      <c r="A1212" s="0">
        <v>5909</v>
      </c>
      <c r="B1212" s="0" t="s">
        <v>1950</v>
      </c>
      <c r="C1212" s="0" t="s">
        <v>315</v>
      </c>
      <c r="D1212" s="0" t="s">
        <v>8202</v>
      </c>
      <c r="E1212" s="0" t="s">
        <v>1514</v>
      </c>
      <c r="F1212" s="0">
        <v>2</v>
      </c>
      <c r="G1212" s="0" t="s">
        <v>555</v>
      </c>
      <c r="H1212" s="0" t="s">
        <v>1020</v>
      </c>
      <c r="I1212" s="0" t="s">
        <v>417</v>
      </c>
      <c r="J1212" s="0" t="s">
        <v>293</v>
      </c>
      <c r="K1212" s="0" t="s">
        <v>294</v>
      </c>
      <c r="L1212" s="0" t="s">
        <v>295</v>
      </c>
      <c r="M1212" s="0" t="s">
        <v>594</v>
      </c>
      <c r="N1212" s="0" t="s">
        <v>508</v>
      </c>
      <c r="O1212" s="0" t="s">
        <v>705</v>
      </c>
      <c r="P1212" s="0" t="s">
        <v>323</v>
      </c>
      <c r="Q1212" s="0" t="s">
        <v>323</v>
      </c>
      <c r="R1212" s="0" t="s">
        <v>661</v>
      </c>
      <c r="T1212" s="0" t="s">
        <v>8619</v>
      </c>
      <c r="U1212" s="0" t="s">
        <v>8623</v>
      </c>
      <c r="X1212" s="0" t="s">
        <v>347</v>
      </c>
      <c r="Y1212" s="0" t="s">
        <v>42</v>
      </c>
      <c r="Z1212" s="0" t="s">
        <v>2384</v>
      </c>
      <c r="AA1212" s="0" t="s">
        <v>116</v>
      </c>
      <c r="AB1212" s="0" t="s">
        <v>531</v>
      </c>
      <c r="AC1212" s="0" t="s">
        <v>532</v>
      </c>
      <c r="AD1212" s="0" t="s">
        <v>8204</v>
      </c>
      <c r="AE1212" s="0" t="s">
        <v>8205</v>
      </c>
      <c r="AF1212" s="0" t="s">
        <v>301</v>
      </c>
      <c r="AP1212" s="0" t="s">
        <v>305</v>
      </c>
      <c r="BA1212" s="0">
        <v>547</v>
      </c>
      <c r="BB1212" s="0" t="s">
        <v>232</v>
      </c>
      <c r="BC1212" s="0">
        <v>2</v>
      </c>
      <c r="BD1212" s="0">
        <v>374043</v>
      </c>
      <c r="BE1212" s="0">
        <v>70560</v>
      </c>
      <c r="BF1212" s="0">
        <v>4</v>
      </c>
      <c r="BG1212" s="0" t="s">
        <v>8624</v>
      </c>
      <c r="BI1212" s="0">
        <v>4417</v>
      </c>
      <c r="BK1212" s="0" t="s">
        <v>8625</v>
      </c>
    </row>
    <row r="1213">
      <c r="A1213" s="0">
        <v>5990</v>
      </c>
      <c r="B1213" s="0" t="s">
        <v>8626</v>
      </c>
      <c r="C1213" s="0" t="s">
        <v>656</v>
      </c>
      <c r="D1213" s="0" t="s">
        <v>8202</v>
      </c>
      <c r="E1213" s="0" t="s">
        <v>8627</v>
      </c>
      <c r="F1213" s="0">
        <v>3</v>
      </c>
      <c r="G1213" s="0" t="s">
        <v>293</v>
      </c>
      <c r="H1213" s="0" t="s">
        <v>294</v>
      </c>
      <c r="I1213" s="0" t="s">
        <v>295</v>
      </c>
      <c r="P1213" s="0" t="s">
        <v>343</v>
      </c>
      <c r="Q1213" s="0" t="s">
        <v>343</v>
      </c>
      <c r="U1213" s="0" t="s">
        <v>8628</v>
      </c>
      <c r="X1213" s="0" t="s">
        <v>347</v>
      </c>
      <c r="Y1213" s="0" t="s">
        <v>42</v>
      </c>
      <c r="Z1213" s="0" t="s">
        <v>2384</v>
      </c>
      <c r="AA1213" s="0" t="s">
        <v>116</v>
      </c>
      <c r="AB1213" s="0" t="s">
        <v>531</v>
      </c>
      <c r="AC1213" s="0" t="s">
        <v>532</v>
      </c>
      <c r="AD1213" s="0" t="s">
        <v>8204</v>
      </c>
      <c r="AE1213" s="0" t="s">
        <v>8205</v>
      </c>
      <c r="AF1213" s="0" t="s">
        <v>301</v>
      </c>
      <c r="AP1213" s="0" t="s">
        <v>305</v>
      </c>
      <c r="BA1213" s="0">
        <v>547</v>
      </c>
      <c r="BB1213" s="0" t="s">
        <v>232</v>
      </c>
      <c r="BC1213" s="0">
        <v>2</v>
      </c>
      <c r="BD1213" s="0">
        <v>10</v>
      </c>
      <c r="BE1213" s="0">
        <v>70560</v>
      </c>
      <c r="BF1213" s="0">
        <v>4</v>
      </c>
      <c r="BG1213" s="0" t="s">
        <v>8629</v>
      </c>
      <c r="BI1213" s="0">
        <v>5307</v>
      </c>
      <c r="BK1213" s="0" t="s">
        <v>8630</v>
      </c>
    </row>
    <row r="1214">
      <c r="A1214" s="0">
        <v>5936</v>
      </c>
      <c r="B1214" s="0" t="s">
        <v>8631</v>
      </c>
      <c r="C1214" s="0" t="s">
        <v>315</v>
      </c>
      <c r="D1214" s="0" t="s">
        <v>8202</v>
      </c>
      <c r="E1214" s="0" t="s">
        <v>8632</v>
      </c>
      <c r="F1214" s="0">
        <v>1</v>
      </c>
      <c r="G1214" s="0" t="s">
        <v>319</v>
      </c>
      <c r="H1214" s="0" t="s">
        <v>1745</v>
      </c>
      <c r="I1214" s="0" t="s">
        <v>1746</v>
      </c>
      <c r="J1214" s="0" t="s">
        <v>594</v>
      </c>
      <c r="K1214" s="0" t="s">
        <v>508</v>
      </c>
      <c r="P1214" s="0" t="s">
        <v>323</v>
      </c>
      <c r="Q1214" s="0" t="s">
        <v>1881</v>
      </c>
      <c r="R1214" s="0" t="s">
        <v>2103</v>
      </c>
      <c r="U1214" s="0" t="s">
        <v>8633</v>
      </c>
      <c r="X1214" s="0" t="s">
        <v>347</v>
      </c>
      <c r="Y1214" s="0" t="s">
        <v>42</v>
      </c>
      <c r="Z1214" s="0" t="s">
        <v>2384</v>
      </c>
      <c r="AA1214" s="0" t="s">
        <v>116</v>
      </c>
      <c r="AB1214" s="0" t="s">
        <v>531</v>
      </c>
      <c r="AC1214" s="0" t="s">
        <v>532</v>
      </c>
      <c r="AD1214" s="0" t="s">
        <v>8204</v>
      </c>
      <c r="AE1214" s="0" t="s">
        <v>8205</v>
      </c>
      <c r="AF1214" s="0" t="s">
        <v>301</v>
      </c>
      <c r="AP1214" s="0" t="s">
        <v>305</v>
      </c>
      <c r="BA1214" s="0">
        <v>547</v>
      </c>
      <c r="BB1214" s="0" t="s">
        <v>232</v>
      </c>
      <c r="BC1214" s="0">
        <v>2</v>
      </c>
      <c r="BD1214" s="0">
        <v>374043</v>
      </c>
      <c r="BE1214" s="0">
        <v>70560</v>
      </c>
      <c r="BF1214" s="0">
        <v>4</v>
      </c>
      <c r="BG1214" s="0" t="s">
        <v>8634</v>
      </c>
      <c r="BI1214" s="0">
        <v>4998</v>
      </c>
      <c r="BK1214" s="0" t="s">
        <v>8635</v>
      </c>
    </row>
    <row r="1215">
      <c r="A1215" s="0">
        <v>5892</v>
      </c>
      <c r="B1215" s="0" t="s">
        <v>8636</v>
      </c>
      <c r="C1215" s="0" t="s">
        <v>315</v>
      </c>
      <c r="D1215" s="0" t="s">
        <v>8202</v>
      </c>
      <c r="E1215" s="0" t="s">
        <v>8637</v>
      </c>
      <c r="F1215" s="0">
        <v>2</v>
      </c>
      <c r="G1215" s="0" t="s">
        <v>594</v>
      </c>
      <c r="H1215" s="0" t="s">
        <v>508</v>
      </c>
      <c r="I1215" s="0" t="s">
        <v>705</v>
      </c>
      <c r="J1215" s="0" t="s">
        <v>293</v>
      </c>
      <c r="K1215" s="0" t="s">
        <v>294</v>
      </c>
      <c r="L1215" s="0" t="s">
        <v>295</v>
      </c>
      <c r="P1215" s="0" t="s">
        <v>343</v>
      </c>
      <c r="Q1215" s="0" t="s">
        <v>343</v>
      </c>
      <c r="T1215" s="0" t="s">
        <v>8638</v>
      </c>
      <c r="U1215" s="0" t="s">
        <v>8639</v>
      </c>
      <c r="X1215" s="0" t="s">
        <v>347</v>
      </c>
      <c r="Y1215" s="0" t="s">
        <v>42</v>
      </c>
      <c r="Z1215" s="0" t="s">
        <v>2384</v>
      </c>
      <c r="AA1215" s="0" t="s">
        <v>116</v>
      </c>
      <c r="AB1215" s="0" t="s">
        <v>531</v>
      </c>
      <c r="AC1215" s="0" t="s">
        <v>532</v>
      </c>
      <c r="AD1215" s="0" t="s">
        <v>8204</v>
      </c>
      <c r="AE1215" s="0" t="s">
        <v>8205</v>
      </c>
      <c r="AF1215" s="0" t="s">
        <v>301</v>
      </c>
      <c r="AP1215" s="0" t="s">
        <v>305</v>
      </c>
      <c r="BA1215" s="0">
        <v>547</v>
      </c>
      <c r="BB1215" s="0" t="s">
        <v>232</v>
      </c>
      <c r="BC1215" s="0">
        <v>2</v>
      </c>
      <c r="BD1215" s="0">
        <v>374043</v>
      </c>
      <c r="BE1215" s="0">
        <v>70560</v>
      </c>
      <c r="BF1215" s="0">
        <v>4</v>
      </c>
      <c r="BG1215" s="0" t="s">
        <v>8640</v>
      </c>
      <c r="BI1215" s="0">
        <v>1959</v>
      </c>
      <c r="BK1215" s="0" t="s">
        <v>8641</v>
      </c>
    </row>
    <row r="1216">
      <c r="A1216" s="0">
        <v>5893</v>
      </c>
      <c r="B1216" s="0" t="s">
        <v>8642</v>
      </c>
      <c r="C1216" s="0" t="s">
        <v>315</v>
      </c>
      <c r="D1216" s="0" t="s">
        <v>8202</v>
      </c>
      <c r="E1216" s="0" t="s">
        <v>8643</v>
      </c>
      <c r="F1216" s="0">
        <v>1</v>
      </c>
      <c r="G1216" s="0" t="s">
        <v>594</v>
      </c>
      <c r="H1216" s="0" t="s">
        <v>508</v>
      </c>
      <c r="I1216" s="0" t="s">
        <v>705</v>
      </c>
      <c r="J1216" s="0" t="s">
        <v>293</v>
      </c>
      <c r="K1216" s="0" t="s">
        <v>294</v>
      </c>
      <c r="L1216" s="0" t="s">
        <v>295</v>
      </c>
      <c r="P1216" s="0" t="s">
        <v>343</v>
      </c>
      <c r="Q1216" s="0" t="s">
        <v>343</v>
      </c>
      <c r="T1216" s="0" t="s">
        <v>8638</v>
      </c>
      <c r="U1216" s="0" t="s">
        <v>8644</v>
      </c>
      <c r="X1216" s="0" t="s">
        <v>347</v>
      </c>
      <c r="Y1216" s="0" t="s">
        <v>42</v>
      </c>
      <c r="Z1216" s="0" t="s">
        <v>2384</v>
      </c>
      <c r="AA1216" s="0" t="s">
        <v>116</v>
      </c>
      <c r="AB1216" s="0" t="s">
        <v>531</v>
      </c>
      <c r="AC1216" s="0" t="s">
        <v>532</v>
      </c>
      <c r="AD1216" s="0" t="s">
        <v>8204</v>
      </c>
      <c r="AE1216" s="0" t="s">
        <v>8205</v>
      </c>
      <c r="AF1216" s="0" t="s">
        <v>301</v>
      </c>
      <c r="AP1216" s="0" t="s">
        <v>305</v>
      </c>
      <c r="BA1216" s="0">
        <v>547</v>
      </c>
      <c r="BB1216" s="0" t="s">
        <v>232</v>
      </c>
      <c r="BC1216" s="0">
        <v>2</v>
      </c>
      <c r="BD1216" s="0">
        <v>374043</v>
      </c>
      <c r="BE1216" s="0">
        <v>70560</v>
      </c>
      <c r="BF1216" s="0">
        <v>4</v>
      </c>
      <c r="BG1216" s="0" t="s">
        <v>8645</v>
      </c>
      <c r="BI1216" s="0">
        <v>2189</v>
      </c>
      <c r="BK1216" s="0" t="s">
        <v>8646</v>
      </c>
    </row>
    <row r="1217">
      <c r="A1217" s="0">
        <v>5978</v>
      </c>
      <c r="B1217" s="0" t="s">
        <v>1895</v>
      </c>
      <c r="C1217" s="0" t="s">
        <v>1139</v>
      </c>
      <c r="D1217" s="0" t="s">
        <v>8202</v>
      </c>
      <c r="E1217" s="0" t="s">
        <v>1896</v>
      </c>
      <c r="F1217" s="0">
        <v>1</v>
      </c>
      <c r="G1217" s="0" t="s">
        <v>293</v>
      </c>
      <c r="H1217" s="0" t="s">
        <v>294</v>
      </c>
      <c r="I1217" s="0" t="s">
        <v>8647</v>
      </c>
      <c r="P1217" s="0" t="s">
        <v>343</v>
      </c>
      <c r="Q1217" s="0" t="s">
        <v>343</v>
      </c>
      <c r="U1217" s="0" t="s">
        <v>8648</v>
      </c>
      <c r="X1217" s="0" t="s">
        <v>347</v>
      </c>
      <c r="Y1217" s="0" t="s">
        <v>42</v>
      </c>
      <c r="Z1217" s="0" t="s">
        <v>2384</v>
      </c>
      <c r="AA1217" s="0" t="s">
        <v>116</v>
      </c>
      <c r="AB1217" s="0" t="s">
        <v>531</v>
      </c>
      <c r="AC1217" s="0" t="s">
        <v>532</v>
      </c>
      <c r="AD1217" s="0" t="s">
        <v>8204</v>
      </c>
      <c r="AE1217" s="0" t="s">
        <v>8205</v>
      </c>
      <c r="AF1217" s="0" t="s">
        <v>301</v>
      </c>
      <c r="AM1217" s="0" t="s">
        <v>422</v>
      </c>
      <c r="AN1217" s="0" t="s">
        <v>1899</v>
      </c>
      <c r="AO1217" s="0" t="s">
        <v>487</v>
      </c>
      <c r="AP1217" s="0" t="s">
        <v>305</v>
      </c>
      <c r="AQ1217" s="0" t="s">
        <v>8649</v>
      </c>
      <c r="AR1217" s="0" t="s">
        <v>5953</v>
      </c>
      <c r="AS1217" s="0">
        <v>201</v>
      </c>
      <c r="AT1217" s="0">
        <v>427</v>
      </c>
      <c r="AU1217" s="0">
        <v>486</v>
      </c>
      <c r="AV1217" s="0" t="s">
        <v>332</v>
      </c>
      <c r="AW1217" s="0" t="s">
        <v>332</v>
      </c>
      <c r="AX1217" s="0" t="s">
        <v>4158</v>
      </c>
      <c r="AY1217" s="0" t="s">
        <v>426</v>
      </c>
      <c r="AZ1217" s="0" t="s">
        <v>8650</v>
      </c>
      <c r="BA1217" s="0">
        <v>547</v>
      </c>
      <c r="BB1217" s="0" t="s">
        <v>232</v>
      </c>
      <c r="BC1217" s="0">
        <v>2</v>
      </c>
      <c r="BD1217" s="0">
        <v>38030</v>
      </c>
      <c r="BE1217" s="0">
        <v>70560</v>
      </c>
      <c r="BF1217" s="0">
        <v>4</v>
      </c>
      <c r="BG1217" s="0" t="s">
        <v>8651</v>
      </c>
      <c r="BI1217" s="0">
        <v>5264</v>
      </c>
      <c r="BK1217" s="0" t="s">
        <v>8652</v>
      </c>
    </row>
    <row r="1218">
      <c r="A1218" s="0">
        <v>5982</v>
      </c>
      <c r="B1218" s="0" t="s">
        <v>3131</v>
      </c>
      <c r="C1218" s="0" t="s">
        <v>656</v>
      </c>
      <c r="D1218" s="0" t="s">
        <v>8202</v>
      </c>
      <c r="E1218" s="0" t="s">
        <v>3132</v>
      </c>
      <c r="F1218" s="0">
        <v>1</v>
      </c>
      <c r="G1218" s="0" t="s">
        <v>293</v>
      </c>
      <c r="H1218" s="0" t="s">
        <v>294</v>
      </c>
      <c r="I1218" s="0" t="s">
        <v>295</v>
      </c>
      <c r="P1218" s="0" t="s">
        <v>343</v>
      </c>
      <c r="Q1218" s="0" t="s">
        <v>343</v>
      </c>
      <c r="U1218" s="0" t="s">
        <v>8653</v>
      </c>
      <c r="X1218" s="0" t="s">
        <v>347</v>
      </c>
      <c r="Y1218" s="0" t="s">
        <v>42</v>
      </c>
      <c r="Z1218" s="0" t="s">
        <v>2384</v>
      </c>
      <c r="AA1218" s="0" t="s">
        <v>116</v>
      </c>
      <c r="AB1218" s="0" t="s">
        <v>531</v>
      </c>
      <c r="AC1218" s="0" t="s">
        <v>532</v>
      </c>
      <c r="AD1218" s="0" t="s">
        <v>8204</v>
      </c>
      <c r="AE1218" s="0" t="s">
        <v>8205</v>
      </c>
      <c r="AF1218" s="0" t="s">
        <v>301</v>
      </c>
      <c r="AP1218" s="0" t="s">
        <v>305</v>
      </c>
      <c r="BA1218" s="0">
        <v>547</v>
      </c>
      <c r="BB1218" s="0" t="s">
        <v>232</v>
      </c>
      <c r="BC1218" s="0">
        <v>2</v>
      </c>
      <c r="BD1218" s="0">
        <v>10</v>
      </c>
      <c r="BE1218" s="0">
        <v>70560</v>
      </c>
      <c r="BF1218" s="0">
        <v>4</v>
      </c>
      <c r="BG1218" s="0" t="s">
        <v>8654</v>
      </c>
      <c r="BI1218" s="0">
        <v>5277</v>
      </c>
      <c r="BK1218" s="0" t="s">
        <v>8655</v>
      </c>
    </row>
    <row r="1219">
      <c r="A1219" s="0">
        <v>5924</v>
      </c>
      <c r="B1219" s="0" t="s">
        <v>8656</v>
      </c>
      <c r="C1219" s="0" t="s">
        <v>656</v>
      </c>
      <c r="D1219" s="0" t="s">
        <v>8202</v>
      </c>
      <c r="E1219" s="0" t="s">
        <v>8657</v>
      </c>
      <c r="F1219" s="0">
        <v>1</v>
      </c>
      <c r="G1219" s="0" t="s">
        <v>293</v>
      </c>
      <c r="H1219" s="0" t="s">
        <v>294</v>
      </c>
      <c r="I1219" s="0" t="s">
        <v>295</v>
      </c>
      <c r="J1219" s="0" t="s">
        <v>555</v>
      </c>
      <c r="K1219" s="0" t="s">
        <v>1112</v>
      </c>
      <c r="L1219" s="0" t="s">
        <v>549</v>
      </c>
      <c r="P1219" s="0" t="s">
        <v>343</v>
      </c>
      <c r="Q1219" s="0" t="s">
        <v>343</v>
      </c>
      <c r="U1219" s="0" t="s">
        <v>8658</v>
      </c>
      <c r="X1219" s="0" t="s">
        <v>347</v>
      </c>
      <c r="Y1219" s="0" t="s">
        <v>42</v>
      </c>
      <c r="Z1219" s="0" t="s">
        <v>2384</v>
      </c>
      <c r="AA1219" s="0" t="s">
        <v>116</v>
      </c>
      <c r="AB1219" s="0" t="s">
        <v>531</v>
      </c>
      <c r="AC1219" s="0" t="s">
        <v>532</v>
      </c>
      <c r="AD1219" s="0" t="s">
        <v>8204</v>
      </c>
      <c r="AE1219" s="0" t="s">
        <v>8205</v>
      </c>
      <c r="AF1219" s="0" t="s">
        <v>301</v>
      </c>
      <c r="AP1219" s="0" t="s">
        <v>305</v>
      </c>
      <c r="BA1219" s="0">
        <v>547</v>
      </c>
      <c r="BB1219" s="0" t="s">
        <v>232</v>
      </c>
      <c r="BC1219" s="0">
        <v>2</v>
      </c>
      <c r="BD1219" s="0">
        <v>10</v>
      </c>
      <c r="BE1219" s="0">
        <v>70560</v>
      </c>
      <c r="BF1219" s="0">
        <v>4</v>
      </c>
      <c r="BG1219" s="0" t="s">
        <v>8659</v>
      </c>
      <c r="BI1219" s="0">
        <v>4772</v>
      </c>
      <c r="BK1219" s="0" t="s">
        <v>8660</v>
      </c>
    </row>
    <row r="1220">
      <c r="A1220" s="0">
        <v>5927</v>
      </c>
      <c r="B1220" s="0" t="s">
        <v>8661</v>
      </c>
      <c r="C1220" s="0" t="s">
        <v>656</v>
      </c>
      <c r="D1220" s="0" t="s">
        <v>8202</v>
      </c>
      <c r="E1220" s="0" t="s">
        <v>8662</v>
      </c>
      <c r="F1220" s="0">
        <v>1</v>
      </c>
      <c r="G1220" s="0" t="s">
        <v>293</v>
      </c>
      <c r="H1220" s="0" t="s">
        <v>294</v>
      </c>
      <c r="I1220" s="0" t="s">
        <v>295</v>
      </c>
      <c r="J1220" s="0" t="s">
        <v>555</v>
      </c>
      <c r="K1220" s="0" t="s">
        <v>1112</v>
      </c>
      <c r="L1220" s="0" t="s">
        <v>549</v>
      </c>
      <c r="P1220" s="0" t="s">
        <v>343</v>
      </c>
      <c r="Q1220" s="0" t="s">
        <v>343</v>
      </c>
      <c r="U1220" s="0" t="s">
        <v>8663</v>
      </c>
      <c r="X1220" s="0" t="s">
        <v>347</v>
      </c>
      <c r="Y1220" s="0" t="s">
        <v>42</v>
      </c>
      <c r="Z1220" s="0" t="s">
        <v>2384</v>
      </c>
      <c r="AA1220" s="0" t="s">
        <v>116</v>
      </c>
      <c r="AB1220" s="0" t="s">
        <v>531</v>
      </c>
      <c r="AC1220" s="0" t="s">
        <v>532</v>
      </c>
      <c r="AD1220" s="0" t="s">
        <v>8204</v>
      </c>
      <c r="AE1220" s="0" t="s">
        <v>8205</v>
      </c>
      <c r="AF1220" s="0" t="s">
        <v>301</v>
      </c>
      <c r="AP1220" s="0" t="s">
        <v>305</v>
      </c>
      <c r="BA1220" s="0">
        <v>547</v>
      </c>
      <c r="BB1220" s="0" t="s">
        <v>232</v>
      </c>
      <c r="BC1220" s="0">
        <v>2</v>
      </c>
      <c r="BD1220" s="0">
        <v>10</v>
      </c>
      <c r="BE1220" s="0">
        <v>70560</v>
      </c>
      <c r="BF1220" s="0">
        <v>4</v>
      </c>
      <c r="BG1220" s="0" t="s">
        <v>8664</v>
      </c>
      <c r="BI1220" s="0">
        <v>4827</v>
      </c>
      <c r="BK1220" s="0" t="s">
        <v>8665</v>
      </c>
    </row>
    <row r="1221">
      <c r="A1221" s="0">
        <v>5977</v>
      </c>
      <c r="B1221" s="0" t="s">
        <v>8666</v>
      </c>
      <c r="C1221" s="0" t="s">
        <v>1855</v>
      </c>
      <c r="D1221" s="0" t="s">
        <v>8202</v>
      </c>
      <c r="E1221" s="0" t="s">
        <v>8667</v>
      </c>
      <c r="F1221" s="0">
        <v>1</v>
      </c>
      <c r="G1221" s="0" t="s">
        <v>293</v>
      </c>
      <c r="H1221" s="0" t="s">
        <v>294</v>
      </c>
      <c r="I1221" s="0" t="s">
        <v>295</v>
      </c>
      <c r="J1221" s="0" t="s">
        <v>525</v>
      </c>
      <c r="K1221" s="0" t="s">
        <v>400</v>
      </c>
      <c r="L1221" s="0" t="s">
        <v>1916</v>
      </c>
      <c r="P1221" s="0" t="s">
        <v>343</v>
      </c>
      <c r="Q1221" s="0" t="s">
        <v>343</v>
      </c>
      <c r="U1221" s="0" t="s">
        <v>8668</v>
      </c>
      <c r="X1221" s="0" t="s">
        <v>347</v>
      </c>
      <c r="Y1221" s="0" t="s">
        <v>42</v>
      </c>
      <c r="Z1221" s="0" t="s">
        <v>2384</v>
      </c>
      <c r="AA1221" s="0" t="s">
        <v>116</v>
      </c>
      <c r="AB1221" s="0" t="s">
        <v>531</v>
      </c>
      <c r="AC1221" s="0" t="s">
        <v>532</v>
      </c>
      <c r="AD1221" s="0" t="s">
        <v>8204</v>
      </c>
      <c r="AE1221" s="0" t="s">
        <v>8205</v>
      </c>
      <c r="AF1221" s="0" t="s">
        <v>301</v>
      </c>
      <c r="AP1221" s="0" t="s">
        <v>305</v>
      </c>
      <c r="BA1221" s="0">
        <v>547</v>
      </c>
      <c r="BB1221" s="0" t="s">
        <v>232</v>
      </c>
      <c r="BC1221" s="0">
        <v>2</v>
      </c>
      <c r="BD1221" s="0">
        <v>28</v>
      </c>
      <c r="BE1221" s="0">
        <v>70560</v>
      </c>
      <c r="BF1221" s="0">
        <v>4</v>
      </c>
      <c r="BG1221" s="0" t="s">
        <v>8669</v>
      </c>
      <c r="BI1221" s="0">
        <v>5260</v>
      </c>
      <c r="BK1221" s="0" t="s">
        <v>8670</v>
      </c>
    </row>
    <row r="1222">
      <c r="A1222" s="0">
        <v>5917</v>
      </c>
      <c r="B1222" s="0" t="s">
        <v>1959</v>
      </c>
      <c r="C1222" s="0" t="s">
        <v>945</v>
      </c>
      <c r="D1222" s="0" t="s">
        <v>8202</v>
      </c>
      <c r="E1222" s="0" t="s">
        <v>1961</v>
      </c>
      <c r="F1222" s="0">
        <v>1</v>
      </c>
      <c r="G1222" s="0" t="s">
        <v>594</v>
      </c>
      <c r="H1222" s="0" t="s">
        <v>508</v>
      </c>
      <c r="I1222" s="0" t="s">
        <v>705</v>
      </c>
      <c r="J1222" s="0" t="s">
        <v>555</v>
      </c>
      <c r="K1222" s="0" t="s">
        <v>1112</v>
      </c>
      <c r="L1222" s="0" t="s">
        <v>549</v>
      </c>
      <c r="P1222" s="0" t="s">
        <v>323</v>
      </c>
      <c r="Q1222" s="0" t="s">
        <v>343</v>
      </c>
      <c r="R1222" s="0" t="s">
        <v>7657</v>
      </c>
      <c r="U1222" s="0" t="s">
        <v>8671</v>
      </c>
      <c r="X1222" s="0" t="s">
        <v>347</v>
      </c>
      <c r="Y1222" s="0" t="s">
        <v>42</v>
      </c>
      <c r="Z1222" s="0" t="s">
        <v>2384</v>
      </c>
      <c r="AA1222" s="0" t="s">
        <v>116</v>
      </c>
      <c r="AB1222" s="0" t="s">
        <v>531</v>
      </c>
      <c r="AC1222" s="0" t="s">
        <v>532</v>
      </c>
      <c r="AD1222" s="0" t="s">
        <v>8204</v>
      </c>
      <c r="AE1222" s="0" t="s">
        <v>8205</v>
      </c>
      <c r="AF1222" s="0" t="s">
        <v>301</v>
      </c>
      <c r="AM1222" s="0" t="s">
        <v>310</v>
      </c>
      <c r="AN1222" s="0" t="s">
        <v>310</v>
      </c>
      <c r="AO1222" s="0" t="s">
        <v>335</v>
      </c>
      <c r="AP1222" s="0" t="s">
        <v>305</v>
      </c>
      <c r="AQ1222" s="0" t="s">
        <v>1450</v>
      </c>
      <c r="AR1222" s="0" t="s">
        <v>502</v>
      </c>
      <c r="AS1222" s="0">
        <v>115</v>
      </c>
      <c r="AT1222" s="0">
        <v>231</v>
      </c>
      <c r="AU1222" s="0">
        <v>272</v>
      </c>
      <c r="AV1222" s="0" t="s">
        <v>332</v>
      </c>
      <c r="AW1222" s="0" t="s">
        <v>332</v>
      </c>
      <c r="AX1222" s="0" t="s">
        <v>426</v>
      </c>
      <c r="AY1222" s="0" t="s">
        <v>426</v>
      </c>
      <c r="AZ1222" s="0" t="s">
        <v>739</v>
      </c>
      <c r="BA1222" s="0">
        <v>547</v>
      </c>
      <c r="BB1222" s="0" t="s">
        <v>232</v>
      </c>
      <c r="BC1222" s="0">
        <v>2</v>
      </c>
      <c r="BD1222" s="0">
        <v>14</v>
      </c>
      <c r="BE1222" s="0">
        <v>70560</v>
      </c>
      <c r="BF1222" s="0">
        <v>4</v>
      </c>
      <c r="BG1222" s="0" t="s">
        <v>8672</v>
      </c>
      <c r="BI1222" s="0">
        <v>4646</v>
      </c>
      <c r="BK1222" s="0" t="s">
        <v>8673</v>
      </c>
    </row>
    <row r="1223">
      <c r="A1223" s="0">
        <v>5919</v>
      </c>
      <c r="B1223" s="0" t="s">
        <v>1959</v>
      </c>
      <c r="C1223" s="0" t="s">
        <v>945</v>
      </c>
      <c r="D1223" s="0" t="s">
        <v>8202</v>
      </c>
      <c r="E1223" s="0" t="s">
        <v>1961</v>
      </c>
      <c r="F1223" s="0">
        <v>1</v>
      </c>
      <c r="G1223" s="0" t="s">
        <v>594</v>
      </c>
      <c r="H1223" s="0" t="s">
        <v>508</v>
      </c>
      <c r="I1223" s="0" t="s">
        <v>8227</v>
      </c>
      <c r="J1223" s="0" t="s">
        <v>555</v>
      </c>
      <c r="K1223" s="0" t="s">
        <v>1112</v>
      </c>
      <c r="L1223" s="0" t="s">
        <v>1189</v>
      </c>
      <c r="P1223" s="0" t="s">
        <v>323</v>
      </c>
      <c r="Q1223" s="0" t="s">
        <v>343</v>
      </c>
      <c r="R1223" s="0" t="s">
        <v>7701</v>
      </c>
      <c r="U1223" s="0" t="s">
        <v>8674</v>
      </c>
      <c r="X1223" s="0" t="s">
        <v>347</v>
      </c>
      <c r="Y1223" s="0" t="s">
        <v>42</v>
      </c>
      <c r="Z1223" s="0" t="s">
        <v>2384</v>
      </c>
      <c r="AA1223" s="0" t="s">
        <v>116</v>
      </c>
      <c r="AB1223" s="0" t="s">
        <v>531</v>
      </c>
      <c r="AC1223" s="0" t="s">
        <v>532</v>
      </c>
      <c r="AD1223" s="0" t="s">
        <v>8204</v>
      </c>
      <c r="AE1223" s="0" t="s">
        <v>8205</v>
      </c>
      <c r="AF1223" s="0" t="s">
        <v>301</v>
      </c>
      <c r="AM1223" s="0" t="s">
        <v>310</v>
      </c>
      <c r="AN1223" s="0" t="s">
        <v>310</v>
      </c>
      <c r="AO1223" s="0" t="s">
        <v>334</v>
      </c>
      <c r="AP1223" s="0" t="s">
        <v>305</v>
      </c>
      <c r="AQ1223" s="0" t="s">
        <v>1450</v>
      </c>
      <c r="AR1223" s="0" t="s">
        <v>502</v>
      </c>
      <c r="AS1223" s="0">
        <v>115</v>
      </c>
      <c r="AT1223" s="0">
        <v>231</v>
      </c>
      <c r="AU1223" s="0">
        <v>272</v>
      </c>
      <c r="AV1223" s="0" t="s">
        <v>332</v>
      </c>
      <c r="AW1223" s="0" t="s">
        <v>332</v>
      </c>
      <c r="AX1223" s="0" t="s">
        <v>426</v>
      </c>
      <c r="AY1223" s="0" t="s">
        <v>426</v>
      </c>
      <c r="AZ1223" s="0" t="s">
        <v>739</v>
      </c>
      <c r="BA1223" s="0">
        <v>547</v>
      </c>
      <c r="BB1223" s="0" t="s">
        <v>232</v>
      </c>
      <c r="BC1223" s="0">
        <v>2</v>
      </c>
      <c r="BD1223" s="0">
        <v>14</v>
      </c>
      <c r="BE1223" s="0">
        <v>70560</v>
      </c>
      <c r="BF1223" s="0">
        <v>4</v>
      </c>
      <c r="BG1223" s="0" t="s">
        <v>8675</v>
      </c>
      <c r="BI1223" s="0">
        <v>4710</v>
      </c>
      <c r="BK1223" s="0" t="s">
        <v>8676</v>
      </c>
    </row>
    <row r="1224">
      <c r="A1224" s="0">
        <v>5918</v>
      </c>
      <c r="B1224" s="0" t="s">
        <v>1959</v>
      </c>
      <c r="C1224" s="0" t="s">
        <v>945</v>
      </c>
      <c r="D1224" s="0" t="s">
        <v>8202</v>
      </c>
      <c r="E1224" s="0" t="s">
        <v>1961</v>
      </c>
      <c r="F1224" s="0">
        <v>1</v>
      </c>
      <c r="G1224" s="0" t="s">
        <v>594</v>
      </c>
      <c r="H1224" s="0" t="s">
        <v>508</v>
      </c>
      <c r="I1224" s="0" t="s">
        <v>8677</v>
      </c>
      <c r="J1224" s="0" t="s">
        <v>555</v>
      </c>
      <c r="K1224" s="0" t="s">
        <v>1112</v>
      </c>
      <c r="L1224" s="0" t="s">
        <v>1204</v>
      </c>
      <c r="P1224" s="0" t="s">
        <v>323</v>
      </c>
      <c r="Q1224" s="0" t="s">
        <v>343</v>
      </c>
      <c r="R1224" s="0" t="s">
        <v>1021</v>
      </c>
      <c r="U1224" s="0" t="s">
        <v>8678</v>
      </c>
      <c r="X1224" s="0" t="s">
        <v>347</v>
      </c>
      <c r="Y1224" s="0" t="s">
        <v>42</v>
      </c>
      <c r="Z1224" s="0" t="s">
        <v>2384</v>
      </c>
      <c r="AA1224" s="0" t="s">
        <v>116</v>
      </c>
      <c r="AB1224" s="0" t="s">
        <v>531</v>
      </c>
      <c r="AC1224" s="0" t="s">
        <v>532</v>
      </c>
      <c r="AD1224" s="0" t="s">
        <v>8204</v>
      </c>
      <c r="AE1224" s="0" t="s">
        <v>8205</v>
      </c>
      <c r="AF1224" s="0" t="s">
        <v>301</v>
      </c>
      <c r="AM1224" s="0" t="s">
        <v>310</v>
      </c>
      <c r="AN1224" s="0" t="s">
        <v>310</v>
      </c>
      <c r="AO1224" s="0" t="s">
        <v>335</v>
      </c>
      <c r="AP1224" s="0" t="s">
        <v>305</v>
      </c>
      <c r="AQ1224" s="0" t="s">
        <v>1450</v>
      </c>
      <c r="AR1224" s="0" t="s">
        <v>502</v>
      </c>
      <c r="AS1224" s="0">
        <v>115</v>
      </c>
      <c r="AT1224" s="0">
        <v>231</v>
      </c>
      <c r="AU1224" s="0">
        <v>272</v>
      </c>
      <c r="AV1224" s="0" t="s">
        <v>332</v>
      </c>
      <c r="AW1224" s="0" t="s">
        <v>332</v>
      </c>
      <c r="AX1224" s="0" t="s">
        <v>426</v>
      </c>
      <c r="AY1224" s="0" t="s">
        <v>426</v>
      </c>
      <c r="AZ1224" s="0" t="s">
        <v>739</v>
      </c>
      <c r="BA1224" s="0">
        <v>547</v>
      </c>
      <c r="BB1224" s="0" t="s">
        <v>232</v>
      </c>
      <c r="BC1224" s="0">
        <v>2</v>
      </c>
      <c r="BD1224" s="0">
        <v>14</v>
      </c>
      <c r="BE1224" s="0">
        <v>70560</v>
      </c>
      <c r="BF1224" s="0">
        <v>4</v>
      </c>
      <c r="BG1224" s="0" t="s">
        <v>8679</v>
      </c>
      <c r="BI1224" s="0">
        <v>4678</v>
      </c>
      <c r="BK1224" s="0" t="s">
        <v>8680</v>
      </c>
    </row>
    <row r="1225">
      <c r="A1225" s="0">
        <v>5948</v>
      </c>
      <c r="B1225" s="0" t="s">
        <v>4177</v>
      </c>
      <c r="C1225" s="0" t="s">
        <v>339</v>
      </c>
      <c r="D1225" s="0" t="s">
        <v>8202</v>
      </c>
      <c r="E1225" s="0" t="s">
        <v>4178</v>
      </c>
      <c r="F1225" s="0">
        <v>1</v>
      </c>
      <c r="G1225" s="0" t="s">
        <v>594</v>
      </c>
      <c r="H1225" s="0" t="s">
        <v>508</v>
      </c>
      <c r="I1225" s="0" t="s">
        <v>1268</v>
      </c>
      <c r="J1225" s="0" t="s">
        <v>319</v>
      </c>
      <c r="K1225" s="0" t="s">
        <v>523</v>
      </c>
      <c r="L1225" s="0" t="s">
        <v>1268</v>
      </c>
      <c r="P1225" s="0" t="s">
        <v>343</v>
      </c>
      <c r="Q1225" s="0" t="s">
        <v>343</v>
      </c>
      <c r="U1225" s="0" t="s">
        <v>8681</v>
      </c>
      <c r="X1225" s="0" t="s">
        <v>347</v>
      </c>
      <c r="Y1225" s="0" t="s">
        <v>42</v>
      </c>
      <c r="Z1225" s="0" t="s">
        <v>2384</v>
      </c>
      <c r="AA1225" s="0" t="s">
        <v>116</v>
      </c>
      <c r="AB1225" s="0" t="s">
        <v>531</v>
      </c>
      <c r="AC1225" s="0" t="s">
        <v>532</v>
      </c>
      <c r="AD1225" s="0" t="s">
        <v>8204</v>
      </c>
      <c r="AE1225" s="0" t="s">
        <v>8205</v>
      </c>
      <c r="AF1225" s="0" t="s">
        <v>301</v>
      </c>
      <c r="AP1225" s="0" t="s">
        <v>305</v>
      </c>
      <c r="BA1225" s="0">
        <v>547</v>
      </c>
      <c r="BB1225" s="0" t="s">
        <v>232</v>
      </c>
      <c r="BC1225" s="0">
        <v>2</v>
      </c>
      <c r="BD1225" s="0">
        <v>8</v>
      </c>
      <c r="BE1225" s="0">
        <v>70560</v>
      </c>
      <c r="BF1225" s="0">
        <v>4</v>
      </c>
      <c r="BG1225" s="0" t="s">
        <v>8682</v>
      </c>
      <c r="BI1225" s="0">
        <v>5070</v>
      </c>
      <c r="BK1225" s="0" t="s">
        <v>8683</v>
      </c>
    </row>
    <row r="1226">
      <c r="A1226" s="0">
        <v>5898</v>
      </c>
      <c r="B1226" s="0" t="s">
        <v>8684</v>
      </c>
      <c r="C1226" s="0" t="s">
        <v>315</v>
      </c>
      <c r="D1226" s="0" t="s">
        <v>8202</v>
      </c>
      <c r="E1226" s="0" t="s">
        <v>8685</v>
      </c>
      <c r="F1226" s="0">
        <v>1</v>
      </c>
      <c r="G1226" s="0" t="s">
        <v>594</v>
      </c>
      <c r="H1226" s="0" t="s">
        <v>508</v>
      </c>
      <c r="I1226" s="0" t="s">
        <v>705</v>
      </c>
      <c r="J1226" s="0" t="s">
        <v>555</v>
      </c>
      <c r="K1226" s="0" t="s">
        <v>1112</v>
      </c>
      <c r="L1226" s="0" t="s">
        <v>549</v>
      </c>
      <c r="M1226" s="0" t="s">
        <v>293</v>
      </c>
      <c r="N1226" s="0" t="s">
        <v>294</v>
      </c>
      <c r="O1226" s="0" t="s">
        <v>295</v>
      </c>
      <c r="P1226" s="0" t="s">
        <v>323</v>
      </c>
      <c r="Q1226" s="0" t="s">
        <v>323</v>
      </c>
      <c r="R1226" s="0" t="s">
        <v>556</v>
      </c>
      <c r="T1226" s="0" t="s">
        <v>8686</v>
      </c>
      <c r="U1226" s="0" t="s">
        <v>8687</v>
      </c>
      <c r="X1226" s="0" t="s">
        <v>347</v>
      </c>
      <c r="Y1226" s="0" t="s">
        <v>42</v>
      </c>
      <c r="Z1226" s="0" t="s">
        <v>2384</v>
      </c>
      <c r="AA1226" s="0" t="s">
        <v>116</v>
      </c>
      <c r="AB1226" s="0" t="s">
        <v>531</v>
      </c>
      <c r="AC1226" s="0" t="s">
        <v>532</v>
      </c>
      <c r="AD1226" s="0" t="s">
        <v>8204</v>
      </c>
      <c r="AE1226" s="0" t="s">
        <v>8205</v>
      </c>
      <c r="AF1226" s="0" t="s">
        <v>301</v>
      </c>
      <c r="AP1226" s="0" t="s">
        <v>305</v>
      </c>
      <c r="BA1226" s="0">
        <v>547</v>
      </c>
      <c r="BB1226" s="0" t="s">
        <v>232</v>
      </c>
      <c r="BC1226" s="0">
        <v>2</v>
      </c>
      <c r="BD1226" s="0">
        <v>374043</v>
      </c>
      <c r="BE1226" s="0">
        <v>70560</v>
      </c>
      <c r="BF1226" s="0">
        <v>4</v>
      </c>
      <c r="BG1226" s="0" t="s">
        <v>8688</v>
      </c>
      <c r="BI1226" s="0">
        <v>3261</v>
      </c>
      <c r="BK1226" s="0" t="s">
        <v>8689</v>
      </c>
    </row>
    <row r="1227">
      <c r="A1227" s="0">
        <v>5912</v>
      </c>
      <c r="B1227" s="0" t="s">
        <v>560</v>
      </c>
      <c r="C1227" s="0" t="s">
        <v>315</v>
      </c>
      <c r="D1227" s="0" t="s">
        <v>8202</v>
      </c>
      <c r="E1227" s="0" t="s">
        <v>561</v>
      </c>
      <c r="F1227" s="0">
        <v>2</v>
      </c>
      <c r="G1227" s="0" t="s">
        <v>594</v>
      </c>
      <c r="H1227" s="0" t="s">
        <v>508</v>
      </c>
      <c r="I1227" s="0" t="s">
        <v>705</v>
      </c>
      <c r="J1227" s="0" t="s">
        <v>555</v>
      </c>
      <c r="K1227" s="0" t="s">
        <v>1112</v>
      </c>
      <c r="L1227" s="0" t="s">
        <v>549</v>
      </c>
      <c r="P1227" s="0" t="s">
        <v>343</v>
      </c>
      <c r="Q1227" s="0" t="s">
        <v>343</v>
      </c>
      <c r="U1227" s="0" t="s">
        <v>8690</v>
      </c>
      <c r="X1227" s="0" t="s">
        <v>347</v>
      </c>
      <c r="Y1227" s="0" t="s">
        <v>42</v>
      </c>
      <c r="Z1227" s="0" t="s">
        <v>2384</v>
      </c>
      <c r="AA1227" s="0" t="s">
        <v>116</v>
      </c>
      <c r="AB1227" s="0" t="s">
        <v>531</v>
      </c>
      <c r="AC1227" s="0" t="s">
        <v>532</v>
      </c>
      <c r="AD1227" s="0" t="s">
        <v>8204</v>
      </c>
      <c r="AE1227" s="0" t="s">
        <v>8205</v>
      </c>
      <c r="AF1227" s="0" t="s">
        <v>301</v>
      </c>
      <c r="AP1227" s="0" t="s">
        <v>305</v>
      </c>
      <c r="BA1227" s="0">
        <v>547</v>
      </c>
      <c r="BB1227" s="0" t="s">
        <v>232</v>
      </c>
      <c r="BC1227" s="0">
        <v>2</v>
      </c>
      <c r="BD1227" s="0">
        <v>374043</v>
      </c>
      <c r="BE1227" s="0">
        <v>70560</v>
      </c>
      <c r="BF1227" s="0">
        <v>4</v>
      </c>
      <c r="BG1227" s="0" t="s">
        <v>8691</v>
      </c>
      <c r="BI1227" s="0">
        <v>4093</v>
      </c>
      <c r="BK1227" s="0" t="s">
        <v>8692</v>
      </c>
    </row>
    <row r="1228">
      <c r="A1228" s="0">
        <v>5913</v>
      </c>
      <c r="B1228" s="0" t="s">
        <v>8693</v>
      </c>
      <c r="C1228" s="0" t="s">
        <v>315</v>
      </c>
      <c r="D1228" s="0" t="s">
        <v>8202</v>
      </c>
      <c r="E1228" s="0" t="s">
        <v>8694</v>
      </c>
      <c r="F1228" s="0">
        <v>1</v>
      </c>
      <c r="G1228" s="0" t="s">
        <v>594</v>
      </c>
      <c r="H1228" s="0" t="s">
        <v>508</v>
      </c>
      <c r="I1228" s="0" t="s">
        <v>705</v>
      </c>
      <c r="J1228" s="0" t="s">
        <v>3140</v>
      </c>
      <c r="K1228" s="0" t="s">
        <v>582</v>
      </c>
      <c r="L1228" s="0" t="s">
        <v>583</v>
      </c>
      <c r="P1228" s="0" t="s">
        <v>343</v>
      </c>
      <c r="Q1228" s="0" t="s">
        <v>343</v>
      </c>
      <c r="U1228" s="0" t="s">
        <v>8695</v>
      </c>
      <c r="X1228" s="0" t="s">
        <v>347</v>
      </c>
      <c r="Y1228" s="0" t="s">
        <v>42</v>
      </c>
      <c r="Z1228" s="0" t="s">
        <v>2384</v>
      </c>
      <c r="AA1228" s="0" t="s">
        <v>116</v>
      </c>
      <c r="AB1228" s="0" t="s">
        <v>531</v>
      </c>
      <c r="AC1228" s="0" t="s">
        <v>532</v>
      </c>
      <c r="AD1228" s="0" t="s">
        <v>8204</v>
      </c>
      <c r="AE1228" s="0" t="s">
        <v>8205</v>
      </c>
      <c r="AF1228" s="0" t="s">
        <v>301</v>
      </c>
      <c r="AP1228" s="0" t="s">
        <v>305</v>
      </c>
      <c r="BA1228" s="0">
        <v>547</v>
      </c>
      <c r="BB1228" s="0" t="s">
        <v>232</v>
      </c>
      <c r="BC1228" s="0">
        <v>2</v>
      </c>
      <c r="BD1228" s="0">
        <v>374043</v>
      </c>
      <c r="BE1228" s="0">
        <v>70560</v>
      </c>
      <c r="BF1228" s="0">
        <v>4</v>
      </c>
      <c r="BG1228" s="0" t="s">
        <v>8696</v>
      </c>
      <c r="BI1228" s="0">
        <v>4164</v>
      </c>
      <c r="BK1228" s="0" t="s">
        <v>8697</v>
      </c>
    </row>
    <row r="1229">
      <c r="A1229" s="0">
        <v>5906</v>
      </c>
      <c r="B1229" s="0" t="s">
        <v>8698</v>
      </c>
      <c r="C1229" s="0" t="s">
        <v>315</v>
      </c>
      <c r="D1229" s="0" t="s">
        <v>8202</v>
      </c>
      <c r="E1229" s="0" t="s">
        <v>8699</v>
      </c>
      <c r="F1229" s="0">
        <v>1</v>
      </c>
      <c r="G1229" s="0" t="s">
        <v>594</v>
      </c>
      <c r="H1229" s="0" t="s">
        <v>508</v>
      </c>
      <c r="I1229" s="0" t="s">
        <v>705</v>
      </c>
      <c r="J1229" s="0" t="s">
        <v>555</v>
      </c>
      <c r="K1229" s="0" t="s">
        <v>1112</v>
      </c>
      <c r="L1229" s="0" t="s">
        <v>549</v>
      </c>
      <c r="M1229" s="0" t="s">
        <v>3140</v>
      </c>
      <c r="N1229" s="0" t="s">
        <v>582</v>
      </c>
      <c r="O1229" s="0" t="s">
        <v>582</v>
      </c>
      <c r="P1229" s="0" t="s">
        <v>343</v>
      </c>
      <c r="Q1229" s="0" t="s">
        <v>343</v>
      </c>
      <c r="U1229" s="0" t="s">
        <v>8700</v>
      </c>
      <c r="X1229" s="0" t="s">
        <v>347</v>
      </c>
      <c r="Y1229" s="0" t="s">
        <v>42</v>
      </c>
      <c r="Z1229" s="0" t="s">
        <v>2384</v>
      </c>
      <c r="AA1229" s="0" t="s">
        <v>116</v>
      </c>
      <c r="AB1229" s="0" t="s">
        <v>531</v>
      </c>
      <c r="AC1229" s="0" t="s">
        <v>532</v>
      </c>
      <c r="AD1229" s="0" t="s">
        <v>8204</v>
      </c>
      <c r="AE1229" s="0" t="s">
        <v>8205</v>
      </c>
      <c r="AF1229" s="0" t="s">
        <v>301</v>
      </c>
      <c r="AP1229" s="0" t="s">
        <v>305</v>
      </c>
      <c r="BA1229" s="0">
        <v>547</v>
      </c>
      <c r="BB1229" s="0" t="s">
        <v>232</v>
      </c>
      <c r="BC1229" s="0">
        <v>2</v>
      </c>
      <c r="BD1229" s="0">
        <v>374043</v>
      </c>
      <c r="BE1229" s="0">
        <v>70560</v>
      </c>
      <c r="BF1229" s="0">
        <v>4</v>
      </c>
      <c r="BG1229" s="0" t="s">
        <v>8701</v>
      </c>
      <c r="BI1229" s="0">
        <v>4010</v>
      </c>
      <c r="BK1229" s="0" t="s">
        <v>8702</v>
      </c>
    </row>
    <row r="1230">
      <c r="A1230" s="0">
        <v>5890</v>
      </c>
      <c r="B1230" s="0" t="s">
        <v>8703</v>
      </c>
      <c r="C1230" s="0" t="s">
        <v>315</v>
      </c>
      <c r="D1230" s="0" t="s">
        <v>8202</v>
      </c>
      <c r="E1230" s="0" t="s">
        <v>8704</v>
      </c>
      <c r="F1230" s="0">
        <v>1</v>
      </c>
      <c r="G1230" s="0" t="s">
        <v>594</v>
      </c>
      <c r="H1230" s="0" t="s">
        <v>508</v>
      </c>
      <c r="I1230" s="0" t="s">
        <v>5328</v>
      </c>
      <c r="J1230" s="0" t="s">
        <v>293</v>
      </c>
      <c r="K1230" s="0" t="s">
        <v>294</v>
      </c>
      <c r="L1230" s="0" t="s">
        <v>295</v>
      </c>
      <c r="P1230" s="0" t="s">
        <v>323</v>
      </c>
      <c r="Q1230" s="0" t="s">
        <v>323</v>
      </c>
      <c r="R1230" s="0" t="s">
        <v>8555</v>
      </c>
      <c r="T1230" s="0" t="s">
        <v>8705</v>
      </c>
      <c r="U1230" s="0" t="s">
        <v>8706</v>
      </c>
      <c r="X1230" s="0" t="s">
        <v>347</v>
      </c>
      <c r="Y1230" s="0" t="s">
        <v>42</v>
      </c>
      <c r="Z1230" s="0" t="s">
        <v>2384</v>
      </c>
      <c r="AA1230" s="0" t="s">
        <v>116</v>
      </c>
      <c r="AB1230" s="0" t="s">
        <v>531</v>
      </c>
      <c r="AC1230" s="0" t="s">
        <v>532</v>
      </c>
      <c r="AD1230" s="0" t="s">
        <v>8204</v>
      </c>
      <c r="AE1230" s="0" t="s">
        <v>8205</v>
      </c>
      <c r="AF1230" s="0" t="s">
        <v>301</v>
      </c>
      <c r="AP1230" s="0" t="s">
        <v>305</v>
      </c>
      <c r="BA1230" s="0">
        <v>547</v>
      </c>
      <c r="BB1230" s="0" t="s">
        <v>232</v>
      </c>
      <c r="BC1230" s="0">
        <v>2</v>
      </c>
      <c r="BD1230" s="0">
        <v>374043</v>
      </c>
      <c r="BE1230" s="0">
        <v>70560</v>
      </c>
      <c r="BF1230" s="0">
        <v>4</v>
      </c>
      <c r="BG1230" s="0" t="s">
        <v>8707</v>
      </c>
      <c r="BI1230" s="0">
        <v>1450</v>
      </c>
      <c r="BK1230" s="0" t="s">
        <v>8708</v>
      </c>
    </row>
    <row r="1231">
      <c r="A1231" s="0">
        <v>5923</v>
      </c>
      <c r="B1231" s="0" t="s">
        <v>8709</v>
      </c>
      <c r="C1231" s="0" t="s">
        <v>315</v>
      </c>
      <c r="D1231" s="0" t="s">
        <v>8202</v>
      </c>
      <c r="E1231" s="0" t="s">
        <v>8710</v>
      </c>
      <c r="F1231" s="0">
        <v>1</v>
      </c>
      <c r="G1231" s="0" t="s">
        <v>293</v>
      </c>
      <c r="H1231" s="0" t="s">
        <v>294</v>
      </c>
      <c r="I1231" s="0" t="s">
        <v>295</v>
      </c>
      <c r="J1231" s="0" t="s">
        <v>319</v>
      </c>
      <c r="K1231" s="0" t="s">
        <v>483</v>
      </c>
      <c r="L1231" s="0" t="s">
        <v>8711</v>
      </c>
      <c r="P1231" s="0" t="s">
        <v>343</v>
      </c>
      <c r="Q1231" s="0" t="s">
        <v>343</v>
      </c>
      <c r="U1231" s="0" t="s">
        <v>8712</v>
      </c>
      <c r="X1231" s="0" t="s">
        <v>347</v>
      </c>
      <c r="Y1231" s="0" t="s">
        <v>42</v>
      </c>
      <c r="Z1231" s="0" t="s">
        <v>2384</v>
      </c>
      <c r="AA1231" s="0" t="s">
        <v>116</v>
      </c>
      <c r="AB1231" s="0" t="s">
        <v>531</v>
      </c>
      <c r="AC1231" s="0" t="s">
        <v>532</v>
      </c>
      <c r="AD1231" s="0" t="s">
        <v>8204</v>
      </c>
      <c r="AE1231" s="0" t="s">
        <v>8205</v>
      </c>
      <c r="AF1231" s="0" t="s">
        <v>301</v>
      </c>
      <c r="AP1231" s="0" t="s">
        <v>305</v>
      </c>
      <c r="BA1231" s="0">
        <v>547</v>
      </c>
      <c r="BB1231" s="0" t="s">
        <v>232</v>
      </c>
      <c r="BC1231" s="0">
        <v>2</v>
      </c>
      <c r="BD1231" s="0">
        <v>374043</v>
      </c>
      <c r="BE1231" s="0">
        <v>70560</v>
      </c>
      <c r="BF1231" s="0">
        <v>4</v>
      </c>
      <c r="BG1231" s="0" t="s">
        <v>8713</v>
      </c>
      <c r="BI1231" s="0">
        <v>4753</v>
      </c>
      <c r="BK1231" s="0" t="s">
        <v>8714</v>
      </c>
    </row>
    <row r="1232">
      <c r="A1232" s="0">
        <v>5962</v>
      </c>
      <c r="B1232" s="0" t="s">
        <v>8715</v>
      </c>
      <c r="C1232" s="0" t="s">
        <v>579</v>
      </c>
      <c r="D1232" s="0" t="s">
        <v>8202</v>
      </c>
      <c r="E1232" s="0" t="s">
        <v>8716</v>
      </c>
      <c r="F1232" s="0">
        <v>1</v>
      </c>
      <c r="G1232" s="0" t="s">
        <v>293</v>
      </c>
      <c r="H1232" s="0" t="s">
        <v>294</v>
      </c>
      <c r="I1232" s="0" t="s">
        <v>295</v>
      </c>
      <c r="J1232" s="0" t="s">
        <v>581</v>
      </c>
      <c r="K1232" s="0" t="s">
        <v>581</v>
      </c>
      <c r="L1232" s="0" t="s">
        <v>582</v>
      </c>
      <c r="P1232" s="0" t="s">
        <v>343</v>
      </c>
      <c r="Q1232" s="0" t="s">
        <v>343</v>
      </c>
      <c r="U1232" s="0" t="s">
        <v>8717</v>
      </c>
      <c r="X1232" s="0" t="s">
        <v>347</v>
      </c>
      <c r="Y1232" s="0" t="s">
        <v>42</v>
      </c>
      <c r="Z1232" s="0" t="s">
        <v>2384</v>
      </c>
      <c r="AA1232" s="0" t="s">
        <v>116</v>
      </c>
      <c r="AB1232" s="0" t="s">
        <v>531</v>
      </c>
      <c r="AC1232" s="0" t="s">
        <v>532</v>
      </c>
      <c r="AD1232" s="0" t="s">
        <v>8204</v>
      </c>
      <c r="AE1232" s="0" t="s">
        <v>8205</v>
      </c>
      <c r="AF1232" s="0" t="s">
        <v>301</v>
      </c>
      <c r="AP1232" s="0" t="s">
        <v>305</v>
      </c>
      <c r="BA1232" s="0">
        <v>547</v>
      </c>
      <c r="BB1232" s="0" t="s">
        <v>232</v>
      </c>
      <c r="BC1232" s="0">
        <v>2</v>
      </c>
      <c r="BD1232" s="0">
        <v>374046</v>
      </c>
      <c r="BE1232" s="0">
        <v>70560</v>
      </c>
      <c r="BF1232" s="0">
        <v>4</v>
      </c>
      <c r="BG1232" s="0" t="s">
        <v>8718</v>
      </c>
      <c r="BI1232" s="0">
        <v>5178</v>
      </c>
      <c r="BK1232" s="0" t="s">
        <v>8719</v>
      </c>
    </row>
    <row r="1233">
      <c r="A1233" s="0">
        <v>5902</v>
      </c>
      <c r="B1233" s="0" t="s">
        <v>8720</v>
      </c>
      <c r="C1233" s="0" t="s">
        <v>315</v>
      </c>
      <c r="D1233" s="0" t="s">
        <v>8202</v>
      </c>
      <c r="E1233" s="0" t="s">
        <v>8721</v>
      </c>
      <c r="F1233" s="0">
        <v>1</v>
      </c>
      <c r="G1233" s="0" t="s">
        <v>525</v>
      </c>
      <c r="H1233" s="0" t="s">
        <v>400</v>
      </c>
      <c r="I1233" s="0" t="s">
        <v>705</v>
      </c>
      <c r="J1233" s="0" t="s">
        <v>555</v>
      </c>
      <c r="K1233" s="0" t="s">
        <v>1112</v>
      </c>
      <c r="L1233" s="0" t="s">
        <v>549</v>
      </c>
      <c r="P1233" s="0" t="s">
        <v>323</v>
      </c>
      <c r="Q1233" s="0" t="s">
        <v>323</v>
      </c>
      <c r="R1233" s="0" t="s">
        <v>673</v>
      </c>
      <c r="U1233" s="0" t="s">
        <v>8722</v>
      </c>
      <c r="X1233" s="0" t="s">
        <v>347</v>
      </c>
      <c r="Y1233" s="0" t="s">
        <v>42</v>
      </c>
      <c r="Z1233" s="0" t="s">
        <v>2384</v>
      </c>
      <c r="AA1233" s="0" t="s">
        <v>116</v>
      </c>
      <c r="AB1233" s="0" t="s">
        <v>531</v>
      </c>
      <c r="AC1233" s="0" t="s">
        <v>532</v>
      </c>
      <c r="AD1233" s="0" t="s">
        <v>8204</v>
      </c>
      <c r="AE1233" s="0" t="s">
        <v>8205</v>
      </c>
      <c r="AF1233" s="0" t="s">
        <v>301</v>
      </c>
      <c r="AP1233" s="0" t="s">
        <v>305</v>
      </c>
      <c r="BA1233" s="0">
        <v>547</v>
      </c>
      <c r="BB1233" s="0" t="s">
        <v>232</v>
      </c>
      <c r="BC1233" s="0">
        <v>2</v>
      </c>
      <c r="BD1233" s="0">
        <v>374043</v>
      </c>
      <c r="BE1233" s="0">
        <v>70560</v>
      </c>
      <c r="BF1233" s="0">
        <v>4</v>
      </c>
      <c r="BG1233" s="0" t="s">
        <v>8723</v>
      </c>
      <c r="BI1233" s="0">
        <v>3631</v>
      </c>
      <c r="BK1233" s="0" t="s">
        <v>8724</v>
      </c>
    </row>
    <row r="1234">
      <c r="A1234" s="0">
        <v>5998</v>
      </c>
      <c r="B1234" s="0" t="s">
        <v>8725</v>
      </c>
      <c r="C1234" s="0" t="s">
        <v>290</v>
      </c>
      <c r="D1234" s="0" t="s">
        <v>8202</v>
      </c>
      <c r="E1234" s="0" t="s">
        <v>8726</v>
      </c>
      <c r="F1234" s="0">
        <v>4</v>
      </c>
      <c r="G1234" s="0" t="s">
        <v>525</v>
      </c>
      <c r="H1234" s="0" t="s">
        <v>8086</v>
      </c>
      <c r="I1234" s="0" t="s">
        <v>549</v>
      </c>
      <c r="J1234" s="0" t="s">
        <v>293</v>
      </c>
      <c r="K1234" s="0" t="s">
        <v>294</v>
      </c>
      <c r="L1234" s="0" t="s">
        <v>295</v>
      </c>
      <c r="P1234" s="0" t="s">
        <v>343</v>
      </c>
      <c r="Q1234" s="0" t="s">
        <v>343</v>
      </c>
      <c r="U1234" s="0" t="s">
        <v>8727</v>
      </c>
      <c r="X1234" s="0" t="s">
        <v>347</v>
      </c>
      <c r="Y1234" s="0" t="s">
        <v>42</v>
      </c>
      <c r="Z1234" s="0" t="s">
        <v>2384</v>
      </c>
      <c r="AA1234" s="0" t="s">
        <v>116</v>
      </c>
      <c r="AB1234" s="0" t="s">
        <v>531</v>
      </c>
      <c r="AC1234" s="0" t="s">
        <v>532</v>
      </c>
      <c r="AD1234" s="0" t="s">
        <v>8204</v>
      </c>
      <c r="AE1234" s="0" t="s">
        <v>8205</v>
      </c>
      <c r="AF1234" s="0" t="s">
        <v>301</v>
      </c>
      <c r="AP1234" s="0" t="s">
        <v>305</v>
      </c>
      <c r="BA1234" s="0">
        <v>547</v>
      </c>
      <c r="BB1234" s="0" t="s">
        <v>232</v>
      </c>
      <c r="BC1234" s="0">
        <v>2</v>
      </c>
      <c r="BD1234" s="0">
        <v>374053</v>
      </c>
      <c r="BE1234" s="0">
        <v>70560</v>
      </c>
      <c r="BF1234" s="0">
        <v>4</v>
      </c>
      <c r="BG1234" s="0" t="s">
        <v>8728</v>
      </c>
      <c r="BI1234" s="0">
        <v>5335</v>
      </c>
      <c r="BK1234" s="0" t="s">
        <v>8729</v>
      </c>
    </row>
    <row r="1235">
      <c r="A1235" s="0">
        <v>5999</v>
      </c>
      <c r="B1235" s="0" t="s">
        <v>8730</v>
      </c>
      <c r="C1235" s="0" t="s">
        <v>290</v>
      </c>
      <c r="D1235" s="0" t="s">
        <v>8202</v>
      </c>
      <c r="E1235" s="0" t="s">
        <v>8731</v>
      </c>
      <c r="F1235" s="0">
        <v>4</v>
      </c>
      <c r="G1235" s="0" t="s">
        <v>525</v>
      </c>
      <c r="H1235" s="0" t="s">
        <v>8086</v>
      </c>
      <c r="I1235" s="0" t="s">
        <v>549</v>
      </c>
      <c r="J1235" s="0" t="s">
        <v>293</v>
      </c>
      <c r="K1235" s="0" t="s">
        <v>294</v>
      </c>
      <c r="L1235" s="0" t="s">
        <v>295</v>
      </c>
      <c r="P1235" s="0" t="s">
        <v>343</v>
      </c>
      <c r="Q1235" s="0" t="s">
        <v>343</v>
      </c>
      <c r="U1235" s="0" t="s">
        <v>8732</v>
      </c>
      <c r="X1235" s="0" t="s">
        <v>347</v>
      </c>
      <c r="Y1235" s="0" t="s">
        <v>42</v>
      </c>
      <c r="Z1235" s="0" t="s">
        <v>2384</v>
      </c>
      <c r="AA1235" s="0" t="s">
        <v>116</v>
      </c>
      <c r="AB1235" s="0" t="s">
        <v>531</v>
      </c>
      <c r="AC1235" s="0" t="s">
        <v>532</v>
      </c>
      <c r="AD1235" s="0" t="s">
        <v>8204</v>
      </c>
      <c r="AE1235" s="0" t="s">
        <v>8205</v>
      </c>
      <c r="AF1235" s="0" t="s">
        <v>301</v>
      </c>
      <c r="AP1235" s="0" t="s">
        <v>305</v>
      </c>
      <c r="BA1235" s="0">
        <v>547</v>
      </c>
      <c r="BB1235" s="0" t="s">
        <v>232</v>
      </c>
      <c r="BC1235" s="0">
        <v>2</v>
      </c>
      <c r="BD1235" s="0">
        <v>374053</v>
      </c>
      <c r="BE1235" s="0">
        <v>70560</v>
      </c>
      <c r="BF1235" s="0">
        <v>4</v>
      </c>
      <c r="BG1235" s="0" t="s">
        <v>8733</v>
      </c>
      <c r="BI1235" s="0">
        <v>5338</v>
      </c>
      <c r="BK1235" s="0" t="s">
        <v>8734</v>
      </c>
    </row>
    <row r="1236">
      <c r="A1236" s="0">
        <v>5946</v>
      </c>
      <c r="B1236" s="0" t="s">
        <v>8735</v>
      </c>
      <c r="C1236" s="0" t="s">
        <v>339</v>
      </c>
      <c r="D1236" s="0" t="s">
        <v>8202</v>
      </c>
      <c r="E1236" s="0" t="s">
        <v>8736</v>
      </c>
      <c r="F1236" s="0">
        <v>2</v>
      </c>
      <c r="G1236" s="0" t="s">
        <v>594</v>
      </c>
      <c r="H1236" s="0" t="s">
        <v>508</v>
      </c>
      <c r="I1236" s="0" t="s">
        <v>5139</v>
      </c>
      <c r="J1236" s="0" t="s">
        <v>319</v>
      </c>
      <c r="K1236" s="0" t="s">
        <v>523</v>
      </c>
      <c r="L1236" s="0" t="s">
        <v>1268</v>
      </c>
      <c r="M1236" s="0" t="s">
        <v>525</v>
      </c>
      <c r="N1236" s="0" t="s">
        <v>400</v>
      </c>
      <c r="O1236" s="0" t="s">
        <v>1133</v>
      </c>
      <c r="P1236" s="0" t="s">
        <v>323</v>
      </c>
      <c r="Q1236" s="0" t="s">
        <v>343</v>
      </c>
      <c r="R1236" s="0" t="s">
        <v>2393</v>
      </c>
      <c r="U1236" s="0" t="s">
        <v>8737</v>
      </c>
      <c r="X1236" s="0" t="s">
        <v>347</v>
      </c>
      <c r="Y1236" s="0" t="s">
        <v>42</v>
      </c>
      <c r="Z1236" s="0" t="s">
        <v>2384</v>
      </c>
      <c r="AA1236" s="0" t="s">
        <v>116</v>
      </c>
      <c r="AB1236" s="0" t="s">
        <v>531</v>
      </c>
      <c r="AC1236" s="0" t="s">
        <v>532</v>
      </c>
      <c r="AD1236" s="0" t="s">
        <v>8204</v>
      </c>
      <c r="AE1236" s="0" t="s">
        <v>8205</v>
      </c>
      <c r="AF1236" s="0" t="s">
        <v>301</v>
      </c>
      <c r="AP1236" s="0" t="s">
        <v>305</v>
      </c>
      <c r="BA1236" s="0">
        <v>547</v>
      </c>
      <c r="BB1236" s="0" t="s">
        <v>232</v>
      </c>
      <c r="BC1236" s="0">
        <v>2</v>
      </c>
      <c r="BD1236" s="0">
        <v>8</v>
      </c>
      <c r="BE1236" s="0">
        <v>70560</v>
      </c>
      <c r="BF1236" s="0">
        <v>4</v>
      </c>
      <c r="BG1236" s="0" t="s">
        <v>8738</v>
      </c>
      <c r="BI1236" s="0">
        <v>5019</v>
      </c>
      <c r="BK1236" s="0" t="s">
        <v>8739</v>
      </c>
    </row>
    <row r="1237">
      <c r="A1237" s="0">
        <v>5945</v>
      </c>
      <c r="B1237" s="0" t="s">
        <v>3159</v>
      </c>
      <c r="C1237" s="0" t="s">
        <v>339</v>
      </c>
      <c r="D1237" s="0" t="s">
        <v>8202</v>
      </c>
      <c r="E1237" s="0" t="s">
        <v>3160</v>
      </c>
      <c r="F1237" s="0">
        <v>1</v>
      </c>
      <c r="G1237" s="0" t="s">
        <v>594</v>
      </c>
      <c r="H1237" s="0" t="s">
        <v>508</v>
      </c>
      <c r="I1237" s="0" t="s">
        <v>5139</v>
      </c>
      <c r="J1237" s="0" t="s">
        <v>319</v>
      </c>
      <c r="K1237" s="0" t="s">
        <v>523</v>
      </c>
      <c r="L1237" s="0" t="s">
        <v>1268</v>
      </c>
      <c r="M1237" s="0" t="s">
        <v>525</v>
      </c>
      <c r="N1237" s="0" t="s">
        <v>400</v>
      </c>
      <c r="O1237" s="0" t="s">
        <v>1133</v>
      </c>
      <c r="P1237" s="0" t="s">
        <v>323</v>
      </c>
      <c r="Q1237" s="0" t="s">
        <v>343</v>
      </c>
      <c r="R1237" s="0" t="s">
        <v>2393</v>
      </c>
      <c r="U1237" s="0" t="s">
        <v>8740</v>
      </c>
      <c r="X1237" s="0" t="s">
        <v>347</v>
      </c>
      <c r="Y1237" s="0" t="s">
        <v>42</v>
      </c>
      <c r="Z1237" s="0" t="s">
        <v>2384</v>
      </c>
      <c r="AA1237" s="0" t="s">
        <v>116</v>
      </c>
      <c r="AB1237" s="0" t="s">
        <v>531</v>
      </c>
      <c r="AC1237" s="0" t="s">
        <v>532</v>
      </c>
      <c r="AD1237" s="0" t="s">
        <v>8204</v>
      </c>
      <c r="AE1237" s="0" t="s">
        <v>8205</v>
      </c>
      <c r="AF1237" s="0" t="s">
        <v>301</v>
      </c>
      <c r="AP1237" s="0" t="s">
        <v>305</v>
      </c>
      <c r="BA1237" s="0">
        <v>547</v>
      </c>
      <c r="BB1237" s="0" t="s">
        <v>232</v>
      </c>
      <c r="BC1237" s="0">
        <v>2</v>
      </c>
      <c r="BD1237" s="0">
        <v>8</v>
      </c>
      <c r="BE1237" s="0">
        <v>70560</v>
      </c>
      <c r="BF1237" s="0">
        <v>4</v>
      </c>
      <c r="BG1237" s="0" t="s">
        <v>8741</v>
      </c>
      <c r="BI1237" s="0">
        <v>5009</v>
      </c>
      <c r="BK1237" s="0" t="s">
        <v>8742</v>
      </c>
    </row>
    <row r="1238">
      <c r="A1238" s="0">
        <v>5920</v>
      </c>
      <c r="C1238" s="0" t="s">
        <v>339</v>
      </c>
      <c r="D1238" s="0" t="s">
        <v>8202</v>
      </c>
      <c r="E1238" s="0" t="s">
        <v>8743</v>
      </c>
      <c r="F1238" s="0">
        <v>1</v>
      </c>
      <c r="G1238" s="0" t="s">
        <v>594</v>
      </c>
      <c r="H1238" s="0" t="s">
        <v>508</v>
      </c>
      <c r="I1238" s="0" t="s">
        <v>1133</v>
      </c>
      <c r="J1238" s="0" t="s">
        <v>319</v>
      </c>
      <c r="K1238" s="0" t="s">
        <v>398</v>
      </c>
      <c r="L1238" s="0" t="s">
        <v>471</v>
      </c>
      <c r="P1238" s="0" t="s">
        <v>323</v>
      </c>
      <c r="Q1238" s="0" t="s">
        <v>323</v>
      </c>
      <c r="R1238" s="0" t="s">
        <v>2488</v>
      </c>
      <c r="T1238" s="0" t="s">
        <v>8744</v>
      </c>
      <c r="U1238" s="0" t="s">
        <v>8745</v>
      </c>
      <c r="X1238" s="0" t="s">
        <v>347</v>
      </c>
      <c r="Y1238" s="0" t="s">
        <v>42</v>
      </c>
      <c r="Z1238" s="0" t="s">
        <v>2384</v>
      </c>
      <c r="AA1238" s="0" t="s">
        <v>116</v>
      </c>
      <c r="AB1238" s="0" t="s">
        <v>531</v>
      </c>
      <c r="AC1238" s="0" t="s">
        <v>532</v>
      </c>
      <c r="AD1238" s="0" t="s">
        <v>8204</v>
      </c>
      <c r="AE1238" s="0" t="s">
        <v>8205</v>
      </c>
      <c r="AF1238" s="0" t="s">
        <v>301</v>
      </c>
      <c r="AP1238" s="0" t="s">
        <v>305</v>
      </c>
      <c r="BA1238" s="0">
        <v>547</v>
      </c>
      <c r="BB1238" s="0" t="s">
        <v>232</v>
      </c>
      <c r="BC1238" s="0">
        <v>2</v>
      </c>
      <c r="BD1238" s="0">
        <v>8</v>
      </c>
      <c r="BE1238" s="0">
        <v>70560</v>
      </c>
      <c r="BF1238" s="0">
        <v>4</v>
      </c>
      <c r="BG1238" s="0" t="s">
        <v>8746</v>
      </c>
      <c r="BI1238" s="0">
        <v>4846</v>
      </c>
      <c r="BK1238" s="0" t="s">
        <v>8747</v>
      </c>
    </row>
    <row r="1239">
      <c r="A1239" s="0">
        <v>6002</v>
      </c>
      <c r="B1239" s="0" t="s">
        <v>8748</v>
      </c>
      <c r="E1239" s="0" t="s">
        <v>8749</v>
      </c>
      <c r="F1239" s="0">
        <v>1</v>
      </c>
      <c r="G1239" s="0" t="s">
        <v>293</v>
      </c>
      <c r="H1239" s="0" t="s">
        <v>294</v>
      </c>
      <c r="I1239" s="0" t="s">
        <v>918</v>
      </c>
      <c r="J1239" s="0" t="s">
        <v>594</v>
      </c>
      <c r="L1239" s="0" t="s">
        <v>1133</v>
      </c>
      <c r="P1239" s="0" t="s">
        <v>323</v>
      </c>
      <c r="Q1239" s="0" t="s">
        <v>323</v>
      </c>
      <c r="R1239" s="0" t="s">
        <v>673</v>
      </c>
      <c r="W1239" s="0" t="s">
        <v>8750</v>
      </c>
      <c r="X1239" s="0" t="s">
        <v>1116</v>
      </c>
      <c r="Y1239" s="0" t="s">
        <v>112</v>
      </c>
      <c r="Z1239" s="0" t="s">
        <v>8751</v>
      </c>
      <c r="AA1239" s="0" t="s">
        <v>111</v>
      </c>
      <c r="AB1239" s="0" t="s">
        <v>531</v>
      </c>
      <c r="AC1239" s="0" t="s">
        <v>532</v>
      </c>
      <c r="AF1239" s="0" t="s">
        <v>1688</v>
      </c>
      <c r="AP1239" s="0" t="s">
        <v>305</v>
      </c>
      <c r="BA1239" s="0">
        <v>548</v>
      </c>
      <c r="BB1239" s="0" t="s">
        <v>232</v>
      </c>
      <c r="BC1239" s="0">
        <v>3</v>
      </c>
      <c r="BE1239" s="0">
        <v>519796</v>
      </c>
      <c r="BF1239" s="0">
        <v>1</v>
      </c>
      <c r="BG1239" s="0" t="s">
        <v>8752</v>
      </c>
      <c r="BI1239" s="0">
        <v>508</v>
      </c>
      <c r="BK1239" s="0" t="s">
        <v>8753</v>
      </c>
    </row>
    <row r="1240">
      <c r="A1240" s="0">
        <v>6003</v>
      </c>
      <c r="B1240" s="0" t="s">
        <v>4056</v>
      </c>
      <c r="E1240" s="0" t="s">
        <v>4057</v>
      </c>
      <c r="F1240" s="0">
        <v>1</v>
      </c>
      <c r="G1240" s="0" t="s">
        <v>293</v>
      </c>
      <c r="H1240" s="0" t="s">
        <v>294</v>
      </c>
      <c r="I1240" s="0" t="s">
        <v>295</v>
      </c>
      <c r="J1240" s="0" t="s">
        <v>581</v>
      </c>
      <c r="L1240" s="0" t="s">
        <v>583</v>
      </c>
      <c r="P1240" s="0" t="s">
        <v>343</v>
      </c>
      <c r="Q1240" s="0" t="s">
        <v>343</v>
      </c>
      <c r="W1240" s="0" t="s">
        <v>8750</v>
      </c>
      <c r="X1240" s="0" t="s">
        <v>1116</v>
      </c>
      <c r="Y1240" s="0" t="s">
        <v>112</v>
      </c>
      <c r="Z1240" s="0" t="s">
        <v>8751</v>
      </c>
      <c r="AA1240" s="0" t="s">
        <v>111</v>
      </c>
      <c r="AB1240" s="0" t="s">
        <v>531</v>
      </c>
      <c r="AC1240" s="0" t="s">
        <v>532</v>
      </c>
      <c r="AF1240" s="0" t="s">
        <v>1688</v>
      </c>
      <c r="AP1240" s="0" t="s">
        <v>305</v>
      </c>
      <c r="BA1240" s="0">
        <v>548</v>
      </c>
      <c r="BB1240" s="0" t="s">
        <v>232</v>
      </c>
      <c r="BC1240" s="0">
        <v>3</v>
      </c>
      <c r="BE1240" s="0">
        <v>519796</v>
      </c>
      <c r="BF1240" s="0">
        <v>1</v>
      </c>
      <c r="BG1240" s="0" t="s">
        <v>8754</v>
      </c>
      <c r="BI1240" s="0">
        <v>871</v>
      </c>
      <c r="BK1240" s="0" t="s">
        <v>8755</v>
      </c>
    </row>
    <row r="1241">
      <c r="A1241" s="0">
        <v>6004</v>
      </c>
      <c r="B1241" s="0" t="s">
        <v>1846</v>
      </c>
      <c r="E1241" s="0" t="s">
        <v>1681</v>
      </c>
      <c r="F1241" s="0">
        <v>1</v>
      </c>
      <c r="G1241" s="0" t="s">
        <v>319</v>
      </c>
      <c r="H1241" s="0" t="s">
        <v>1745</v>
      </c>
      <c r="I1241" s="0" t="s">
        <v>8756</v>
      </c>
      <c r="J1241" s="0" t="s">
        <v>594</v>
      </c>
      <c r="L1241" s="0" t="s">
        <v>1133</v>
      </c>
      <c r="P1241" s="0" t="s">
        <v>323</v>
      </c>
      <c r="Q1241" s="0" t="s">
        <v>323</v>
      </c>
      <c r="R1241" s="0" t="s">
        <v>8757</v>
      </c>
      <c r="W1241" s="0" t="s">
        <v>8750</v>
      </c>
      <c r="X1241" s="0" t="s">
        <v>1116</v>
      </c>
      <c r="Y1241" s="0" t="s">
        <v>112</v>
      </c>
      <c r="Z1241" s="0" t="s">
        <v>8751</v>
      </c>
      <c r="AA1241" s="0" t="s">
        <v>111</v>
      </c>
      <c r="AB1241" s="0" t="s">
        <v>531</v>
      </c>
      <c r="AC1241" s="0" t="s">
        <v>532</v>
      </c>
      <c r="AF1241" s="0" t="s">
        <v>1688</v>
      </c>
      <c r="AP1241" s="0" t="s">
        <v>305</v>
      </c>
      <c r="BA1241" s="0">
        <v>548</v>
      </c>
      <c r="BB1241" s="0" t="s">
        <v>232</v>
      </c>
      <c r="BC1241" s="0">
        <v>3</v>
      </c>
      <c r="BE1241" s="0">
        <v>519796</v>
      </c>
      <c r="BF1241" s="0">
        <v>1</v>
      </c>
      <c r="BG1241" s="0" t="s">
        <v>8758</v>
      </c>
      <c r="BI1241" s="0">
        <v>1191</v>
      </c>
      <c r="BK1241" s="0" t="s">
        <v>8759</v>
      </c>
    </row>
    <row r="1242">
      <c r="A1242" s="0">
        <v>6005</v>
      </c>
      <c r="B1242" s="0" t="s">
        <v>8613</v>
      </c>
      <c r="E1242" s="0" t="s">
        <v>8614</v>
      </c>
      <c r="F1242" s="0">
        <v>1</v>
      </c>
      <c r="G1242" s="0" t="s">
        <v>319</v>
      </c>
      <c r="H1242" s="0" t="s">
        <v>1745</v>
      </c>
      <c r="I1242" s="0" t="s">
        <v>8756</v>
      </c>
      <c r="J1242" s="0" t="s">
        <v>594</v>
      </c>
      <c r="L1242" s="0" t="s">
        <v>469</v>
      </c>
      <c r="P1242" s="0" t="s">
        <v>323</v>
      </c>
      <c r="Q1242" s="0" t="s">
        <v>323</v>
      </c>
      <c r="R1242" s="0" t="s">
        <v>1142</v>
      </c>
      <c r="W1242" s="0" t="s">
        <v>8750</v>
      </c>
      <c r="X1242" s="0" t="s">
        <v>1116</v>
      </c>
      <c r="Y1242" s="0" t="s">
        <v>112</v>
      </c>
      <c r="Z1242" s="0" t="s">
        <v>8751</v>
      </c>
      <c r="AA1242" s="0" t="s">
        <v>111</v>
      </c>
      <c r="AB1242" s="0" t="s">
        <v>531</v>
      </c>
      <c r="AC1242" s="0" t="s">
        <v>532</v>
      </c>
      <c r="AF1242" s="0" t="s">
        <v>1688</v>
      </c>
      <c r="AP1242" s="0" t="s">
        <v>305</v>
      </c>
      <c r="BA1242" s="0">
        <v>548</v>
      </c>
      <c r="BB1242" s="0" t="s">
        <v>232</v>
      </c>
      <c r="BC1242" s="0">
        <v>3</v>
      </c>
      <c r="BE1242" s="0">
        <v>519796</v>
      </c>
      <c r="BF1242" s="0">
        <v>1</v>
      </c>
      <c r="BG1242" s="0" t="s">
        <v>8760</v>
      </c>
      <c r="BI1242" s="0">
        <v>1487</v>
      </c>
      <c r="BK1242" s="0" t="s">
        <v>8761</v>
      </c>
    </row>
    <row r="1243">
      <c r="A1243" s="0">
        <v>6001</v>
      </c>
      <c r="B1243" s="0" t="s">
        <v>8762</v>
      </c>
      <c r="E1243" s="0" t="s">
        <v>8763</v>
      </c>
      <c r="F1243" s="0">
        <v>1</v>
      </c>
      <c r="G1243" s="0" t="s">
        <v>319</v>
      </c>
      <c r="H1243" s="0" t="s">
        <v>658</v>
      </c>
      <c r="I1243" s="0" t="s">
        <v>524</v>
      </c>
      <c r="J1243" s="0" t="s">
        <v>594</v>
      </c>
      <c r="L1243" s="0" t="s">
        <v>3204</v>
      </c>
      <c r="P1243" s="0" t="s">
        <v>323</v>
      </c>
      <c r="Q1243" s="0" t="s">
        <v>4015</v>
      </c>
      <c r="R1243" s="0" t="s">
        <v>556</v>
      </c>
      <c r="W1243" s="0" t="s">
        <v>8750</v>
      </c>
      <c r="X1243" s="0" t="s">
        <v>1116</v>
      </c>
      <c r="Y1243" s="0" t="s">
        <v>112</v>
      </c>
      <c r="Z1243" s="0" t="s">
        <v>8751</v>
      </c>
      <c r="AA1243" s="0" t="s">
        <v>111</v>
      </c>
      <c r="AB1243" s="0" t="s">
        <v>531</v>
      </c>
      <c r="AC1243" s="0" t="s">
        <v>532</v>
      </c>
      <c r="AF1243" s="0" t="s">
        <v>1688</v>
      </c>
      <c r="AP1243" s="0" t="s">
        <v>305</v>
      </c>
      <c r="BA1243" s="0">
        <v>548</v>
      </c>
      <c r="BB1243" s="0" t="s">
        <v>232</v>
      </c>
      <c r="BC1243" s="0">
        <v>3</v>
      </c>
      <c r="BE1243" s="0">
        <v>519796</v>
      </c>
      <c r="BF1243" s="0">
        <v>1</v>
      </c>
      <c r="BG1243" s="0" t="s">
        <v>8764</v>
      </c>
      <c r="BI1243" s="0">
        <v>42</v>
      </c>
      <c r="BK1243" s="0" t="s">
        <v>8765</v>
      </c>
    </row>
    <row r="1244">
      <c r="A1244" s="0">
        <v>6053</v>
      </c>
      <c r="B1244" s="0" t="s">
        <v>8766</v>
      </c>
      <c r="C1244" s="0" t="s">
        <v>339</v>
      </c>
      <c r="D1244" s="0" t="s">
        <v>8750</v>
      </c>
      <c r="E1244" s="0" t="s">
        <v>8767</v>
      </c>
      <c r="F1244" s="0">
        <v>2</v>
      </c>
      <c r="G1244" s="0" t="s">
        <v>319</v>
      </c>
      <c r="H1244" s="0" t="s">
        <v>658</v>
      </c>
      <c r="I1244" s="0" t="s">
        <v>524</v>
      </c>
      <c r="J1244" s="0" t="s">
        <v>594</v>
      </c>
      <c r="L1244" s="0" t="s">
        <v>3204</v>
      </c>
      <c r="P1244" s="0" t="s">
        <v>323</v>
      </c>
      <c r="Q1244" s="0" t="s">
        <v>343</v>
      </c>
      <c r="R1244" s="0" t="s">
        <v>556</v>
      </c>
      <c r="U1244" s="0" t="s">
        <v>8768</v>
      </c>
      <c r="W1244" s="0" t="s">
        <v>8750</v>
      </c>
      <c r="X1244" s="0" t="s">
        <v>347</v>
      </c>
      <c r="Y1244" s="0" t="s">
        <v>112</v>
      </c>
      <c r="Z1244" s="0" t="s">
        <v>8751</v>
      </c>
      <c r="AA1244" s="0" t="s">
        <v>113</v>
      </c>
      <c r="AB1244" s="0" t="s">
        <v>531</v>
      </c>
      <c r="AC1244" s="0" t="s">
        <v>532</v>
      </c>
      <c r="AE1244" s="0" t="s">
        <v>8769</v>
      </c>
      <c r="AF1244" s="0" t="s">
        <v>301</v>
      </c>
      <c r="AP1244" s="0" t="s">
        <v>305</v>
      </c>
      <c r="BA1244" s="0">
        <v>549</v>
      </c>
      <c r="BB1244" s="0" t="s">
        <v>232</v>
      </c>
      <c r="BC1244" s="0">
        <v>2</v>
      </c>
      <c r="BD1244" s="0">
        <v>8</v>
      </c>
      <c r="BE1244" s="0">
        <v>519796</v>
      </c>
      <c r="BF1244" s="0">
        <v>4</v>
      </c>
      <c r="BG1244" s="0" t="s">
        <v>8770</v>
      </c>
      <c r="BI1244" s="0">
        <v>1961</v>
      </c>
      <c r="BK1244" s="0" t="s">
        <v>8771</v>
      </c>
    </row>
    <row r="1245">
      <c r="A1245" s="0">
        <v>6009</v>
      </c>
      <c r="B1245" s="0" t="s">
        <v>1846</v>
      </c>
      <c r="C1245" s="0" t="s">
        <v>315</v>
      </c>
      <c r="D1245" s="0" t="s">
        <v>8750</v>
      </c>
      <c r="E1245" s="0" t="s">
        <v>1681</v>
      </c>
      <c r="F1245" s="0">
        <v>1</v>
      </c>
      <c r="G1245" s="0" t="s">
        <v>319</v>
      </c>
      <c r="H1245" s="0" t="s">
        <v>1745</v>
      </c>
      <c r="I1245" s="0" t="s">
        <v>8756</v>
      </c>
      <c r="J1245" s="0" t="s">
        <v>594</v>
      </c>
      <c r="L1245" s="0" t="s">
        <v>1133</v>
      </c>
      <c r="P1245" s="0" t="s">
        <v>323</v>
      </c>
      <c r="Q1245" s="0" t="s">
        <v>323</v>
      </c>
      <c r="R1245" s="0" t="s">
        <v>8757</v>
      </c>
      <c r="U1245" s="0" t="s">
        <v>8772</v>
      </c>
      <c r="W1245" s="0" t="s">
        <v>8750</v>
      </c>
      <c r="X1245" s="0" t="s">
        <v>347</v>
      </c>
      <c r="Y1245" s="0" t="s">
        <v>112</v>
      </c>
      <c r="Z1245" s="0" t="s">
        <v>8751</v>
      </c>
      <c r="AA1245" s="0" t="s">
        <v>113</v>
      </c>
      <c r="AB1245" s="0" t="s">
        <v>531</v>
      </c>
      <c r="AC1245" s="0" t="s">
        <v>532</v>
      </c>
      <c r="AE1245" s="0" t="s">
        <v>8769</v>
      </c>
      <c r="AF1245" s="0" t="s">
        <v>301</v>
      </c>
      <c r="AP1245" s="0" t="s">
        <v>305</v>
      </c>
      <c r="BA1245" s="0">
        <v>549</v>
      </c>
      <c r="BB1245" s="0" t="s">
        <v>232</v>
      </c>
      <c r="BC1245" s="0">
        <v>2</v>
      </c>
      <c r="BD1245" s="0">
        <v>374043</v>
      </c>
      <c r="BE1245" s="0">
        <v>519796</v>
      </c>
      <c r="BF1245" s="0">
        <v>4</v>
      </c>
      <c r="BG1245" s="0" t="s">
        <v>8773</v>
      </c>
      <c r="BI1245" s="0">
        <v>1451</v>
      </c>
      <c r="BK1245" s="0" t="s">
        <v>8774</v>
      </c>
    </row>
    <row r="1246">
      <c r="A1246" s="0">
        <v>6010</v>
      </c>
      <c r="B1246" s="0" t="s">
        <v>8613</v>
      </c>
      <c r="C1246" s="0" t="s">
        <v>315</v>
      </c>
      <c r="D1246" s="0" t="s">
        <v>8750</v>
      </c>
      <c r="E1246" s="0" t="s">
        <v>8614</v>
      </c>
      <c r="F1246" s="0">
        <v>1</v>
      </c>
      <c r="G1246" s="0" t="s">
        <v>319</v>
      </c>
      <c r="H1246" s="0" t="s">
        <v>1745</v>
      </c>
      <c r="I1246" s="0" t="s">
        <v>8756</v>
      </c>
      <c r="J1246" s="0" t="s">
        <v>594</v>
      </c>
      <c r="L1246" s="0" t="s">
        <v>469</v>
      </c>
      <c r="P1246" s="0" t="s">
        <v>323</v>
      </c>
      <c r="Q1246" s="0" t="s">
        <v>323</v>
      </c>
      <c r="R1246" s="0" t="s">
        <v>1142</v>
      </c>
      <c r="U1246" s="0" t="s">
        <v>8775</v>
      </c>
      <c r="W1246" s="0" t="s">
        <v>8750</v>
      </c>
      <c r="X1246" s="0" t="s">
        <v>347</v>
      </c>
      <c r="Y1246" s="0" t="s">
        <v>112</v>
      </c>
      <c r="Z1246" s="0" t="s">
        <v>8751</v>
      </c>
      <c r="AA1246" s="0" t="s">
        <v>113</v>
      </c>
      <c r="AB1246" s="0" t="s">
        <v>531</v>
      </c>
      <c r="AC1246" s="0" t="s">
        <v>532</v>
      </c>
      <c r="AE1246" s="0" t="s">
        <v>8769</v>
      </c>
      <c r="AF1246" s="0" t="s">
        <v>301</v>
      </c>
      <c r="AP1246" s="0" t="s">
        <v>305</v>
      </c>
      <c r="BA1246" s="0">
        <v>549</v>
      </c>
      <c r="BB1246" s="0" t="s">
        <v>232</v>
      </c>
      <c r="BC1246" s="0">
        <v>2</v>
      </c>
      <c r="BD1246" s="0">
        <v>374043</v>
      </c>
      <c r="BE1246" s="0">
        <v>519796</v>
      </c>
      <c r="BF1246" s="0">
        <v>4</v>
      </c>
      <c r="BG1246" s="0" t="s">
        <v>8776</v>
      </c>
      <c r="BI1246" s="0">
        <v>1717</v>
      </c>
      <c r="BK1246" s="0" t="s">
        <v>8777</v>
      </c>
    </row>
    <row r="1247">
      <c r="A1247" s="0">
        <v>6006</v>
      </c>
      <c r="B1247" s="0" t="s">
        <v>8762</v>
      </c>
      <c r="C1247" s="0" t="s">
        <v>339</v>
      </c>
      <c r="D1247" s="0" t="s">
        <v>8750</v>
      </c>
      <c r="E1247" s="0" t="s">
        <v>8763</v>
      </c>
      <c r="F1247" s="0">
        <v>1</v>
      </c>
      <c r="G1247" s="0" t="s">
        <v>319</v>
      </c>
      <c r="H1247" s="0" t="s">
        <v>658</v>
      </c>
      <c r="I1247" s="0" t="s">
        <v>524</v>
      </c>
      <c r="J1247" s="0" t="s">
        <v>594</v>
      </c>
      <c r="L1247" s="0" t="s">
        <v>3204</v>
      </c>
      <c r="P1247" s="0" t="s">
        <v>323</v>
      </c>
      <c r="Q1247" s="0" t="s">
        <v>4015</v>
      </c>
      <c r="R1247" s="0" t="s">
        <v>556</v>
      </c>
      <c r="U1247" s="0" t="s">
        <v>8778</v>
      </c>
      <c r="W1247" s="0" t="s">
        <v>8750</v>
      </c>
      <c r="X1247" s="0" t="s">
        <v>347</v>
      </c>
      <c r="Y1247" s="0" t="s">
        <v>112</v>
      </c>
      <c r="Z1247" s="0" t="s">
        <v>8751</v>
      </c>
      <c r="AA1247" s="0" t="s">
        <v>113</v>
      </c>
      <c r="AB1247" s="0" t="s">
        <v>531</v>
      </c>
      <c r="AC1247" s="0" t="s">
        <v>532</v>
      </c>
      <c r="AE1247" s="0" t="s">
        <v>8769</v>
      </c>
      <c r="AF1247" s="0" t="s">
        <v>301</v>
      </c>
      <c r="AP1247" s="0" t="s">
        <v>305</v>
      </c>
      <c r="BA1247" s="0">
        <v>549</v>
      </c>
      <c r="BB1247" s="0" t="s">
        <v>232</v>
      </c>
      <c r="BC1247" s="0">
        <v>2</v>
      </c>
      <c r="BD1247" s="0">
        <v>8</v>
      </c>
      <c r="BE1247" s="0">
        <v>519796</v>
      </c>
      <c r="BF1247" s="0">
        <v>4</v>
      </c>
      <c r="BG1247" s="0" t="s">
        <v>8779</v>
      </c>
      <c r="BI1247" s="0">
        <v>422</v>
      </c>
      <c r="BK1247" s="0" t="s">
        <v>8780</v>
      </c>
    </row>
    <row r="1248">
      <c r="A1248" s="0">
        <v>6045</v>
      </c>
      <c r="B1248" s="0" t="s">
        <v>8781</v>
      </c>
      <c r="C1248" s="0" t="s">
        <v>315</v>
      </c>
      <c r="D1248" s="0" t="s">
        <v>8750</v>
      </c>
      <c r="E1248" s="0" t="s">
        <v>8782</v>
      </c>
      <c r="F1248" s="0">
        <v>1</v>
      </c>
      <c r="G1248" s="0" t="s">
        <v>293</v>
      </c>
      <c r="H1248" s="0" t="s">
        <v>294</v>
      </c>
      <c r="I1248" s="0" t="s">
        <v>295</v>
      </c>
      <c r="J1248" s="0" t="s">
        <v>594</v>
      </c>
      <c r="L1248" s="0" t="s">
        <v>1133</v>
      </c>
      <c r="P1248" s="0" t="s">
        <v>343</v>
      </c>
      <c r="Q1248" s="0" t="s">
        <v>323</v>
      </c>
      <c r="R1248" s="0" t="s">
        <v>661</v>
      </c>
      <c r="U1248" s="0" t="s">
        <v>8783</v>
      </c>
      <c r="X1248" s="0" t="s">
        <v>347</v>
      </c>
      <c r="Y1248" s="0" t="s">
        <v>115</v>
      </c>
      <c r="Z1248" s="0" t="s">
        <v>4766</v>
      </c>
      <c r="AA1248" s="0" t="s">
        <v>114</v>
      </c>
      <c r="AB1248" s="0" t="s">
        <v>531</v>
      </c>
      <c r="AC1248" s="0" t="s">
        <v>571</v>
      </c>
      <c r="AF1248" s="0" t="s">
        <v>301</v>
      </c>
      <c r="AP1248" s="0" t="s">
        <v>305</v>
      </c>
      <c r="BA1248" s="0">
        <v>550</v>
      </c>
      <c r="BB1248" s="0" t="s">
        <v>232</v>
      </c>
      <c r="BC1248" s="0">
        <v>2</v>
      </c>
      <c r="BD1248" s="0">
        <v>374043</v>
      </c>
      <c r="BE1248" s="0">
        <v>444</v>
      </c>
      <c r="BF1248" s="0">
        <v>4</v>
      </c>
      <c r="BG1248" s="0" t="s">
        <v>8784</v>
      </c>
      <c r="BI1248" s="0">
        <v>2597</v>
      </c>
      <c r="BK1248" s="0" t="s">
        <v>8785</v>
      </c>
    </row>
    <row r="1249">
      <c r="A1249" s="0">
        <v>6046</v>
      </c>
      <c r="B1249" s="0" t="s">
        <v>8786</v>
      </c>
      <c r="C1249" s="0" t="s">
        <v>315</v>
      </c>
      <c r="D1249" s="0" t="s">
        <v>8750</v>
      </c>
      <c r="E1249" s="0" t="s">
        <v>8787</v>
      </c>
      <c r="F1249" s="0">
        <v>1</v>
      </c>
      <c r="G1249" s="0" t="s">
        <v>293</v>
      </c>
      <c r="H1249" s="0" t="s">
        <v>294</v>
      </c>
      <c r="I1249" s="0" t="s">
        <v>295</v>
      </c>
      <c r="J1249" s="0" t="s">
        <v>594</v>
      </c>
      <c r="L1249" s="0" t="s">
        <v>1133</v>
      </c>
      <c r="P1249" s="0" t="s">
        <v>343</v>
      </c>
      <c r="Q1249" s="0" t="s">
        <v>343</v>
      </c>
      <c r="U1249" s="0" t="s">
        <v>8788</v>
      </c>
      <c r="X1249" s="0" t="s">
        <v>347</v>
      </c>
      <c r="Y1249" s="0" t="s">
        <v>115</v>
      </c>
      <c r="Z1249" s="0" t="s">
        <v>4766</v>
      </c>
      <c r="AA1249" s="0" t="s">
        <v>114</v>
      </c>
      <c r="AB1249" s="0" t="s">
        <v>531</v>
      </c>
      <c r="AC1249" s="0" t="s">
        <v>571</v>
      </c>
      <c r="AF1249" s="0" t="s">
        <v>301</v>
      </c>
      <c r="AP1249" s="0" t="s">
        <v>305</v>
      </c>
      <c r="BA1249" s="0">
        <v>550</v>
      </c>
      <c r="BB1249" s="0" t="s">
        <v>232</v>
      </c>
      <c r="BC1249" s="0">
        <v>2</v>
      </c>
      <c r="BD1249" s="0">
        <v>374043</v>
      </c>
      <c r="BE1249" s="0">
        <v>444</v>
      </c>
      <c r="BF1249" s="0">
        <v>4</v>
      </c>
      <c r="BG1249" s="0" t="s">
        <v>8789</v>
      </c>
      <c r="BI1249" s="0">
        <v>2772</v>
      </c>
      <c r="BK1249" s="0" t="s">
        <v>8790</v>
      </c>
    </row>
    <row r="1250">
      <c r="A1250" s="0">
        <v>6043</v>
      </c>
      <c r="B1250" s="0" t="s">
        <v>8791</v>
      </c>
      <c r="C1250" s="0" t="s">
        <v>315</v>
      </c>
      <c r="D1250" s="0" t="s">
        <v>8750</v>
      </c>
      <c r="E1250" s="0" t="s">
        <v>8792</v>
      </c>
      <c r="F1250" s="0">
        <v>1</v>
      </c>
      <c r="G1250" s="0" t="s">
        <v>293</v>
      </c>
      <c r="H1250" s="0" t="s">
        <v>294</v>
      </c>
      <c r="I1250" s="0" t="s">
        <v>295</v>
      </c>
      <c r="J1250" s="0" t="s">
        <v>594</v>
      </c>
      <c r="L1250" s="0" t="s">
        <v>1133</v>
      </c>
      <c r="P1250" s="0" t="s">
        <v>323</v>
      </c>
      <c r="Q1250" s="0" t="s">
        <v>4192</v>
      </c>
      <c r="R1250" s="0" t="s">
        <v>661</v>
      </c>
      <c r="U1250" s="0" t="s">
        <v>8793</v>
      </c>
      <c r="X1250" s="0" t="s">
        <v>347</v>
      </c>
      <c r="Y1250" s="0" t="s">
        <v>115</v>
      </c>
      <c r="Z1250" s="0" t="s">
        <v>4766</v>
      </c>
      <c r="AA1250" s="0" t="s">
        <v>114</v>
      </c>
      <c r="AB1250" s="0" t="s">
        <v>531</v>
      </c>
      <c r="AC1250" s="0" t="s">
        <v>571</v>
      </c>
      <c r="AF1250" s="0" t="s">
        <v>301</v>
      </c>
      <c r="AP1250" s="0" t="s">
        <v>305</v>
      </c>
      <c r="BA1250" s="0">
        <v>550</v>
      </c>
      <c r="BB1250" s="0" t="s">
        <v>232</v>
      </c>
      <c r="BC1250" s="0">
        <v>2</v>
      </c>
      <c r="BD1250" s="0">
        <v>374043</v>
      </c>
      <c r="BE1250" s="0">
        <v>444</v>
      </c>
      <c r="BF1250" s="0">
        <v>4</v>
      </c>
      <c r="BG1250" s="0" t="s">
        <v>8794</v>
      </c>
      <c r="BI1250" s="0">
        <v>2190</v>
      </c>
      <c r="BK1250" s="0" t="s">
        <v>8795</v>
      </c>
    </row>
    <row r="1251">
      <c r="A1251" s="0">
        <v>6041</v>
      </c>
      <c r="B1251" s="0" t="s">
        <v>8796</v>
      </c>
      <c r="C1251" s="0" t="s">
        <v>315</v>
      </c>
      <c r="D1251" s="0" t="s">
        <v>8750</v>
      </c>
      <c r="E1251" s="0" t="s">
        <v>8797</v>
      </c>
      <c r="F1251" s="0">
        <v>1</v>
      </c>
      <c r="G1251" s="0" t="s">
        <v>293</v>
      </c>
      <c r="H1251" s="0" t="s">
        <v>294</v>
      </c>
      <c r="I1251" s="0" t="s">
        <v>295</v>
      </c>
      <c r="J1251" s="0" t="s">
        <v>594</v>
      </c>
      <c r="L1251" s="0" t="s">
        <v>1133</v>
      </c>
      <c r="P1251" s="0" t="s">
        <v>323</v>
      </c>
      <c r="Q1251" s="0" t="s">
        <v>4192</v>
      </c>
      <c r="R1251" s="0" t="s">
        <v>661</v>
      </c>
      <c r="U1251" s="0" t="s">
        <v>8798</v>
      </c>
      <c r="X1251" s="0" t="s">
        <v>347</v>
      </c>
      <c r="Y1251" s="0" t="s">
        <v>115</v>
      </c>
      <c r="Z1251" s="0" t="s">
        <v>4766</v>
      </c>
      <c r="AA1251" s="0" t="s">
        <v>114</v>
      </c>
      <c r="AB1251" s="0" t="s">
        <v>531</v>
      </c>
      <c r="AC1251" s="0" t="s">
        <v>571</v>
      </c>
      <c r="AF1251" s="0" t="s">
        <v>301</v>
      </c>
      <c r="AP1251" s="0" t="s">
        <v>305</v>
      </c>
      <c r="BA1251" s="0">
        <v>550</v>
      </c>
      <c r="BB1251" s="0" t="s">
        <v>232</v>
      </c>
      <c r="BC1251" s="0">
        <v>2</v>
      </c>
      <c r="BD1251" s="0">
        <v>374043</v>
      </c>
      <c r="BE1251" s="0">
        <v>444</v>
      </c>
      <c r="BF1251" s="0">
        <v>4</v>
      </c>
      <c r="BG1251" s="0" t="s">
        <v>8799</v>
      </c>
      <c r="BI1251" s="0">
        <v>1718</v>
      </c>
      <c r="BK1251" s="0" t="s">
        <v>8800</v>
      </c>
    </row>
    <row r="1252">
      <c r="A1252" s="0">
        <v>6044</v>
      </c>
      <c r="B1252" s="0" t="s">
        <v>8801</v>
      </c>
      <c r="C1252" s="0" t="s">
        <v>315</v>
      </c>
      <c r="D1252" s="0" t="s">
        <v>8750</v>
      </c>
      <c r="E1252" s="0" t="s">
        <v>8802</v>
      </c>
      <c r="F1252" s="0">
        <v>1</v>
      </c>
      <c r="G1252" s="0" t="s">
        <v>293</v>
      </c>
      <c r="H1252" s="0" t="s">
        <v>294</v>
      </c>
      <c r="I1252" s="0" t="s">
        <v>295</v>
      </c>
      <c r="J1252" s="0" t="s">
        <v>594</v>
      </c>
      <c r="L1252" s="0" t="s">
        <v>1133</v>
      </c>
      <c r="P1252" s="0" t="s">
        <v>323</v>
      </c>
      <c r="Q1252" s="0" t="s">
        <v>4192</v>
      </c>
      <c r="R1252" s="0" t="s">
        <v>661</v>
      </c>
      <c r="U1252" s="0" t="s">
        <v>8803</v>
      </c>
      <c r="X1252" s="0" t="s">
        <v>347</v>
      </c>
      <c r="Y1252" s="0" t="s">
        <v>115</v>
      </c>
      <c r="Z1252" s="0" t="s">
        <v>4766</v>
      </c>
      <c r="AA1252" s="0" t="s">
        <v>114</v>
      </c>
      <c r="AB1252" s="0" t="s">
        <v>531</v>
      </c>
      <c r="AC1252" s="0" t="s">
        <v>571</v>
      </c>
      <c r="AF1252" s="0" t="s">
        <v>301</v>
      </c>
      <c r="AP1252" s="0" t="s">
        <v>305</v>
      </c>
      <c r="BA1252" s="0">
        <v>550</v>
      </c>
      <c r="BB1252" s="0" t="s">
        <v>232</v>
      </c>
      <c r="BC1252" s="0">
        <v>2</v>
      </c>
      <c r="BD1252" s="0">
        <v>374043</v>
      </c>
      <c r="BE1252" s="0">
        <v>444</v>
      </c>
      <c r="BF1252" s="0">
        <v>4</v>
      </c>
      <c r="BG1252" s="0" t="s">
        <v>8804</v>
      </c>
      <c r="BI1252" s="0">
        <v>2402</v>
      </c>
      <c r="BK1252" s="0" t="s">
        <v>8805</v>
      </c>
    </row>
    <row r="1253">
      <c r="A1253" s="0">
        <v>6042</v>
      </c>
      <c r="B1253" s="0" t="s">
        <v>8806</v>
      </c>
      <c r="C1253" s="0" t="s">
        <v>315</v>
      </c>
      <c r="D1253" s="0" t="s">
        <v>8750</v>
      </c>
      <c r="E1253" s="0" t="s">
        <v>8807</v>
      </c>
      <c r="F1253" s="0">
        <v>1</v>
      </c>
      <c r="G1253" s="0" t="s">
        <v>293</v>
      </c>
      <c r="H1253" s="0" t="s">
        <v>294</v>
      </c>
      <c r="I1253" s="0" t="s">
        <v>295</v>
      </c>
      <c r="J1253" s="0" t="s">
        <v>594</v>
      </c>
      <c r="L1253" s="0" t="s">
        <v>1133</v>
      </c>
      <c r="P1253" s="0" t="s">
        <v>323</v>
      </c>
      <c r="Q1253" s="0" t="s">
        <v>4192</v>
      </c>
      <c r="R1253" s="0" t="s">
        <v>661</v>
      </c>
      <c r="U1253" s="0" t="s">
        <v>8808</v>
      </c>
      <c r="X1253" s="0" t="s">
        <v>347</v>
      </c>
      <c r="Y1253" s="0" t="s">
        <v>115</v>
      </c>
      <c r="Z1253" s="0" t="s">
        <v>4766</v>
      </c>
      <c r="AA1253" s="0" t="s">
        <v>114</v>
      </c>
      <c r="AB1253" s="0" t="s">
        <v>531</v>
      </c>
      <c r="AC1253" s="0" t="s">
        <v>571</v>
      </c>
      <c r="AF1253" s="0" t="s">
        <v>301</v>
      </c>
      <c r="AP1253" s="0" t="s">
        <v>305</v>
      </c>
      <c r="BA1253" s="0">
        <v>550</v>
      </c>
      <c r="BB1253" s="0" t="s">
        <v>232</v>
      </c>
      <c r="BC1253" s="0">
        <v>2</v>
      </c>
      <c r="BD1253" s="0">
        <v>374043</v>
      </c>
      <c r="BE1253" s="0">
        <v>444</v>
      </c>
      <c r="BF1253" s="0">
        <v>4</v>
      </c>
      <c r="BG1253" s="0" t="s">
        <v>8809</v>
      </c>
      <c r="BI1253" s="0">
        <v>1960</v>
      </c>
      <c r="BK1253" s="0" t="s">
        <v>8810</v>
      </c>
    </row>
    <row r="1254">
      <c r="A1254" s="0">
        <v>6011</v>
      </c>
      <c r="B1254" s="0" t="s">
        <v>2964</v>
      </c>
      <c r="C1254" s="0" t="s">
        <v>945</v>
      </c>
      <c r="D1254" s="0" t="s">
        <v>8750</v>
      </c>
      <c r="E1254" s="0" t="s">
        <v>2965</v>
      </c>
      <c r="F1254" s="0">
        <v>1</v>
      </c>
      <c r="G1254" s="0" t="s">
        <v>319</v>
      </c>
      <c r="H1254" s="0" t="s">
        <v>483</v>
      </c>
      <c r="I1254" s="0" t="s">
        <v>524</v>
      </c>
      <c r="J1254" s="0" t="s">
        <v>594</v>
      </c>
      <c r="L1254" s="0" t="s">
        <v>3204</v>
      </c>
      <c r="N1254" s="0" t="s">
        <v>400</v>
      </c>
      <c r="O1254" s="0" t="s">
        <v>549</v>
      </c>
      <c r="P1254" s="0" t="s">
        <v>323</v>
      </c>
      <c r="Q1254" s="0" t="s">
        <v>343</v>
      </c>
      <c r="R1254" s="0" t="s">
        <v>1783</v>
      </c>
      <c r="U1254" s="0" t="s">
        <v>8811</v>
      </c>
      <c r="X1254" s="0" t="s">
        <v>347</v>
      </c>
      <c r="Y1254" s="0" t="s">
        <v>115</v>
      </c>
      <c r="Z1254" s="0" t="s">
        <v>4766</v>
      </c>
      <c r="AA1254" s="0" t="s">
        <v>114</v>
      </c>
      <c r="AB1254" s="0" t="s">
        <v>531</v>
      </c>
      <c r="AC1254" s="0" t="s">
        <v>571</v>
      </c>
      <c r="AF1254" s="0" t="s">
        <v>301</v>
      </c>
      <c r="AM1254" s="0" t="s">
        <v>425</v>
      </c>
      <c r="AN1254" s="0" t="s">
        <v>366</v>
      </c>
      <c r="AO1254" s="0" t="s">
        <v>598</v>
      </c>
      <c r="AP1254" s="0" t="s">
        <v>305</v>
      </c>
      <c r="AQ1254" s="0" t="s">
        <v>1850</v>
      </c>
      <c r="AR1254" s="0" t="s">
        <v>502</v>
      </c>
      <c r="AS1254" s="0">
        <v>134</v>
      </c>
      <c r="AT1254" s="0">
        <v>274</v>
      </c>
      <c r="AU1254" s="0">
        <v>342</v>
      </c>
      <c r="AV1254" s="0" t="s">
        <v>332</v>
      </c>
      <c r="AX1254" s="0" t="s">
        <v>780</v>
      </c>
      <c r="AY1254" s="0" t="s">
        <v>780</v>
      </c>
      <c r="AZ1254" s="0" t="s">
        <v>302</v>
      </c>
      <c r="BA1254" s="0">
        <v>550</v>
      </c>
      <c r="BB1254" s="0" t="s">
        <v>232</v>
      </c>
      <c r="BC1254" s="0">
        <v>2</v>
      </c>
      <c r="BD1254" s="0">
        <v>14</v>
      </c>
      <c r="BE1254" s="0">
        <v>444</v>
      </c>
      <c r="BF1254" s="0">
        <v>4</v>
      </c>
      <c r="BG1254" s="0" t="s">
        <v>8812</v>
      </c>
      <c r="BI1254" s="0">
        <v>423</v>
      </c>
      <c r="BK1254" s="0" t="s">
        <v>8813</v>
      </c>
    </row>
    <row r="1255">
      <c r="A1255" s="0">
        <v>6012</v>
      </c>
      <c r="B1255" s="0" t="s">
        <v>2964</v>
      </c>
      <c r="C1255" s="0" t="s">
        <v>945</v>
      </c>
      <c r="D1255" s="0" t="s">
        <v>8750</v>
      </c>
      <c r="E1255" s="0" t="s">
        <v>2965</v>
      </c>
      <c r="F1255" s="0">
        <v>1</v>
      </c>
      <c r="G1255" s="0" t="s">
        <v>319</v>
      </c>
      <c r="H1255" s="0" t="s">
        <v>483</v>
      </c>
      <c r="I1255" s="0" t="s">
        <v>524</v>
      </c>
      <c r="J1255" s="0" t="s">
        <v>594</v>
      </c>
      <c r="L1255" s="0" t="s">
        <v>3204</v>
      </c>
      <c r="N1255" s="0" t="s">
        <v>400</v>
      </c>
      <c r="O1255" s="0" t="s">
        <v>1916</v>
      </c>
      <c r="P1255" s="0" t="s">
        <v>323</v>
      </c>
      <c r="Q1255" s="0" t="s">
        <v>343</v>
      </c>
      <c r="R1255" s="0" t="s">
        <v>673</v>
      </c>
      <c r="U1255" s="0" t="s">
        <v>8814</v>
      </c>
      <c r="X1255" s="0" t="s">
        <v>347</v>
      </c>
      <c r="Y1255" s="0" t="s">
        <v>115</v>
      </c>
      <c r="Z1255" s="0" t="s">
        <v>4766</v>
      </c>
      <c r="AA1255" s="0" t="s">
        <v>114</v>
      </c>
      <c r="AB1255" s="0" t="s">
        <v>531</v>
      </c>
      <c r="AC1255" s="0" t="s">
        <v>571</v>
      </c>
      <c r="AF1255" s="0" t="s">
        <v>301</v>
      </c>
      <c r="AP1255" s="0" t="s">
        <v>305</v>
      </c>
      <c r="BA1255" s="0">
        <v>550</v>
      </c>
      <c r="BB1255" s="0" t="s">
        <v>232</v>
      </c>
      <c r="BC1255" s="0">
        <v>2</v>
      </c>
      <c r="BD1255" s="0">
        <v>14</v>
      </c>
      <c r="BE1255" s="0">
        <v>444</v>
      </c>
      <c r="BF1255" s="0">
        <v>4</v>
      </c>
      <c r="BG1255" s="0" t="s">
        <v>8815</v>
      </c>
      <c r="BI1255" s="0">
        <v>818</v>
      </c>
      <c r="BK1255" s="0" t="s">
        <v>8816</v>
      </c>
    </row>
    <row r="1256">
      <c r="A1256" s="0">
        <v>6014</v>
      </c>
      <c r="B1256" s="0" t="s">
        <v>8817</v>
      </c>
      <c r="C1256" s="0" t="s">
        <v>945</v>
      </c>
      <c r="D1256" s="0" t="s">
        <v>8750</v>
      </c>
      <c r="E1256" s="0" t="s">
        <v>8818</v>
      </c>
      <c r="F1256" s="0">
        <v>1</v>
      </c>
      <c r="G1256" s="0" t="s">
        <v>319</v>
      </c>
      <c r="H1256" s="0" t="s">
        <v>523</v>
      </c>
      <c r="I1256" s="0" t="s">
        <v>1268</v>
      </c>
      <c r="J1256" s="0" t="s">
        <v>594</v>
      </c>
      <c r="L1256" s="0" t="s">
        <v>1268</v>
      </c>
      <c r="N1256" s="0" t="s">
        <v>400</v>
      </c>
      <c r="O1256" s="0" t="s">
        <v>1916</v>
      </c>
      <c r="P1256" s="0" t="s">
        <v>323</v>
      </c>
      <c r="Q1256" s="0" t="s">
        <v>343</v>
      </c>
      <c r="R1256" s="0" t="s">
        <v>673</v>
      </c>
      <c r="U1256" s="0" t="s">
        <v>8819</v>
      </c>
      <c r="X1256" s="0" t="s">
        <v>347</v>
      </c>
      <c r="Y1256" s="0" t="s">
        <v>115</v>
      </c>
      <c r="Z1256" s="0" t="s">
        <v>4766</v>
      </c>
      <c r="AA1256" s="0" t="s">
        <v>114</v>
      </c>
      <c r="AB1256" s="0" t="s">
        <v>531</v>
      </c>
      <c r="AC1256" s="0" t="s">
        <v>571</v>
      </c>
      <c r="AF1256" s="0" t="s">
        <v>301</v>
      </c>
      <c r="AP1256" s="0" t="s">
        <v>305</v>
      </c>
      <c r="BA1256" s="0">
        <v>550</v>
      </c>
      <c r="BB1256" s="0" t="s">
        <v>232</v>
      </c>
      <c r="BC1256" s="0">
        <v>2</v>
      </c>
      <c r="BD1256" s="0">
        <v>14</v>
      </c>
      <c r="BE1256" s="0">
        <v>444</v>
      </c>
      <c r="BF1256" s="0">
        <v>4</v>
      </c>
      <c r="BG1256" s="0" t="s">
        <v>8820</v>
      </c>
      <c r="BI1256" s="0">
        <v>1452</v>
      </c>
      <c r="BK1256" s="0" t="s">
        <v>8821</v>
      </c>
    </row>
    <row r="1257">
      <c r="A1257" s="0">
        <v>6013</v>
      </c>
      <c r="B1257" s="0" t="s">
        <v>8817</v>
      </c>
      <c r="C1257" s="0" t="s">
        <v>945</v>
      </c>
      <c r="D1257" s="0" t="s">
        <v>8750</v>
      </c>
      <c r="E1257" s="0" t="s">
        <v>8818</v>
      </c>
      <c r="F1257" s="0">
        <v>1</v>
      </c>
      <c r="G1257" s="0" t="s">
        <v>319</v>
      </c>
      <c r="H1257" s="0" t="s">
        <v>523</v>
      </c>
      <c r="I1257" s="0" t="s">
        <v>1268</v>
      </c>
      <c r="J1257" s="0" t="s">
        <v>594</v>
      </c>
      <c r="L1257" s="0" t="s">
        <v>1268</v>
      </c>
      <c r="N1257" s="0" t="s">
        <v>400</v>
      </c>
      <c r="O1257" s="0" t="s">
        <v>549</v>
      </c>
      <c r="P1257" s="0" t="s">
        <v>323</v>
      </c>
      <c r="Q1257" s="0" t="s">
        <v>343</v>
      </c>
      <c r="R1257" s="0" t="s">
        <v>1783</v>
      </c>
      <c r="U1257" s="0" t="s">
        <v>8822</v>
      </c>
      <c r="X1257" s="0" t="s">
        <v>347</v>
      </c>
      <c r="Y1257" s="0" t="s">
        <v>115</v>
      </c>
      <c r="Z1257" s="0" t="s">
        <v>4766</v>
      </c>
      <c r="AA1257" s="0" t="s">
        <v>114</v>
      </c>
      <c r="AB1257" s="0" t="s">
        <v>531</v>
      </c>
      <c r="AC1257" s="0" t="s">
        <v>571</v>
      </c>
      <c r="AF1257" s="0" t="s">
        <v>301</v>
      </c>
      <c r="AM1257" s="0" t="s">
        <v>2967</v>
      </c>
      <c r="AN1257" s="0" t="s">
        <v>366</v>
      </c>
      <c r="AO1257" s="0" t="s">
        <v>1320</v>
      </c>
      <c r="AP1257" s="0" t="s">
        <v>305</v>
      </c>
      <c r="AQ1257" s="0" t="s">
        <v>1850</v>
      </c>
      <c r="AR1257" s="0" t="s">
        <v>502</v>
      </c>
      <c r="AS1257" s="0">
        <v>134</v>
      </c>
      <c r="AT1257" s="0">
        <v>274</v>
      </c>
      <c r="AU1257" s="0">
        <v>342</v>
      </c>
      <c r="AV1257" s="0" t="s">
        <v>332</v>
      </c>
      <c r="AX1257" s="0" t="s">
        <v>780</v>
      </c>
      <c r="AY1257" s="0" t="s">
        <v>780</v>
      </c>
      <c r="AZ1257" s="0" t="s">
        <v>302</v>
      </c>
      <c r="BA1257" s="0">
        <v>550</v>
      </c>
      <c r="BB1257" s="0" t="s">
        <v>232</v>
      </c>
      <c r="BC1257" s="0">
        <v>2</v>
      </c>
      <c r="BD1257" s="0">
        <v>14</v>
      </c>
      <c r="BE1257" s="0">
        <v>444</v>
      </c>
      <c r="BF1257" s="0">
        <v>4</v>
      </c>
      <c r="BG1257" s="0" t="s">
        <v>8823</v>
      </c>
      <c r="BI1257" s="0">
        <v>1147</v>
      </c>
      <c r="BK1257" s="0" t="s">
        <v>8824</v>
      </c>
    </row>
    <row r="1258">
      <c r="A1258" s="0">
        <v>6032</v>
      </c>
      <c r="B1258" s="0" t="s">
        <v>1729</v>
      </c>
      <c r="C1258" s="0" t="s">
        <v>315</v>
      </c>
      <c r="D1258" s="0" t="s">
        <v>8825</v>
      </c>
      <c r="E1258" s="0" t="s">
        <v>1731</v>
      </c>
      <c r="F1258" s="0">
        <v>1</v>
      </c>
      <c r="G1258" s="0" t="s">
        <v>594</v>
      </c>
      <c r="H1258" s="0" t="s">
        <v>1190</v>
      </c>
      <c r="I1258" s="0" t="s">
        <v>549</v>
      </c>
      <c r="J1258" s="0" t="s">
        <v>293</v>
      </c>
      <c r="K1258" s="0" t="s">
        <v>294</v>
      </c>
      <c r="L1258" s="0" t="s">
        <v>295</v>
      </c>
      <c r="P1258" s="0" t="s">
        <v>323</v>
      </c>
      <c r="Q1258" s="0" t="s">
        <v>323</v>
      </c>
      <c r="R1258" s="0" t="s">
        <v>673</v>
      </c>
      <c r="U1258" s="0" t="s">
        <v>8826</v>
      </c>
      <c r="X1258" s="0" t="s">
        <v>347</v>
      </c>
      <c r="Y1258" s="0" t="s">
        <v>42</v>
      </c>
      <c r="Z1258" s="0" t="s">
        <v>2384</v>
      </c>
      <c r="AA1258" s="0" t="s">
        <v>117</v>
      </c>
      <c r="AB1258" s="0" t="s">
        <v>531</v>
      </c>
      <c r="AC1258" s="0" t="s">
        <v>532</v>
      </c>
      <c r="AD1258" s="0" t="s">
        <v>8827</v>
      </c>
      <c r="AE1258" s="0" t="s">
        <v>8205</v>
      </c>
      <c r="AF1258" s="0" t="s">
        <v>301</v>
      </c>
      <c r="AP1258" s="0" t="s">
        <v>305</v>
      </c>
      <c r="BA1258" s="0">
        <v>551</v>
      </c>
      <c r="BB1258" s="0" t="s">
        <v>232</v>
      </c>
      <c r="BC1258" s="0">
        <v>2</v>
      </c>
      <c r="BD1258" s="0">
        <v>374043</v>
      </c>
      <c r="BE1258" s="0">
        <v>70560</v>
      </c>
      <c r="BF1258" s="0">
        <v>4</v>
      </c>
      <c r="BG1258" s="0" t="s">
        <v>8828</v>
      </c>
      <c r="BI1258" s="0">
        <v>428</v>
      </c>
      <c r="BK1258" s="0" t="s">
        <v>8829</v>
      </c>
    </row>
    <row r="1259">
      <c r="A1259" s="0">
        <v>6021</v>
      </c>
      <c r="B1259" s="0" t="s">
        <v>8830</v>
      </c>
      <c r="C1259" s="0" t="s">
        <v>339</v>
      </c>
      <c r="D1259" s="0" t="s">
        <v>8825</v>
      </c>
      <c r="E1259" s="0" t="s">
        <v>8831</v>
      </c>
      <c r="F1259" s="0">
        <v>1</v>
      </c>
      <c r="G1259" s="0" t="s">
        <v>594</v>
      </c>
      <c r="H1259" s="0" t="s">
        <v>1190</v>
      </c>
      <c r="I1259" s="0" t="s">
        <v>8832</v>
      </c>
      <c r="J1259" s="0" t="s">
        <v>319</v>
      </c>
      <c r="K1259" s="0" t="s">
        <v>658</v>
      </c>
      <c r="L1259" s="0" t="s">
        <v>659</v>
      </c>
      <c r="M1259" s="0" t="s">
        <v>293</v>
      </c>
      <c r="N1259" s="0" t="s">
        <v>294</v>
      </c>
      <c r="O1259" s="0" t="s">
        <v>295</v>
      </c>
      <c r="P1259" s="0" t="s">
        <v>323</v>
      </c>
      <c r="Q1259" s="0" t="s">
        <v>323</v>
      </c>
      <c r="R1259" s="0" t="s">
        <v>648</v>
      </c>
      <c r="U1259" s="0" t="s">
        <v>8833</v>
      </c>
      <c r="X1259" s="0" t="s">
        <v>347</v>
      </c>
      <c r="Y1259" s="0" t="s">
        <v>42</v>
      </c>
      <c r="Z1259" s="0" t="s">
        <v>2384</v>
      </c>
      <c r="AA1259" s="0" t="s">
        <v>117</v>
      </c>
      <c r="AB1259" s="0" t="s">
        <v>531</v>
      </c>
      <c r="AC1259" s="0" t="s">
        <v>532</v>
      </c>
      <c r="AD1259" s="0" t="s">
        <v>8827</v>
      </c>
      <c r="AE1259" s="0" t="s">
        <v>8205</v>
      </c>
      <c r="AF1259" s="0" t="s">
        <v>301</v>
      </c>
      <c r="AP1259" s="0" t="s">
        <v>305</v>
      </c>
      <c r="BA1259" s="0">
        <v>551</v>
      </c>
      <c r="BB1259" s="0" t="s">
        <v>232</v>
      </c>
      <c r="BC1259" s="0">
        <v>2</v>
      </c>
      <c r="BD1259" s="0">
        <v>8</v>
      </c>
      <c r="BE1259" s="0">
        <v>70560</v>
      </c>
      <c r="BF1259" s="0">
        <v>4</v>
      </c>
      <c r="BG1259" s="0" t="s">
        <v>8834</v>
      </c>
      <c r="BI1259" s="0">
        <v>3111</v>
      </c>
      <c r="BK1259" s="0" t="s">
        <v>8835</v>
      </c>
    </row>
    <row r="1260">
      <c r="A1260" s="0">
        <v>6031</v>
      </c>
      <c r="B1260" s="0" t="s">
        <v>8836</v>
      </c>
      <c r="C1260" s="0" t="s">
        <v>656</v>
      </c>
      <c r="D1260" s="0" t="s">
        <v>8825</v>
      </c>
      <c r="E1260" s="0" t="s">
        <v>8837</v>
      </c>
      <c r="F1260" s="0">
        <v>1</v>
      </c>
      <c r="G1260" s="0" t="s">
        <v>293</v>
      </c>
      <c r="H1260" s="0" t="s">
        <v>294</v>
      </c>
      <c r="I1260" s="0" t="s">
        <v>295</v>
      </c>
      <c r="P1260" s="0" t="s">
        <v>323</v>
      </c>
      <c r="Q1260" s="0" t="s">
        <v>323</v>
      </c>
      <c r="R1260" s="0" t="s">
        <v>8838</v>
      </c>
      <c r="T1260" s="0" t="s">
        <v>8839</v>
      </c>
      <c r="U1260" s="0" t="s">
        <v>8840</v>
      </c>
      <c r="X1260" s="0" t="s">
        <v>347</v>
      </c>
      <c r="Y1260" s="0" t="s">
        <v>42</v>
      </c>
      <c r="Z1260" s="0" t="s">
        <v>2384</v>
      </c>
      <c r="AA1260" s="0" t="s">
        <v>117</v>
      </c>
      <c r="AB1260" s="0" t="s">
        <v>531</v>
      </c>
      <c r="AC1260" s="0" t="s">
        <v>532</v>
      </c>
      <c r="AD1260" s="0" t="s">
        <v>8827</v>
      </c>
      <c r="AE1260" s="0" t="s">
        <v>8205</v>
      </c>
      <c r="AF1260" s="0" t="s">
        <v>301</v>
      </c>
      <c r="AM1260" s="0" t="s">
        <v>8841</v>
      </c>
      <c r="AN1260" s="0" t="s">
        <v>8842</v>
      </c>
      <c r="AO1260" s="0" t="s">
        <v>8843</v>
      </c>
      <c r="AP1260" s="0" t="s">
        <v>305</v>
      </c>
      <c r="AQ1260" s="0" t="s">
        <v>8844</v>
      </c>
      <c r="AR1260" s="0" t="s">
        <v>8845</v>
      </c>
      <c r="AU1260" s="0">
        <v>37</v>
      </c>
      <c r="AV1260" s="0" t="s">
        <v>3800</v>
      </c>
      <c r="AW1260" s="0" t="s">
        <v>331</v>
      </c>
      <c r="AX1260" s="0" t="s">
        <v>8846</v>
      </c>
      <c r="AY1260" s="0" t="s">
        <v>8847</v>
      </c>
      <c r="AZ1260" s="0" t="s">
        <v>8848</v>
      </c>
      <c r="BA1260" s="0">
        <v>551</v>
      </c>
      <c r="BB1260" s="0" t="s">
        <v>232</v>
      </c>
      <c r="BC1260" s="0">
        <v>2</v>
      </c>
      <c r="BD1260" s="0">
        <v>10</v>
      </c>
      <c r="BE1260" s="0">
        <v>70560</v>
      </c>
      <c r="BF1260" s="0">
        <v>4</v>
      </c>
      <c r="BG1260" s="0" t="s">
        <v>8849</v>
      </c>
      <c r="BI1260" s="0">
        <v>4234</v>
      </c>
      <c r="BK1260" s="0" t="s">
        <v>8850</v>
      </c>
    </row>
    <row r="1261">
      <c r="A1261" s="0">
        <v>6015</v>
      </c>
      <c r="B1261" s="0" t="s">
        <v>8851</v>
      </c>
      <c r="C1261" s="0" t="s">
        <v>315</v>
      </c>
      <c r="D1261" s="0" t="s">
        <v>8825</v>
      </c>
      <c r="E1261" s="0" t="s">
        <v>8852</v>
      </c>
      <c r="F1261" s="0">
        <v>1</v>
      </c>
      <c r="G1261" s="0" t="s">
        <v>594</v>
      </c>
      <c r="H1261" s="0" t="s">
        <v>1190</v>
      </c>
      <c r="I1261" s="0" t="s">
        <v>549</v>
      </c>
      <c r="J1261" s="0" t="s">
        <v>293</v>
      </c>
      <c r="K1261" s="0" t="s">
        <v>294</v>
      </c>
      <c r="L1261" s="0" t="s">
        <v>295</v>
      </c>
      <c r="P1261" s="0" t="s">
        <v>323</v>
      </c>
      <c r="Q1261" s="0" t="s">
        <v>323</v>
      </c>
      <c r="R1261" s="0" t="s">
        <v>661</v>
      </c>
      <c r="U1261" s="0" t="s">
        <v>8853</v>
      </c>
      <c r="X1261" s="0" t="s">
        <v>347</v>
      </c>
      <c r="Y1261" s="0" t="s">
        <v>42</v>
      </c>
      <c r="Z1261" s="0" t="s">
        <v>2384</v>
      </c>
      <c r="AA1261" s="0" t="s">
        <v>117</v>
      </c>
      <c r="AB1261" s="0" t="s">
        <v>531</v>
      </c>
      <c r="AC1261" s="0" t="s">
        <v>532</v>
      </c>
      <c r="AD1261" s="0" t="s">
        <v>8827</v>
      </c>
      <c r="AE1261" s="0" t="s">
        <v>8205</v>
      </c>
      <c r="AF1261" s="0" t="s">
        <v>301</v>
      </c>
      <c r="AP1261" s="0" t="s">
        <v>305</v>
      </c>
      <c r="BA1261" s="0">
        <v>551</v>
      </c>
      <c r="BB1261" s="0" t="s">
        <v>232</v>
      </c>
      <c r="BC1261" s="0">
        <v>2</v>
      </c>
      <c r="BD1261" s="0">
        <v>374043</v>
      </c>
      <c r="BE1261" s="0">
        <v>70560</v>
      </c>
      <c r="BF1261" s="0">
        <v>4</v>
      </c>
      <c r="BG1261" s="0" t="s">
        <v>8854</v>
      </c>
      <c r="BI1261" s="0">
        <v>1150</v>
      </c>
      <c r="BK1261" s="0" t="s">
        <v>8855</v>
      </c>
    </row>
    <row r="1262">
      <c r="A1262" s="0">
        <v>6027</v>
      </c>
      <c r="B1262" s="0" t="s">
        <v>6434</v>
      </c>
      <c r="C1262" s="0" t="s">
        <v>945</v>
      </c>
      <c r="D1262" s="0" t="s">
        <v>8825</v>
      </c>
      <c r="E1262" s="0" t="s">
        <v>6435</v>
      </c>
      <c r="F1262" s="0">
        <v>1</v>
      </c>
      <c r="G1262" s="0" t="s">
        <v>594</v>
      </c>
      <c r="H1262" s="0" t="s">
        <v>1190</v>
      </c>
      <c r="I1262" s="0" t="s">
        <v>8832</v>
      </c>
      <c r="J1262" s="0" t="s">
        <v>319</v>
      </c>
      <c r="K1262" s="0" t="s">
        <v>658</v>
      </c>
      <c r="L1262" s="0" t="s">
        <v>321</v>
      </c>
      <c r="P1262" s="0" t="s">
        <v>323</v>
      </c>
      <c r="Q1262" s="0" t="s">
        <v>323</v>
      </c>
      <c r="R1262" s="0" t="s">
        <v>1791</v>
      </c>
      <c r="U1262" s="0" t="s">
        <v>8856</v>
      </c>
      <c r="X1262" s="0" t="s">
        <v>347</v>
      </c>
      <c r="Y1262" s="0" t="s">
        <v>42</v>
      </c>
      <c r="Z1262" s="0" t="s">
        <v>2384</v>
      </c>
      <c r="AA1262" s="0" t="s">
        <v>117</v>
      </c>
      <c r="AB1262" s="0" t="s">
        <v>531</v>
      </c>
      <c r="AC1262" s="0" t="s">
        <v>532</v>
      </c>
      <c r="AD1262" s="0" t="s">
        <v>8827</v>
      </c>
      <c r="AE1262" s="0" t="s">
        <v>8205</v>
      </c>
      <c r="AF1262" s="0" t="s">
        <v>301</v>
      </c>
      <c r="AM1262" s="0" t="s">
        <v>8857</v>
      </c>
      <c r="AN1262" s="0" t="s">
        <v>8858</v>
      </c>
      <c r="AO1262" s="0" t="s">
        <v>8859</v>
      </c>
      <c r="AP1262" s="0" t="s">
        <v>305</v>
      </c>
      <c r="AQ1262" s="0" t="s">
        <v>8860</v>
      </c>
      <c r="AR1262" s="0" t="s">
        <v>8861</v>
      </c>
      <c r="AS1262" s="0">
        <v>11</v>
      </c>
      <c r="AT1262" s="0">
        <v>22</v>
      </c>
      <c r="AU1262" s="0">
        <v>28</v>
      </c>
      <c r="AV1262" s="0" t="s">
        <v>332</v>
      </c>
      <c r="AW1262" s="0" t="s">
        <v>331</v>
      </c>
      <c r="AX1262" s="0" t="s">
        <v>8862</v>
      </c>
      <c r="AY1262" s="0" t="s">
        <v>8863</v>
      </c>
      <c r="AZ1262" s="0" t="s">
        <v>8265</v>
      </c>
      <c r="BA1262" s="0">
        <v>551</v>
      </c>
      <c r="BB1262" s="0" t="s">
        <v>232</v>
      </c>
      <c r="BC1262" s="0">
        <v>2</v>
      </c>
      <c r="BD1262" s="0">
        <v>14</v>
      </c>
      <c r="BE1262" s="0">
        <v>70560</v>
      </c>
      <c r="BF1262" s="0">
        <v>4</v>
      </c>
      <c r="BG1262" s="0" t="s">
        <v>8864</v>
      </c>
      <c r="BI1262" s="0">
        <v>3836</v>
      </c>
      <c r="BK1262" s="0" t="s">
        <v>8865</v>
      </c>
    </row>
    <row r="1263">
      <c r="A1263" s="0">
        <v>6026</v>
      </c>
      <c r="C1263" s="0" t="s">
        <v>945</v>
      </c>
      <c r="D1263" s="0" t="s">
        <v>8825</v>
      </c>
      <c r="E1263" s="0" t="s">
        <v>8866</v>
      </c>
      <c r="F1263" s="0">
        <v>1</v>
      </c>
      <c r="G1263" s="0" t="s">
        <v>594</v>
      </c>
      <c r="H1263" s="0" t="s">
        <v>1190</v>
      </c>
      <c r="I1263" s="0" t="s">
        <v>8832</v>
      </c>
      <c r="J1263" s="0" t="s">
        <v>319</v>
      </c>
      <c r="K1263" s="0" t="s">
        <v>658</v>
      </c>
      <c r="L1263" s="0" t="s">
        <v>6530</v>
      </c>
      <c r="P1263" s="0" t="s">
        <v>323</v>
      </c>
      <c r="Q1263" s="0" t="s">
        <v>323</v>
      </c>
      <c r="R1263" s="0" t="s">
        <v>2103</v>
      </c>
      <c r="U1263" s="0" t="s">
        <v>8867</v>
      </c>
      <c r="X1263" s="0" t="s">
        <v>347</v>
      </c>
      <c r="Y1263" s="0" t="s">
        <v>42</v>
      </c>
      <c r="Z1263" s="0" t="s">
        <v>2384</v>
      </c>
      <c r="AA1263" s="0" t="s">
        <v>117</v>
      </c>
      <c r="AB1263" s="0" t="s">
        <v>531</v>
      </c>
      <c r="AC1263" s="0" t="s">
        <v>532</v>
      </c>
      <c r="AD1263" s="0" t="s">
        <v>8827</v>
      </c>
      <c r="AE1263" s="0" t="s">
        <v>8205</v>
      </c>
      <c r="AF1263" s="0" t="s">
        <v>301</v>
      </c>
      <c r="AM1263" s="0" t="s">
        <v>8868</v>
      </c>
      <c r="AN1263" s="0" t="s">
        <v>8869</v>
      </c>
      <c r="AO1263" s="0" t="s">
        <v>8870</v>
      </c>
      <c r="AP1263" s="0" t="s">
        <v>305</v>
      </c>
      <c r="AQ1263" s="0" t="s">
        <v>8871</v>
      </c>
      <c r="AR1263" s="0" t="s">
        <v>8872</v>
      </c>
      <c r="AS1263" s="0">
        <v>10</v>
      </c>
      <c r="AT1263" s="0">
        <v>20</v>
      </c>
      <c r="AU1263" s="0">
        <v>25</v>
      </c>
      <c r="AV1263" s="0" t="s">
        <v>332</v>
      </c>
      <c r="AW1263" s="0" t="s">
        <v>331</v>
      </c>
      <c r="AX1263" s="0" t="s">
        <v>8873</v>
      </c>
      <c r="AY1263" s="0" t="s">
        <v>8874</v>
      </c>
      <c r="AZ1263" s="0" t="s">
        <v>8875</v>
      </c>
      <c r="BA1263" s="0">
        <v>551</v>
      </c>
      <c r="BB1263" s="0" t="s">
        <v>232</v>
      </c>
      <c r="BC1263" s="0">
        <v>2</v>
      </c>
      <c r="BD1263" s="0">
        <v>14</v>
      </c>
      <c r="BE1263" s="0">
        <v>70560</v>
      </c>
      <c r="BF1263" s="0">
        <v>4</v>
      </c>
      <c r="BG1263" s="0" t="s">
        <v>8876</v>
      </c>
      <c r="BI1263" s="0">
        <v>3739</v>
      </c>
      <c r="BK1263" s="0" t="s">
        <v>8877</v>
      </c>
    </row>
    <row r="1264">
      <c r="A1264" s="0">
        <v>6037</v>
      </c>
      <c r="C1264" s="0" t="s">
        <v>315</v>
      </c>
      <c r="D1264" s="0" t="s">
        <v>8825</v>
      </c>
      <c r="E1264" s="0" t="s">
        <v>8878</v>
      </c>
      <c r="F1264" s="0">
        <v>1</v>
      </c>
      <c r="G1264" s="0" t="s">
        <v>594</v>
      </c>
      <c r="H1264" s="0" t="s">
        <v>1190</v>
      </c>
      <c r="I1264" s="0" t="s">
        <v>8832</v>
      </c>
      <c r="J1264" s="0" t="s">
        <v>319</v>
      </c>
      <c r="K1264" s="0" t="s">
        <v>658</v>
      </c>
      <c r="L1264" s="0" t="s">
        <v>948</v>
      </c>
      <c r="P1264" s="0" t="s">
        <v>323</v>
      </c>
      <c r="Q1264" s="0" t="s">
        <v>323</v>
      </c>
      <c r="R1264" s="0" t="s">
        <v>568</v>
      </c>
      <c r="U1264" s="0" t="s">
        <v>8879</v>
      </c>
      <c r="X1264" s="0" t="s">
        <v>347</v>
      </c>
      <c r="Y1264" s="0" t="s">
        <v>42</v>
      </c>
      <c r="Z1264" s="0" t="s">
        <v>2384</v>
      </c>
      <c r="AA1264" s="0" t="s">
        <v>117</v>
      </c>
      <c r="AB1264" s="0" t="s">
        <v>531</v>
      </c>
      <c r="AC1264" s="0" t="s">
        <v>532</v>
      </c>
      <c r="AD1264" s="0" t="s">
        <v>8827</v>
      </c>
      <c r="AE1264" s="0" t="s">
        <v>8205</v>
      </c>
      <c r="AF1264" s="0" t="s">
        <v>301</v>
      </c>
      <c r="AP1264" s="0" t="s">
        <v>305</v>
      </c>
      <c r="BA1264" s="0">
        <v>551</v>
      </c>
      <c r="BB1264" s="0" t="s">
        <v>232</v>
      </c>
      <c r="BC1264" s="0">
        <v>2</v>
      </c>
      <c r="BD1264" s="0">
        <v>374043</v>
      </c>
      <c r="BE1264" s="0">
        <v>70560</v>
      </c>
      <c r="BF1264" s="0">
        <v>4</v>
      </c>
      <c r="BG1264" s="0" t="s">
        <v>8880</v>
      </c>
      <c r="BI1264" s="0">
        <v>4094</v>
      </c>
      <c r="BK1264" s="0" t="s">
        <v>8881</v>
      </c>
    </row>
    <row r="1265">
      <c r="A1265" s="0">
        <v>6030</v>
      </c>
      <c r="C1265" s="0" t="s">
        <v>315</v>
      </c>
      <c r="D1265" s="0" t="s">
        <v>8825</v>
      </c>
      <c r="E1265" s="0" t="s">
        <v>8882</v>
      </c>
      <c r="F1265" s="0">
        <v>1</v>
      </c>
      <c r="G1265" s="0" t="s">
        <v>400</v>
      </c>
      <c r="H1265" s="0" t="s">
        <v>400</v>
      </c>
      <c r="I1265" s="0" t="s">
        <v>8832</v>
      </c>
      <c r="J1265" s="0" t="s">
        <v>319</v>
      </c>
      <c r="K1265" s="0" t="s">
        <v>1745</v>
      </c>
      <c r="L1265" s="0" t="s">
        <v>6530</v>
      </c>
      <c r="P1265" s="0" t="s">
        <v>323</v>
      </c>
      <c r="Q1265" s="0" t="s">
        <v>323</v>
      </c>
      <c r="R1265" s="0" t="s">
        <v>7741</v>
      </c>
      <c r="T1265" s="0" t="s">
        <v>8883</v>
      </c>
      <c r="U1265" s="0" t="s">
        <v>8884</v>
      </c>
      <c r="X1265" s="0" t="s">
        <v>347</v>
      </c>
      <c r="Y1265" s="0" t="s">
        <v>42</v>
      </c>
      <c r="Z1265" s="0" t="s">
        <v>2384</v>
      </c>
      <c r="AA1265" s="0" t="s">
        <v>117</v>
      </c>
      <c r="AB1265" s="0" t="s">
        <v>531</v>
      </c>
      <c r="AC1265" s="0" t="s">
        <v>532</v>
      </c>
      <c r="AD1265" s="0" t="s">
        <v>8827</v>
      </c>
      <c r="AE1265" s="0" t="s">
        <v>8205</v>
      </c>
      <c r="AF1265" s="0" t="s">
        <v>301</v>
      </c>
      <c r="AP1265" s="0" t="s">
        <v>305</v>
      </c>
      <c r="BA1265" s="0">
        <v>551</v>
      </c>
      <c r="BB1265" s="0" t="s">
        <v>232</v>
      </c>
      <c r="BC1265" s="0">
        <v>2</v>
      </c>
      <c r="BD1265" s="0">
        <v>374043</v>
      </c>
      <c r="BE1265" s="0">
        <v>70560</v>
      </c>
      <c r="BF1265" s="0">
        <v>4</v>
      </c>
      <c r="BG1265" s="0" t="s">
        <v>8885</v>
      </c>
      <c r="BI1265" s="0">
        <v>4165</v>
      </c>
      <c r="BK1265" s="0" t="s">
        <v>8886</v>
      </c>
    </row>
    <row r="1266">
      <c r="A1266" s="0">
        <v>6019</v>
      </c>
      <c r="B1266" s="0" t="s">
        <v>8887</v>
      </c>
      <c r="C1266" s="0" t="s">
        <v>656</v>
      </c>
      <c r="D1266" s="0" t="s">
        <v>8825</v>
      </c>
      <c r="E1266" s="0" t="s">
        <v>8888</v>
      </c>
      <c r="F1266" s="0">
        <v>1</v>
      </c>
      <c r="G1266" s="0" t="s">
        <v>293</v>
      </c>
      <c r="H1266" s="0" t="s">
        <v>294</v>
      </c>
      <c r="I1266" s="0" t="s">
        <v>295</v>
      </c>
      <c r="J1266" s="0" t="s">
        <v>555</v>
      </c>
      <c r="K1266" s="0" t="s">
        <v>2414</v>
      </c>
      <c r="L1266" s="0" t="s">
        <v>1204</v>
      </c>
      <c r="P1266" s="0" t="s">
        <v>323</v>
      </c>
      <c r="Q1266" s="0" t="s">
        <v>323</v>
      </c>
      <c r="R1266" s="0" t="s">
        <v>6865</v>
      </c>
      <c r="T1266" s="0" t="s">
        <v>8889</v>
      </c>
      <c r="U1266" s="0" t="s">
        <v>8890</v>
      </c>
      <c r="X1266" s="0" t="s">
        <v>347</v>
      </c>
      <c r="Y1266" s="0" t="s">
        <v>42</v>
      </c>
      <c r="Z1266" s="0" t="s">
        <v>2384</v>
      </c>
      <c r="AA1266" s="0" t="s">
        <v>117</v>
      </c>
      <c r="AB1266" s="0" t="s">
        <v>531</v>
      </c>
      <c r="AC1266" s="0" t="s">
        <v>532</v>
      </c>
      <c r="AD1266" s="0" t="s">
        <v>8827</v>
      </c>
      <c r="AE1266" s="0" t="s">
        <v>8205</v>
      </c>
      <c r="AF1266" s="0" t="s">
        <v>301</v>
      </c>
      <c r="AM1266" s="0" t="s">
        <v>2850</v>
      </c>
      <c r="AN1266" s="0" t="s">
        <v>8891</v>
      </c>
      <c r="AO1266" s="0" t="s">
        <v>8892</v>
      </c>
      <c r="AP1266" s="0" t="s">
        <v>305</v>
      </c>
      <c r="AQ1266" s="0" t="s">
        <v>8893</v>
      </c>
      <c r="AR1266" s="0" t="s">
        <v>8894</v>
      </c>
      <c r="AS1266" s="0">
        <v>26</v>
      </c>
      <c r="AT1266" s="0">
        <v>58</v>
      </c>
      <c r="AU1266" s="0">
        <v>65</v>
      </c>
      <c r="AV1266" s="0" t="s">
        <v>3800</v>
      </c>
      <c r="AW1266" s="0" t="s">
        <v>331</v>
      </c>
      <c r="AX1266" s="0" t="s">
        <v>8895</v>
      </c>
      <c r="AY1266" s="0" t="s">
        <v>8896</v>
      </c>
      <c r="AZ1266" s="0" t="s">
        <v>8897</v>
      </c>
      <c r="BA1266" s="0">
        <v>551</v>
      </c>
      <c r="BB1266" s="0" t="s">
        <v>232</v>
      </c>
      <c r="BC1266" s="0">
        <v>2</v>
      </c>
      <c r="BD1266" s="0">
        <v>10</v>
      </c>
      <c r="BE1266" s="0">
        <v>70560</v>
      </c>
      <c r="BF1266" s="0">
        <v>4</v>
      </c>
      <c r="BG1266" s="0" t="s">
        <v>8898</v>
      </c>
      <c r="BI1266" s="0">
        <v>2193</v>
      </c>
      <c r="BK1266" s="0" t="s">
        <v>8899</v>
      </c>
    </row>
    <row r="1267">
      <c r="A1267" s="0">
        <v>6028</v>
      </c>
      <c r="C1267" s="0" t="s">
        <v>339</v>
      </c>
      <c r="D1267" s="0" t="s">
        <v>8825</v>
      </c>
      <c r="E1267" s="0" t="s">
        <v>8900</v>
      </c>
      <c r="F1267" s="0">
        <v>1</v>
      </c>
      <c r="G1267" s="0" t="s">
        <v>594</v>
      </c>
      <c r="H1267" s="0" t="s">
        <v>1190</v>
      </c>
      <c r="I1267" s="0" t="s">
        <v>8832</v>
      </c>
      <c r="J1267" s="0" t="s">
        <v>319</v>
      </c>
      <c r="K1267" s="0" t="s">
        <v>658</v>
      </c>
      <c r="L1267" s="0" t="s">
        <v>1746</v>
      </c>
      <c r="P1267" s="0" t="s">
        <v>323</v>
      </c>
      <c r="Q1267" s="0" t="s">
        <v>323</v>
      </c>
      <c r="R1267" s="0" t="s">
        <v>8901</v>
      </c>
      <c r="U1267" s="0" t="s">
        <v>8902</v>
      </c>
      <c r="X1267" s="0" t="s">
        <v>347</v>
      </c>
      <c r="Y1267" s="0" t="s">
        <v>42</v>
      </c>
      <c r="Z1267" s="0" t="s">
        <v>2384</v>
      </c>
      <c r="AA1267" s="0" t="s">
        <v>117</v>
      </c>
      <c r="AB1267" s="0" t="s">
        <v>531</v>
      </c>
      <c r="AC1267" s="0" t="s">
        <v>532</v>
      </c>
      <c r="AD1267" s="0" t="s">
        <v>8827</v>
      </c>
      <c r="AE1267" s="0" t="s">
        <v>8205</v>
      </c>
      <c r="AF1267" s="0" t="s">
        <v>301</v>
      </c>
      <c r="AP1267" s="0" t="s">
        <v>305</v>
      </c>
      <c r="BA1267" s="0">
        <v>551</v>
      </c>
      <c r="BB1267" s="0" t="s">
        <v>232</v>
      </c>
      <c r="BC1267" s="0">
        <v>2</v>
      </c>
      <c r="BD1267" s="0">
        <v>8</v>
      </c>
      <c r="BE1267" s="0">
        <v>70560</v>
      </c>
      <c r="BF1267" s="0">
        <v>4</v>
      </c>
      <c r="BG1267" s="0" t="s">
        <v>8903</v>
      </c>
      <c r="BI1267" s="0">
        <v>3925</v>
      </c>
      <c r="BK1267" s="0" t="s">
        <v>8904</v>
      </c>
    </row>
    <row r="1268">
      <c r="A1268" s="0">
        <v>6023</v>
      </c>
      <c r="B1268" s="0" t="s">
        <v>5358</v>
      </c>
      <c r="C1268" s="0" t="s">
        <v>339</v>
      </c>
      <c r="D1268" s="0" t="s">
        <v>8825</v>
      </c>
      <c r="E1268" s="0" t="s">
        <v>5359</v>
      </c>
      <c r="F1268" s="0">
        <v>1</v>
      </c>
      <c r="G1268" s="0" t="s">
        <v>594</v>
      </c>
      <c r="H1268" s="0" t="s">
        <v>1190</v>
      </c>
      <c r="I1268" s="0" t="s">
        <v>8832</v>
      </c>
      <c r="J1268" s="0" t="s">
        <v>319</v>
      </c>
      <c r="K1268" s="0" t="s">
        <v>658</v>
      </c>
      <c r="L1268" s="0" t="s">
        <v>8905</v>
      </c>
      <c r="M1268" s="0" t="s">
        <v>293</v>
      </c>
      <c r="N1268" s="0" t="s">
        <v>294</v>
      </c>
      <c r="O1268" s="0" t="s">
        <v>295</v>
      </c>
      <c r="P1268" s="0" t="s">
        <v>323</v>
      </c>
      <c r="Q1268" s="0" t="s">
        <v>323</v>
      </c>
      <c r="R1268" s="0" t="s">
        <v>673</v>
      </c>
      <c r="U1268" s="0" t="s">
        <v>8906</v>
      </c>
      <c r="X1268" s="0" t="s">
        <v>347</v>
      </c>
      <c r="Y1268" s="0" t="s">
        <v>42</v>
      </c>
      <c r="Z1268" s="0" t="s">
        <v>2384</v>
      </c>
      <c r="AA1268" s="0" t="s">
        <v>117</v>
      </c>
      <c r="AB1268" s="0" t="s">
        <v>531</v>
      </c>
      <c r="AC1268" s="0" t="s">
        <v>532</v>
      </c>
      <c r="AD1268" s="0" t="s">
        <v>8827</v>
      </c>
      <c r="AE1268" s="0" t="s">
        <v>8205</v>
      </c>
      <c r="AF1268" s="0" t="s">
        <v>301</v>
      </c>
      <c r="AP1268" s="0" t="s">
        <v>305</v>
      </c>
      <c r="BA1268" s="0">
        <v>551</v>
      </c>
      <c r="BB1268" s="0" t="s">
        <v>232</v>
      </c>
      <c r="BC1268" s="0">
        <v>2</v>
      </c>
      <c r="BD1268" s="0">
        <v>8</v>
      </c>
      <c r="BE1268" s="0">
        <v>70560</v>
      </c>
      <c r="BF1268" s="0">
        <v>4</v>
      </c>
      <c r="BG1268" s="0" t="s">
        <v>8907</v>
      </c>
      <c r="BI1268" s="0">
        <v>3395</v>
      </c>
      <c r="BK1268" s="0" t="s">
        <v>8908</v>
      </c>
    </row>
    <row r="1269">
      <c r="A1269" s="0">
        <v>6022</v>
      </c>
      <c r="B1269" s="0" t="s">
        <v>8909</v>
      </c>
      <c r="C1269" s="0" t="s">
        <v>339</v>
      </c>
      <c r="D1269" s="0" t="s">
        <v>8825</v>
      </c>
      <c r="E1269" s="0" t="s">
        <v>8910</v>
      </c>
      <c r="F1269" s="0">
        <v>1</v>
      </c>
      <c r="G1269" s="0" t="s">
        <v>594</v>
      </c>
      <c r="H1269" s="0" t="s">
        <v>1190</v>
      </c>
      <c r="I1269" s="0" t="s">
        <v>8832</v>
      </c>
      <c r="J1269" s="0" t="s">
        <v>319</v>
      </c>
      <c r="K1269" s="0" t="s">
        <v>658</v>
      </c>
      <c r="L1269" s="0" t="s">
        <v>8905</v>
      </c>
      <c r="M1269" s="0" t="s">
        <v>293</v>
      </c>
      <c r="N1269" s="0" t="s">
        <v>294</v>
      </c>
      <c r="O1269" s="0" t="s">
        <v>295</v>
      </c>
      <c r="P1269" s="0" t="s">
        <v>323</v>
      </c>
      <c r="Q1269" s="0" t="s">
        <v>323</v>
      </c>
      <c r="R1269" s="0" t="s">
        <v>673</v>
      </c>
      <c r="U1269" s="0" t="s">
        <v>8911</v>
      </c>
      <c r="X1269" s="0" t="s">
        <v>347</v>
      </c>
      <c r="Y1269" s="0" t="s">
        <v>42</v>
      </c>
      <c r="Z1269" s="0" t="s">
        <v>2384</v>
      </c>
      <c r="AA1269" s="0" t="s">
        <v>117</v>
      </c>
      <c r="AB1269" s="0" t="s">
        <v>531</v>
      </c>
      <c r="AC1269" s="0" t="s">
        <v>532</v>
      </c>
      <c r="AD1269" s="0" t="s">
        <v>8827</v>
      </c>
      <c r="AE1269" s="0" t="s">
        <v>8205</v>
      </c>
      <c r="AF1269" s="0" t="s">
        <v>301</v>
      </c>
      <c r="AP1269" s="0" t="s">
        <v>305</v>
      </c>
      <c r="BA1269" s="0">
        <v>551</v>
      </c>
      <c r="BB1269" s="0" t="s">
        <v>232</v>
      </c>
      <c r="BC1269" s="0">
        <v>2</v>
      </c>
      <c r="BD1269" s="0">
        <v>8</v>
      </c>
      <c r="BE1269" s="0">
        <v>70560</v>
      </c>
      <c r="BF1269" s="0">
        <v>4</v>
      </c>
      <c r="BG1269" s="0" t="s">
        <v>8912</v>
      </c>
      <c r="BI1269" s="0">
        <v>3262</v>
      </c>
      <c r="BK1269" s="0" t="s">
        <v>8913</v>
      </c>
    </row>
    <row r="1270">
      <c r="A1270" s="0">
        <v>6033</v>
      </c>
      <c r="B1270" s="0" t="s">
        <v>8914</v>
      </c>
      <c r="C1270" s="0" t="s">
        <v>315</v>
      </c>
      <c r="D1270" s="0" t="s">
        <v>8825</v>
      </c>
      <c r="E1270" s="0" t="s">
        <v>8499</v>
      </c>
      <c r="F1270" s="0">
        <v>1</v>
      </c>
      <c r="G1270" s="0" t="s">
        <v>594</v>
      </c>
      <c r="H1270" s="0" t="s">
        <v>1190</v>
      </c>
      <c r="I1270" s="0" t="s">
        <v>549</v>
      </c>
      <c r="J1270" s="0" t="s">
        <v>293</v>
      </c>
      <c r="K1270" s="0" t="s">
        <v>294</v>
      </c>
      <c r="L1270" s="0" t="s">
        <v>295</v>
      </c>
      <c r="P1270" s="0" t="s">
        <v>323</v>
      </c>
      <c r="Q1270" s="0" t="s">
        <v>323</v>
      </c>
      <c r="R1270" s="0" t="s">
        <v>673</v>
      </c>
      <c r="U1270" s="0" t="s">
        <v>8915</v>
      </c>
      <c r="X1270" s="0" t="s">
        <v>347</v>
      </c>
      <c r="Y1270" s="0" t="s">
        <v>42</v>
      </c>
      <c r="Z1270" s="0" t="s">
        <v>2384</v>
      </c>
      <c r="AA1270" s="0" t="s">
        <v>117</v>
      </c>
      <c r="AB1270" s="0" t="s">
        <v>531</v>
      </c>
      <c r="AC1270" s="0" t="s">
        <v>532</v>
      </c>
      <c r="AD1270" s="0" t="s">
        <v>8827</v>
      </c>
      <c r="AE1270" s="0" t="s">
        <v>8205</v>
      </c>
      <c r="AF1270" s="0" t="s">
        <v>301</v>
      </c>
      <c r="AP1270" s="0" t="s">
        <v>305</v>
      </c>
      <c r="BA1270" s="0">
        <v>551</v>
      </c>
      <c r="BB1270" s="0" t="s">
        <v>232</v>
      </c>
      <c r="BC1270" s="0">
        <v>2</v>
      </c>
      <c r="BD1270" s="0">
        <v>374043</v>
      </c>
      <c r="BE1270" s="0">
        <v>70560</v>
      </c>
      <c r="BF1270" s="0">
        <v>4</v>
      </c>
      <c r="BG1270" s="0" t="s">
        <v>8916</v>
      </c>
      <c r="BI1270" s="0">
        <v>821</v>
      </c>
      <c r="BK1270" s="0" t="s">
        <v>8917</v>
      </c>
    </row>
    <row r="1271">
      <c r="A1271" s="0">
        <v>6025</v>
      </c>
      <c r="C1271" s="0" t="s">
        <v>315</v>
      </c>
      <c r="D1271" s="0" t="s">
        <v>8825</v>
      </c>
      <c r="E1271" s="0" t="s">
        <v>8918</v>
      </c>
      <c r="F1271" s="0">
        <v>1</v>
      </c>
      <c r="G1271" s="0" t="s">
        <v>594</v>
      </c>
      <c r="H1271" s="0" t="s">
        <v>1190</v>
      </c>
      <c r="I1271" s="0" t="s">
        <v>8832</v>
      </c>
      <c r="J1271" s="0" t="s">
        <v>319</v>
      </c>
      <c r="K1271" s="0" t="s">
        <v>658</v>
      </c>
      <c r="L1271" s="0" t="s">
        <v>471</v>
      </c>
      <c r="M1271" s="0" t="s">
        <v>293</v>
      </c>
      <c r="N1271" s="0" t="s">
        <v>294</v>
      </c>
      <c r="O1271" s="0" t="s">
        <v>295</v>
      </c>
      <c r="P1271" s="0" t="s">
        <v>323</v>
      </c>
      <c r="Q1271" s="0" t="s">
        <v>323</v>
      </c>
      <c r="R1271" s="0" t="s">
        <v>2103</v>
      </c>
      <c r="U1271" s="0" t="s">
        <v>8919</v>
      </c>
      <c r="X1271" s="0" t="s">
        <v>347</v>
      </c>
      <c r="Y1271" s="0" t="s">
        <v>42</v>
      </c>
      <c r="Z1271" s="0" t="s">
        <v>2384</v>
      </c>
      <c r="AA1271" s="0" t="s">
        <v>117</v>
      </c>
      <c r="AB1271" s="0" t="s">
        <v>531</v>
      </c>
      <c r="AC1271" s="0" t="s">
        <v>532</v>
      </c>
      <c r="AD1271" s="0" t="s">
        <v>8827</v>
      </c>
      <c r="AE1271" s="0" t="s">
        <v>8205</v>
      </c>
      <c r="AF1271" s="0" t="s">
        <v>301</v>
      </c>
      <c r="AP1271" s="0" t="s">
        <v>305</v>
      </c>
      <c r="BA1271" s="0">
        <v>551</v>
      </c>
      <c r="BB1271" s="0" t="s">
        <v>232</v>
      </c>
      <c r="BC1271" s="0">
        <v>2</v>
      </c>
      <c r="BD1271" s="0">
        <v>374043</v>
      </c>
      <c r="BE1271" s="0">
        <v>70560</v>
      </c>
      <c r="BF1271" s="0">
        <v>4</v>
      </c>
      <c r="BG1271" s="0" t="s">
        <v>8920</v>
      </c>
      <c r="BI1271" s="0">
        <v>3632</v>
      </c>
      <c r="BK1271" s="0" t="s">
        <v>8921</v>
      </c>
    </row>
    <row r="1272">
      <c r="A1272" s="0">
        <v>6024</v>
      </c>
      <c r="B1272" s="0" t="s">
        <v>8922</v>
      </c>
      <c r="C1272" s="0" t="s">
        <v>656</v>
      </c>
      <c r="D1272" s="0" t="s">
        <v>8825</v>
      </c>
      <c r="E1272" s="0" t="s">
        <v>8923</v>
      </c>
      <c r="F1272" s="0">
        <v>1</v>
      </c>
      <c r="G1272" s="0" t="s">
        <v>594</v>
      </c>
      <c r="H1272" s="0" t="s">
        <v>1190</v>
      </c>
      <c r="I1272" s="0" t="s">
        <v>8832</v>
      </c>
      <c r="J1272" s="0" t="s">
        <v>319</v>
      </c>
      <c r="K1272" s="0" t="s">
        <v>658</v>
      </c>
      <c r="L1272" s="0" t="s">
        <v>321</v>
      </c>
      <c r="M1272" s="0" t="s">
        <v>293</v>
      </c>
      <c r="N1272" s="0" t="s">
        <v>294</v>
      </c>
      <c r="O1272" s="0" t="s">
        <v>295</v>
      </c>
      <c r="P1272" s="0" t="s">
        <v>323</v>
      </c>
      <c r="Q1272" s="0" t="s">
        <v>323</v>
      </c>
      <c r="R1272" s="0" t="s">
        <v>3028</v>
      </c>
      <c r="U1272" s="0" t="s">
        <v>8924</v>
      </c>
      <c r="X1272" s="0" t="s">
        <v>347</v>
      </c>
      <c r="Y1272" s="0" t="s">
        <v>42</v>
      </c>
      <c r="Z1272" s="0" t="s">
        <v>2384</v>
      </c>
      <c r="AA1272" s="0" t="s">
        <v>117</v>
      </c>
      <c r="AB1272" s="0" t="s">
        <v>531</v>
      </c>
      <c r="AC1272" s="0" t="s">
        <v>532</v>
      </c>
      <c r="AD1272" s="0" t="s">
        <v>8827</v>
      </c>
      <c r="AE1272" s="0" t="s">
        <v>8205</v>
      </c>
      <c r="AF1272" s="0" t="s">
        <v>301</v>
      </c>
      <c r="AM1272" s="0" t="s">
        <v>8925</v>
      </c>
      <c r="AN1272" s="0" t="s">
        <v>8926</v>
      </c>
      <c r="AO1272" s="0" t="s">
        <v>8927</v>
      </c>
      <c r="AP1272" s="0" t="s">
        <v>305</v>
      </c>
      <c r="AQ1272" s="0" t="s">
        <v>8928</v>
      </c>
      <c r="AR1272" s="0" t="s">
        <v>8929</v>
      </c>
      <c r="AS1272" s="0">
        <v>18</v>
      </c>
      <c r="AT1272" s="0">
        <v>37</v>
      </c>
      <c r="AU1272" s="0">
        <v>45</v>
      </c>
      <c r="AV1272" s="0" t="s">
        <v>3800</v>
      </c>
      <c r="AW1272" s="0" t="s">
        <v>331</v>
      </c>
      <c r="AX1272" s="0" t="s">
        <v>8930</v>
      </c>
      <c r="AY1272" s="0" t="s">
        <v>8931</v>
      </c>
      <c r="AZ1272" s="0" t="s">
        <v>8932</v>
      </c>
      <c r="BA1272" s="0">
        <v>551</v>
      </c>
      <c r="BB1272" s="0" t="s">
        <v>232</v>
      </c>
      <c r="BC1272" s="0">
        <v>2</v>
      </c>
      <c r="BD1272" s="0">
        <v>10</v>
      </c>
      <c r="BE1272" s="0">
        <v>70560</v>
      </c>
      <c r="BF1272" s="0">
        <v>4</v>
      </c>
      <c r="BG1272" s="0" t="s">
        <v>8933</v>
      </c>
      <c r="BI1272" s="0">
        <v>3517</v>
      </c>
      <c r="BK1272" s="0" t="s">
        <v>8934</v>
      </c>
    </row>
    <row r="1273">
      <c r="A1273" s="0">
        <v>6018</v>
      </c>
      <c r="B1273" s="0" t="s">
        <v>8935</v>
      </c>
      <c r="C1273" s="0" t="s">
        <v>656</v>
      </c>
      <c r="D1273" s="0" t="s">
        <v>8825</v>
      </c>
      <c r="E1273" s="0" t="s">
        <v>8936</v>
      </c>
      <c r="F1273" s="0">
        <v>1</v>
      </c>
      <c r="G1273" s="0" t="s">
        <v>293</v>
      </c>
      <c r="H1273" s="0" t="s">
        <v>294</v>
      </c>
      <c r="I1273" s="0" t="s">
        <v>295</v>
      </c>
      <c r="J1273" s="0" t="s">
        <v>555</v>
      </c>
      <c r="K1273" s="0" t="s">
        <v>2414</v>
      </c>
      <c r="L1273" s="0" t="s">
        <v>2947</v>
      </c>
      <c r="P1273" s="0" t="s">
        <v>323</v>
      </c>
      <c r="Q1273" s="0" t="s">
        <v>323</v>
      </c>
      <c r="R1273" s="0" t="s">
        <v>661</v>
      </c>
      <c r="T1273" s="0" t="s">
        <v>8937</v>
      </c>
      <c r="U1273" s="0" t="s">
        <v>8938</v>
      </c>
      <c r="X1273" s="0" t="s">
        <v>347</v>
      </c>
      <c r="Y1273" s="0" t="s">
        <v>42</v>
      </c>
      <c r="Z1273" s="0" t="s">
        <v>2384</v>
      </c>
      <c r="AA1273" s="0" t="s">
        <v>117</v>
      </c>
      <c r="AB1273" s="0" t="s">
        <v>531</v>
      </c>
      <c r="AC1273" s="0" t="s">
        <v>532</v>
      </c>
      <c r="AD1273" s="0" t="s">
        <v>8827</v>
      </c>
      <c r="AE1273" s="0" t="s">
        <v>8205</v>
      </c>
      <c r="AF1273" s="0" t="s">
        <v>301</v>
      </c>
      <c r="AM1273" s="0" t="s">
        <v>8939</v>
      </c>
      <c r="AN1273" s="0" t="s">
        <v>8940</v>
      </c>
      <c r="AO1273" s="0" t="s">
        <v>8941</v>
      </c>
      <c r="AP1273" s="0" t="s">
        <v>305</v>
      </c>
      <c r="AQ1273" s="0" t="s">
        <v>8942</v>
      </c>
      <c r="AR1273" s="0" t="s">
        <v>8943</v>
      </c>
      <c r="AU1273" s="0">
        <v>51</v>
      </c>
      <c r="AV1273" s="0" t="s">
        <v>895</v>
      </c>
      <c r="AW1273" s="0" t="s">
        <v>977</v>
      </c>
      <c r="AX1273" s="0" t="s">
        <v>8944</v>
      </c>
      <c r="AY1273" s="0" t="s">
        <v>8945</v>
      </c>
      <c r="AZ1273" s="0" t="s">
        <v>8946</v>
      </c>
      <c r="BA1273" s="0">
        <v>551</v>
      </c>
      <c r="BB1273" s="0" t="s">
        <v>232</v>
      </c>
      <c r="BC1273" s="0">
        <v>2</v>
      </c>
      <c r="BD1273" s="0">
        <v>10</v>
      </c>
      <c r="BE1273" s="0">
        <v>70560</v>
      </c>
      <c r="BF1273" s="0">
        <v>4</v>
      </c>
      <c r="BG1273" s="0" t="s">
        <v>8947</v>
      </c>
      <c r="BI1273" s="0">
        <v>1963</v>
      </c>
      <c r="BK1273" s="0" t="s">
        <v>8948</v>
      </c>
    </row>
    <row r="1274">
      <c r="A1274" s="0">
        <v>6034</v>
      </c>
      <c r="C1274" s="0" t="s">
        <v>315</v>
      </c>
      <c r="D1274" s="0" t="s">
        <v>8825</v>
      </c>
      <c r="E1274" s="0" t="s">
        <v>8949</v>
      </c>
      <c r="F1274" s="0">
        <v>1</v>
      </c>
      <c r="G1274" s="0" t="s">
        <v>594</v>
      </c>
      <c r="H1274" s="0" t="s">
        <v>1190</v>
      </c>
      <c r="I1274" s="0" t="s">
        <v>549</v>
      </c>
      <c r="J1274" s="0" t="s">
        <v>555</v>
      </c>
      <c r="K1274" s="0" t="s">
        <v>2414</v>
      </c>
      <c r="L1274" s="0" t="s">
        <v>549</v>
      </c>
      <c r="M1274" s="0" t="s">
        <v>293</v>
      </c>
      <c r="N1274" s="0" t="s">
        <v>294</v>
      </c>
      <c r="O1274" s="0" t="s">
        <v>295</v>
      </c>
      <c r="P1274" s="0" t="s">
        <v>323</v>
      </c>
      <c r="Q1274" s="0" t="s">
        <v>323</v>
      </c>
      <c r="R1274" s="0" t="s">
        <v>661</v>
      </c>
      <c r="U1274" s="0" t="s">
        <v>8950</v>
      </c>
      <c r="X1274" s="0" t="s">
        <v>347</v>
      </c>
      <c r="Y1274" s="0" t="s">
        <v>42</v>
      </c>
      <c r="Z1274" s="0" t="s">
        <v>2384</v>
      </c>
      <c r="AA1274" s="0" t="s">
        <v>117</v>
      </c>
      <c r="AB1274" s="0" t="s">
        <v>531</v>
      </c>
      <c r="AC1274" s="0" t="s">
        <v>532</v>
      </c>
      <c r="AD1274" s="0" t="s">
        <v>8827</v>
      </c>
      <c r="AE1274" s="0" t="s">
        <v>8205</v>
      </c>
      <c r="AF1274" s="0" t="s">
        <v>301</v>
      </c>
      <c r="AP1274" s="0" t="s">
        <v>305</v>
      </c>
      <c r="BA1274" s="0">
        <v>551</v>
      </c>
      <c r="BB1274" s="0" t="s">
        <v>232</v>
      </c>
      <c r="BC1274" s="0">
        <v>2</v>
      </c>
      <c r="BD1274" s="0">
        <v>374043</v>
      </c>
      <c r="BE1274" s="0">
        <v>70560</v>
      </c>
      <c r="BF1274" s="0">
        <v>4</v>
      </c>
      <c r="BG1274" s="0" t="s">
        <v>8951</v>
      </c>
      <c r="BI1274" s="0">
        <v>2404</v>
      </c>
      <c r="BK1274" s="0" t="s">
        <v>8952</v>
      </c>
    </row>
    <row r="1275">
      <c r="A1275" s="0">
        <v>6029</v>
      </c>
      <c r="B1275" s="0" t="s">
        <v>8953</v>
      </c>
      <c r="C1275" s="0" t="s">
        <v>339</v>
      </c>
      <c r="D1275" s="0" t="s">
        <v>8825</v>
      </c>
      <c r="E1275" s="0" t="s">
        <v>8954</v>
      </c>
      <c r="F1275" s="0">
        <v>1</v>
      </c>
      <c r="G1275" s="0" t="s">
        <v>594</v>
      </c>
      <c r="H1275" s="0" t="s">
        <v>1190</v>
      </c>
      <c r="I1275" s="0" t="s">
        <v>8832</v>
      </c>
      <c r="J1275" s="0" t="s">
        <v>319</v>
      </c>
      <c r="K1275" s="0" t="s">
        <v>658</v>
      </c>
      <c r="L1275" s="0" t="s">
        <v>948</v>
      </c>
      <c r="P1275" s="0" t="s">
        <v>323</v>
      </c>
      <c r="Q1275" s="0" t="s">
        <v>323</v>
      </c>
      <c r="R1275" s="0" t="s">
        <v>568</v>
      </c>
      <c r="X1275" s="0" t="s">
        <v>529</v>
      </c>
      <c r="Y1275" s="0" t="s">
        <v>42</v>
      </c>
      <c r="Z1275" s="0" t="s">
        <v>2384</v>
      </c>
      <c r="AA1275" s="0" t="s">
        <v>117</v>
      </c>
      <c r="AB1275" s="0" t="s">
        <v>531</v>
      </c>
      <c r="AC1275" s="0" t="s">
        <v>532</v>
      </c>
      <c r="AD1275" s="0" t="s">
        <v>8827</v>
      </c>
      <c r="AE1275" s="0" t="s">
        <v>8205</v>
      </c>
      <c r="AF1275" s="0" t="s">
        <v>301</v>
      </c>
      <c r="AP1275" s="0" t="s">
        <v>305</v>
      </c>
      <c r="BA1275" s="0">
        <v>551</v>
      </c>
      <c r="BB1275" s="0" t="s">
        <v>232</v>
      </c>
      <c r="BC1275" s="0">
        <v>2</v>
      </c>
      <c r="BD1275" s="0">
        <v>8</v>
      </c>
      <c r="BE1275" s="0">
        <v>70560</v>
      </c>
      <c r="BF1275" s="0">
        <v>2</v>
      </c>
      <c r="BG1275" s="0" t="s">
        <v>8955</v>
      </c>
      <c r="BI1275" s="0">
        <v>4011</v>
      </c>
      <c r="BK1275" s="0" t="s">
        <v>8956</v>
      </c>
    </row>
    <row r="1276">
      <c r="A1276" s="0">
        <v>6016</v>
      </c>
      <c r="B1276" s="0" t="s">
        <v>8957</v>
      </c>
      <c r="C1276" s="0" t="s">
        <v>315</v>
      </c>
      <c r="D1276" s="0" t="s">
        <v>8825</v>
      </c>
      <c r="E1276" s="0" t="s">
        <v>8958</v>
      </c>
      <c r="F1276" s="0">
        <v>1</v>
      </c>
      <c r="G1276" s="0" t="s">
        <v>594</v>
      </c>
      <c r="H1276" s="0" t="s">
        <v>1190</v>
      </c>
      <c r="I1276" s="0" t="s">
        <v>417</v>
      </c>
      <c r="J1276" s="0" t="s">
        <v>555</v>
      </c>
      <c r="K1276" s="0" t="s">
        <v>2414</v>
      </c>
      <c r="L1276" s="0" t="s">
        <v>417</v>
      </c>
      <c r="M1276" s="0" t="s">
        <v>293</v>
      </c>
      <c r="N1276" s="0" t="s">
        <v>294</v>
      </c>
      <c r="O1276" s="0" t="s">
        <v>295</v>
      </c>
      <c r="P1276" s="0" t="s">
        <v>323</v>
      </c>
      <c r="Q1276" s="0" t="s">
        <v>323</v>
      </c>
      <c r="R1276" s="0" t="s">
        <v>661</v>
      </c>
      <c r="T1276" s="0" t="s">
        <v>8959</v>
      </c>
      <c r="U1276" s="0" t="s">
        <v>8960</v>
      </c>
      <c r="X1276" s="0" t="s">
        <v>347</v>
      </c>
      <c r="Y1276" s="0" t="s">
        <v>42</v>
      </c>
      <c r="Z1276" s="0" t="s">
        <v>2384</v>
      </c>
      <c r="AA1276" s="0" t="s">
        <v>117</v>
      </c>
      <c r="AB1276" s="0" t="s">
        <v>531</v>
      </c>
      <c r="AC1276" s="0" t="s">
        <v>532</v>
      </c>
      <c r="AD1276" s="0" t="s">
        <v>8827</v>
      </c>
      <c r="AE1276" s="0" t="s">
        <v>8205</v>
      </c>
      <c r="AF1276" s="0" t="s">
        <v>301</v>
      </c>
      <c r="AP1276" s="0" t="s">
        <v>305</v>
      </c>
      <c r="BA1276" s="0">
        <v>551</v>
      </c>
      <c r="BB1276" s="0" t="s">
        <v>232</v>
      </c>
      <c r="BC1276" s="0">
        <v>2</v>
      </c>
      <c r="BD1276" s="0">
        <v>374043</v>
      </c>
      <c r="BE1276" s="0">
        <v>70560</v>
      </c>
      <c r="BF1276" s="0">
        <v>4</v>
      </c>
      <c r="BG1276" s="0" t="s">
        <v>8961</v>
      </c>
      <c r="BI1276" s="0">
        <v>1455</v>
      </c>
      <c r="BK1276" s="0" t="s">
        <v>8962</v>
      </c>
    </row>
    <row r="1277">
      <c r="A1277" s="0">
        <v>6017</v>
      </c>
      <c r="B1277" s="0" t="s">
        <v>8963</v>
      </c>
      <c r="C1277" s="0" t="s">
        <v>315</v>
      </c>
      <c r="D1277" s="0" t="s">
        <v>8825</v>
      </c>
      <c r="E1277" s="0" t="s">
        <v>8964</v>
      </c>
      <c r="F1277" s="0">
        <v>1</v>
      </c>
      <c r="G1277" s="0" t="s">
        <v>555</v>
      </c>
      <c r="H1277" s="0" t="s">
        <v>2414</v>
      </c>
      <c r="I1277" s="0" t="s">
        <v>549</v>
      </c>
      <c r="J1277" s="0" t="s">
        <v>594</v>
      </c>
      <c r="K1277" s="0" t="s">
        <v>1190</v>
      </c>
      <c r="L1277" s="0" t="s">
        <v>549</v>
      </c>
      <c r="M1277" s="0" t="s">
        <v>293</v>
      </c>
      <c r="N1277" s="0" t="s">
        <v>294</v>
      </c>
      <c r="O1277" s="0" t="s">
        <v>295</v>
      </c>
      <c r="P1277" s="0" t="s">
        <v>323</v>
      </c>
      <c r="Q1277" s="0" t="s">
        <v>323</v>
      </c>
      <c r="R1277" s="0" t="s">
        <v>8901</v>
      </c>
      <c r="T1277" s="0" t="s">
        <v>8965</v>
      </c>
      <c r="U1277" s="0" t="s">
        <v>8966</v>
      </c>
      <c r="X1277" s="0" t="s">
        <v>347</v>
      </c>
      <c r="Y1277" s="0" t="s">
        <v>42</v>
      </c>
      <c r="Z1277" s="0" t="s">
        <v>2384</v>
      </c>
      <c r="AA1277" s="0" t="s">
        <v>117</v>
      </c>
      <c r="AB1277" s="0" t="s">
        <v>531</v>
      </c>
      <c r="AC1277" s="0" t="s">
        <v>532</v>
      </c>
      <c r="AD1277" s="0" t="s">
        <v>8827</v>
      </c>
      <c r="AE1277" s="0" t="s">
        <v>8205</v>
      </c>
      <c r="AF1277" s="0" t="s">
        <v>301</v>
      </c>
      <c r="AP1277" s="0" t="s">
        <v>305</v>
      </c>
      <c r="BA1277" s="0">
        <v>551</v>
      </c>
      <c r="BB1277" s="0" t="s">
        <v>232</v>
      </c>
      <c r="BC1277" s="0">
        <v>2</v>
      </c>
      <c r="BD1277" s="0">
        <v>374043</v>
      </c>
      <c r="BE1277" s="0">
        <v>70560</v>
      </c>
      <c r="BF1277" s="0">
        <v>4</v>
      </c>
      <c r="BG1277" s="0" t="s">
        <v>8967</v>
      </c>
      <c r="BI1277" s="0">
        <v>1721</v>
      </c>
      <c r="BK1277" s="0" t="s">
        <v>8968</v>
      </c>
    </row>
    <row r="1278">
      <c r="A1278" s="0">
        <v>6036</v>
      </c>
      <c r="B1278" s="0" t="s">
        <v>8698</v>
      </c>
      <c r="C1278" s="0" t="s">
        <v>315</v>
      </c>
      <c r="D1278" s="0" t="s">
        <v>8825</v>
      </c>
      <c r="E1278" s="0" t="s">
        <v>8699</v>
      </c>
      <c r="F1278" s="0">
        <v>1</v>
      </c>
      <c r="G1278" s="0" t="s">
        <v>594</v>
      </c>
      <c r="H1278" s="0" t="s">
        <v>1190</v>
      </c>
      <c r="I1278" s="0" t="s">
        <v>549</v>
      </c>
      <c r="J1278" s="0" t="s">
        <v>555</v>
      </c>
      <c r="K1278" s="0" t="s">
        <v>2414</v>
      </c>
      <c r="L1278" s="0" t="s">
        <v>549</v>
      </c>
      <c r="M1278" s="0" t="s">
        <v>3140</v>
      </c>
      <c r="N1278" s="0" t="s">
        <v>582</v>
      </c>
      <c r="O1278" s="0" t="s">
        <v>583</v>
      </c>
      <c r="P1278" s="0" t="s">
        <v>5490</v>
      </c>
      <c r="Q1278" s="0" t="s">
        <v>5490</v>
      </c>
      <c r="U1278" s="0" t="s">
        <v>8969</v>
      </c>
      <c r="X1278" s="0" t="s">
        <v>347</v>
      </c>
      <c r="Y1278" s="0" t="s">
        <v>42</v>
      </c>
      <c r="Z1278" s="0" t="s">
        <v>2384</v>
      </c>
      <c r="AA1278" s="0" t="s">
        <v>117</v>
      </c>
      <c r="AB1278" s="0" t="s">
        <v>531</v>
      </c>
      <c r="AC1278" s="0" t="s">
        <v>532</v>
      </c>
      <c r="AD1278" s="0" t="s">
        <v>8827</v>
      </c>
      <c r="AE1278" s="0" t="s">
        <v>8205</v>
      </c>
      <c r="AF1278" s="0" t="s">
        <v>301</v>
      </c>
      <c r="AP1278" s="0" t="s">
        <v>305</v>
      </c>
      <c r="BA1278" s="0">
        <v>551</v>
      </c>
      <c r="BB1278" s="0" t="s">
        <v>232</v>
      </c>
      <c r="BC1278" s="0">
        <v>2</v>
      </c>
      <c r="BD1278" s="0">
        <v>374043</v>
      </c>
      <c r="BE1278" s="0">
        <v>70560</v>
      </c>
      <c r="BF1278" s="0">
        <v>4</v>
      </c>
      <c r="BG1278" s="0" t="s">
        <v>8970</v>
      </c>
      <c r="BI1278" s="0">
        <v>2774</v>
      </c>
      <c r="BK1278" s="0" t="s">
        <v>8971</v>
      </c>
    </row>
    <row r="1279">
      <c r="A1279" s="0">
        <v>6020</v>
      </c>
      <c r="B1279" s="0" t="s">
        <v>8972</v>
      </c>
      <c r="C1279" s="0" t="s">
        <v>315</v>
      </c>
      <c r="D1279" s="0" t="s">
        <v>8825</v>
      </c>
      <c r="E1279" s="0" t="s">
        <v>8973</v>
      </c>
      <c r="F1279" s="0">
        <v>1</v>
      </c>
      <c r="G1279" s="0" t="s">
        <v>594</v>
      </c>
      <c r="H1279" s="0" t="s">
        <v>1190</v>
      </c>
      <c r="I1279" s="0" t="s">
        <v>1203</v>
      </c>
      <c r="J1279" s="0" t="s">
        <v>319</v>
      </c>
      <c r="K1279" s="0" t="s">
        <v>658</v>
      </c>
      <c r="L1279" s="0" t="s">
        <v>6530</v>
      </c>
      <c r="M1279" s="0" t="s">
        <v>293</v>
      </c>
      <c r="N1279" s="0" t="s">
        <v>294</v>
      </c>
      <c r="O1279" s="0" t="s">
        <v>295</v>
      </c>
      <c r="P1279" s="0" t="s">
        <v>323</v>
      </c>
      <c r="Q1279" s="0" t="s">
        <v>323</v>
      </c>
      <c r="R1279" s="0" t="s">
        <v>2103</v>
      </c>
      <c r="T1279" s="0" t="s">
        <v>8974</v>
      </c>
      <c r="U1279" s="0" t="s">
        <v>8975</v>
      </c>
      <c r="X1279" s="0" t="s">
        <v>347</v>
      </c>
      <c r="Y1279" s="0" t="s">
        <v>42</v>
      </c>
      <c r="Z1279" s="0" t="s">
        <v>2384</v>
      </c>
      <c r="AA1279" s="0" t="s">
        <v>117</v>
      </c>
      <c r="AB1279" s="0" t="s">
        <v>531</v>
      </c>
      <c r="AC1279" s="0" t="s">
        <v>532</v>
      </c>
      <c r="AD1279" s="0" t="s">
        <v>8827</v>
      </c>
      <c r="AE1279" s="0" t="s">
        <v>8205</v>
      </c>
      <c r="AF1279" s="0" t="s">
        <v>301</v>
      </c>
      <c r="AP1279" s="0" t="s">
        <v>305</v>
      </c>
      <c r="BA1279" s="0">
        <v>551</v>
      </c>
      <c r="BB1279" s="0" t="s">
        <v>232</v>
      </c>
      <c r="BC1279" s="0">
        <v>2</v>
      </c>
      <c r="BD1279" s="0">
        <v>374043</v>
      </c>
      <c r="BE1279" s="0">
        <v>70560</v>
      </c>
      <c r="BF1279" s="0">
        <v>4</v>
      </c>
      <c r="BG1279" s="0" t="s">
        <v>8976</v>
      </c>
      <c r="BI1279" s="0">
        <v>2945</v>
      </c>
      <c r="BK1279" s="0" t="s">
        <v>8977</v>
      </c>
    </row>
    <row r="1280">
      <c r="A1280" s="0">
        <v>6052</v>
      </c>
      <c r="B1280" s="0" t="s">
        <v>8978</v>
      </c>
      <c r="C1280" s="0" t="s">
        <v>290</v>
      </c>
      <c r="D1280" s="0" t="s">
        <v>8979</v>
      </c>
      <c r="E1280" s="0" t="s">
        <v>8509</v>
      </c>
      <c r="F1280" s="0">
        <v>2</v>
      </c>
      <c r="G1280" s="0" t="s">
        <v>293</v>
      </c>
      <c r="H1280" s="0" t="s">
        <v>294</v>
      </c>
      <c r="I1280" s="0" t="s">
        <v>295</v>
      </c>
      <c r="J1280" s="0" t="s">
        <v>555</v>
      </c>
      <c r="K1280" s="0" t="s">
        <v>1112</v>
      </c>
      <c r="L1280" s="0" t="s">
        <v>549</v>
      </c>
      <c r="P1280" s="0" t="s">
        <v>343</v>
      </c>
      <c r="Q1280" s="0" t="s">
        <v>343</v>
      </c>
      <c r="T1280" s="0" t="s">
        <v>8980</v>
      </c>
      <c r="U1280" s="0" t="s">
        <v>8981</v>
      </c>
      <c r="W1280" s="0" t="s">
        <v>8979</v>
      </c>
      <c r="X1280" s="0" t="s">
        <v>347</v>
      </c>
      <c r="Y1280" s="0" t="s">
        <v>71</v>
      </c>
      <c r="Z1280" s="0" t="s">
        <v>4923</v>
      </c>
      <c r="AA1280" s="0" t="s">
        <v>110</v>
      </c>
      <c r="AB1280" s="0" t="s">
        <v>531</v>
      </c>
      <c r="AC1280" s="0" t="s">
        <v>571</v>
      </c>
      <c r="AD1280" s="0" t="s">
        <v>8982</v>
      </c>
      <c r="AF1280" s="0" t="s">
        <v>301</v>
      </c>
      <c r="AP1280" s="0" t="s">
        <v>305</v>
      </c>
      <c r="BA1280" s="0">
        <v>552</v>
      </c>
      <c r="BB1280" s="0" t="s">
        <v>232</v>
      </c>
      <c r="BC1280" s="0">
        <v>2</v>
      </c>
      <c r="BD1280" s="0">
        <v>374053</v>
      </c>
      <c r="BE1280" s="0">
        <v>518908</v>
      </c>
      <c r="BF1280" s="0">
        <v>4</v>
      </c>
      <c r="BG1280" s="0" t="s">
        <v>8983</v>
      </c>
      <c r="BI1280" s="0">
        <v>424</v>
      </c>
      <c r="BK1280" s="0" t="s">
        <v>8984</v>
      </c>
    </row>
    <row r="1281">
      <c r="A1281" s="0">
        <v>6263</v>
      </c>
      <c r="B1281" s="0" t="s">
        <v>8985</v>
      </c>
      <c r="C1281" s="0" t="s">
        <v>579</v>
      </c>
      <c r="D1281" s="0" t="s">
        <v>8986</v>
      </c>
      <c r="E1281" s="0" t="s">
        <v>8987</v>
      </c>
      <c r="F1281" s="0">
        <v>1</v>
      </c>
      <c r="G1281" s="0" t="s">
        <v>581</v>
      </c>
      <c r="I1281" s="0" t="s">
        <v>583</v>
      </c>
      <c r="J1281" s="0" t="s">
        <v>508</v>
      </c>
      <c r="K1281" s="0" t="s">
        <v>1190</v>
      </c>
      <c r="L1281" s="0" t="s">
        <v>549</v>
      </c>
      <c r="T1281" s="0" t="s">
        <v>8988</v>
      </c>
      <c r="U1281" s="0" t="s">
        <v>8989</v>
      </c>
      <c r="X1281" s="0" t="s">
        <v>347</v>
      </c>
      <c r="Y1281" s="0" t="s">
        <v>77</v>
      </c>
      <c r="Z1281" s="0" t="s">
        <v>3973</v>
      </c>
      <c r="AA1281" s="0" t="s">
        <v>101</v>
      </c>
      <c r="AB1281" s="0" t="s">
        <v>531</v>
      </c>
      <c r="AC1281" s="0" t="s">
        <v>571</v>
      </c>
      <c r="AD1281" s="0" t="s">
        <v>1642</v>
      </c>
      <c r="AF1281" s="0" t="s">
        <v>301</v>
      </c>
      <c r="AP1281" s="0" t="s">
        <v>305</v>
      </c>
      <c r="BA1281" s="0">
        <v>553</v>
      </c>
      <c r="BB1281" s="0" t="s">
        <v>232</v>
      </c>
      <c r="BC1281" s="0">
        <v>2</v>
      </c>
      <c r="BD1281" s="0">
        <v>374046</v>
      </c>
      <c r="BE1281" s="0">
        <v>519953</v>
      </c>
      <c r="BF1281" s="0">
        <v>4</v>
      </c>
      <c r="BG1281" s="0" t="s">
        <v>8990</v>
      </c>
      <c r="BI1281" s="0">
        <v>2604</v>
      </c>
      <c r="BK1281" s="0" t="s">
        <v>8991</v>
      </c>
    </row>
    <row r="1282">
      <c r="A1282" s="0">
        <v>6185</v>
      </c>
      <c r="B1282" s="0" t="s">
        <v>8992</v>
      </c>
      <c r="C1282" s="0" t="s">
        <v>315</v>
      </c>
      <c r="D1282" s="0" t="s">
        <v>8993</v>
      </c>
      <c r="E1282" s="0" t="s">
        <v>8994</v>
      </c>
      <c r="F1282" s="0">
        <v>1</v>
      </c>
      <c r="G1282" s="0" t="s">
        <v>400</v>
      </c>
      <c r="H1282" s="0" t="s">
        <v>482</v>
      </c>
      <c r="J1282" s="0" t="s">
        <v>319</v>
      </c>
      <c r="K1282" s="0" t="s">
        <v>8995</v>
      </c>
      <c r="P1282" s="0" t="s">
        <v>323</v>
      </c>
      <c r="Q1282" s="0" t="s">
        <v>8996</v>
      </c>
      <c r="R1282" s="0" t="s">
        <v>1232</v>
      </c>
      <c r="T1282" s="0" t="s">
        <v>8997</v>
      </c>
      <c r="U1282" s="0" t="s">
        <v>8998</v>
      </c>
      <c r="X1282" s="0" t="s">
        <v>347</v>
      </c>
      <c r="Y1282" s="0" t="s">
        <v>77</v>
      </c>
      <c r="Z1282" s="0" t="s">
        <v>3973</v>
      </c>
      <c r="AA1282" s="0" t="s">
        <v>101</v>
      </c>
      <c r="AB1282" s="0" t="s">
        <v>531</v>
      </c>
      <c r="AC1282" s="0" t="s">
        <v>571</v>
      </c>
      <c r="AD1282" s="0" t="s">
        <v>1642</v>
      </c>
      <c r="AF1282" s="0" t="s">
        <v>301</v>
      </c>
      <c r="AP1282" s="0" t="s">
        <v>305</v>
      </c>
      <c r="BA1282" s="0">
        <v>553</v>
      </c>
      <c r="BB1282" s="0" t="s">
        <v>232</v>
      </c>
      <c r="BC1282" s="0">
        <v>2</v>
      </c>
      <c r="BD1282" s="0">
        <v>374043</v>
      </c>
      <c r="BE1282" s="0">
        <v>519953</v>
      </c>
      <c r="BF1282" s="0">
        <v>4</v>
      </c>
      <c r="BG1282" s="0" t="s">
        <v>8999</v>
      </c>
      <c r="BI1282" s="0">
        <v>2408</v>
      </c>
      <c r="BK1282" s="0" t="s">
        <v>9000</v>
      </c>
    </row>
    <row r="1283">
      <c r="A1283" s="0">
        <v>6055</v>
      </c>
      <c r="B1283" s="0" t="s">
        <v>9001</v>
      </c>
      <c r="C1283" s="0" t="s">
        <v>339</v>
      </c>
      <c r="D1283" s="0" t="s">
        <v>9002</v>
      </c>
      <c r="E1283" s="0" t="s">
        <v>9003</v>
      </c>
      <c r="F1283" s="0">
        <v>1</v>
      </c>
      <c r="G1283" s="0" t="s">
        <v>400</v>
      </c>
      <c r="H1283" s="0" t="s">
        <v>1190</v>
      </c>
      <c r="I1283" s="0" t="s">
        <v>3204</v>
      </c>
      <c r="J1283" s="0" t="s">
        <v>319</v>
      </c>
      <c r="K1283" s="0" t="s">
        <v>398</v>
      </c>
      <c r="L1283" s="0" t="s">
        <v>471</v>
      </c>
      <c r="P1283" s="0" t="s">
        <v>1667</v>
      </c>
      <c r="Q1283" s="0" t="s">
        <v>1686</v>
      </c>
      <c r="R1283" s="0" t="s">
        <v>9004</v>
      </c>
      <c r="T1283" s="0" t="s">
        <v>9005</v>
      </c>
      <c r="U1283" s="0" t="s">
        <v>9006</v>
      </c>
      <c r="X1283" s="0" t="s">
        <v>347</v>
      </c>
      <c r="Y1283" s="0" t="s">
        <v>77</v>
      </c>
      <c r="Z1283" s="0" t="s">
        <v>3973</v>
      </c>
      <c r="AA1283" s="0" t="s">
        <v>101</v>
      </c>
      <c r="AB1283" s="0" t="s">
        <v>531</v>
      </c>
      <c r="AC1283" s="0" t="s">
        <v>571</v>
      </c>
      <c r="AD1283" s="0" t="s">
        <v>1642</v>
      </c>
      <c r="AF1283" s="0" t="s">
        <v>301</v>
      </c>
      <c r="AP1283" s="0" t="s">
        <v>305</v>
      </c>
      <c r="BA1283" s="0">
        <v>553</v>
      </c>
      <c r="BB1283" s="0" t="s">
        <v>232</v>
      </c>
      <c r="BC1283" s="0">
        <v>2</v>
      </c>
      <c r="BD1283" s="0">
        <v>8</v>
      </c>
      <c r="BE1283" s="0">
        <v>519953</v>
      </c>
      <c r="BF1283" s="0">
        <v>4</v>
      </c>
      <c r="BG1283" s="0" t="s">
        <v>9007</v>
      </c>
      <c r="BI1283" s="0">
        <v>820</v>
      </c>
      <c r="BK1283" s="0" t="s">
        <v>9008</v>
      </c>
    </row>
    <row r="1284">
      <c r="A1284" s="0">
        <v>6167</v>
      </c>
      <c r="C1284" s="0" t="s">
        <v>339</v>
      </c>
      <c r="D1284" s="0" t="s">
        <v>9009</v>
      </c>
      <c r="E1284" s="0" t="s">
        <v>9010</v>
      </c>
      <c r="F1284" s="0">
        <v>2</v>
      </c>
      <c r="G1284" s="0" t="s">
        <v>1590</v>
      </c>
      <c r="H1284" s="0" t="s">
        <v>9011</v>
      </c>
      <c r="I1284" s="0" t="s">
        <v>1284</v>
      </c>
      <c r="T1284" s="0" t="s">
        <v>9012</v>
      </c>
      <c r="X1284" s="0" t="s">
        <v>529</v>
      </c>
      <c r="Y1284" s="0" t="s">
        <v>77</v>
      </c>
      <c r="Z1284" s="0" t="s">
        <v>3973</v>
      </c>
      <c r="AA1284" s="0" t="s">
        <v>101</v>
      </c>
      <c r="AB1284" s="0" t="s">
        <v>531</v>
      </c>
      <c r="AC1284" s="0" t="s">
        <v>571</v>
      </c>
      <c r="AD1284" s="0" t="s">
        <v>1642</v>
      </c>
      <c r="AF1284" s="0" t="s">
        <v>301</v>
      </c>
      <c r="AP1284" s="0" t="s">
        <v>305</v>
      </c>
      <c r="BA1284" s="0">
        <v>553</v>
      </c>
      <c r="BB1284" s="0" t="s">
        <v>232</v>
      </c>
      <c r="BC1284" s="0">
        <v>2</v>
      </c>
      <c r="BD1284" s="0">
        <v>8</v>
      </c>
      <c r="BE1284" s="0">
        <v>519953</v>
      </c>
      <c r="BF1284" s="0">
        <v>2</v>
      </c>
      <c r="BG1284" s="0" t="s">
        <v>9013</v>
      </c>
      <c r="BI1284" s="0">
        <v>1968</v>
      </c>
      <c r="BK1284" s="0" t="s">
        <v>9014</v>
      </c>
    </row>
    <row r="1285">
      <c r="A1285" s="0">
        <v>6054</v>
      </c>
      <c r="B1285" s="0" t="s">
        <v>9015</v>
      </c>
      <c r="C1285" s="0" t="s">
        <v>339</v>
      </c>
      <c r="D1285" s="0" t="s">
        <v>9002</v>
      </c>
      <c r="E1285" s="0" t="s">
        <v>9016</v>
      </c>
      <c r="F1285" s="0">
        <v>2</v>
      </c>
      <c r="G1285" s="0" t="s">
        <v>400</v>
      </c>
      <c r="H1285" s="0" t="s">
        <v>1190</v>
      </c>
      <c r="I1285" s="0" t="s">
        <v>3204</v>
      </c>
      <c r="J1285" s="0" t="s">
        <v>319</v>
      </c>
      <c r="K1285" s="0" t="s">
        <v>398</v>
      </c>
      <c r="L1285" s="0" t="s">
        <v>471</v>
      </c>
      <c r="P1285" s="0" t="s">
        <v>1667</v>
      </c>
      <c r="Q1285" s="0" t="s">
        <v>1686</v>
      </c>
      <c r="R1285" s="0" t="s">
        <v>9004</v>
      </c>
      <c r="T1285" s="0" t="s">
        <v>9017</v>
      </c>
      <c r="U1285" s="0" t="s">
        <v>9018</v>
      </c>
      <c r="X1285" s="0" t="s">
        <v>347</v>
      </c>
      <c r="Y1285" s="0" t="s">
        <v>77</v>
      </c>
      <c r="Z1285" s="0" t="s">
        <v>3973</v>
      </c>
      <c r="AA1285" s="0" t="s">
        <v>101</v>
      </c>
      <c r="AB1285" s="0" t="s">
        <v>531</v>
      </c>
      <c r="AC1285" s="0" t="s">
        <v>571</v>
      </c>
      <c r="AD1285" s="0" t="s">
        <v>1642</v>
      </c>
      <c r="AF1285" s="0" t="s">
        <v>301</v>
      </c>
      <c r="AP1285" s="0" t="s">
        <v>305</v>
      </c>
      <c r="BA1285" s="0">
        <v>553</v>
      </c>
      <c r="BB1285" s="0" t="s">
        <v>232</v>
      </c>
      <c r="BC1285" s="0">
        <v>2</v>
      </c>
      <c r="BD1285" s="0">
        <v>8</v>
      </c>
      <c r="BE1285" s="0">
        <v>519953</v>
      </c>
      <c r="BF1285" s="0">
        <v>4</v>
      </c>
      <c r="BG1285" s="0" t="s">
        <v>9019</v>
      </c>
      <c r="BI1285" s="0">
        <v>427</v>
      </c>
      <c r="BK1285" s="0" t="s">
        <v>9020</v>
      </c>
    </row>
    <row r="1286">
      <c r="A1286" s="0">
        <v>6168</v>
      </c>
      <c r="C1286" s="0" t="s">
        <v>339</v>
      </c>
      <c r="D1286" s="0" t="s">
        <v>9009</v>
      </c>
      <c r="E1286" s="0" t="s">
        <v>9021</v>
      </c>
      <c r="F1286" s="0">
        <v>2</v>
      </c>
      <c r="G1286" s="0" t="s">
        <v>1590</v>
      </c>
      <c r="H1286" s="0" t="s">
        <v>9011</v>
      </c>
      <c r="I1286" s="0" t="s">
        <v>1284</v>
      </c>
      <c r="T1286" s="0" t="s">
        <v>9012</v>
      </c>
      <c r="X1286" s="0" t="s">
        <v>529</v>
      </c>
      <c r="Y1286" s="0" t="s">
        <v>77</v>
      </c>
      <c r="Z1286" s="0" t="s">
        <v>3973</v>
      </c>
      <c r="AA1286" s="0" t="s">
        <v>101</v>
      </c>
      <c r="AB1286" s="0" t="s">
        <v>531</v>
      </c>
      <c r="AC1286" s="0" t="s">
        <v>571</v>
      </c>
      <c r="AD1286" s="0" t="s">
        <v>1642</v>
      </c>
      <c r="AF1286" s="0" t="s">
        <v>301</v>
      </c>
      <c r="AP1286" s="0" t="s">
        <v>305</v>
      </c>
      <c r="BA1286" s="0">
        <v>553</v>
      </c>
      <c r="BB1286" s="0" t="s">
        <v>232</v>
      </c>
      <c r="BC1286" s="0">
        <v>2</v>
      </c>
      <c r="BD1286" s="0">
        <v>8</v>
      </c>
      <c r="BE1286" s="0">
        <v>519953</v>
      </c>
      <c r="BF1286" s="0">
        <v>2</v>
      </c>
      <c r="BG1286" s="0" t="s">
        <v>9022</v>
      </c>
      <c r="BI1286" s="0">
        <v>2196</v>
      </c>
      <c r="BK1286" s="0" t="s">
        <v>9023</v>
      </c>
    </row>
    <row r="1287">
      <c r="A1287" s="0">
        <v>6166</v>
      </c>
      <c r="C1287" s="0" t="s">
        <v>339</v>
      </c>
      <c r="D1287" s="0" t="s">
        <v>9009</v>
      </c>
      <c r="E1287" s="0" t="s">
        <v>9024</v>
      </c>
      <c r="F1287" s="0">
        <v>2</v>
      </c>
      <c r="G1287" s="0" t="s">
        <v>1590</v>
      </c>
      <c r="H1287" s="0" t="s">
        <v>9011</v>
      </c>
      <c r="I1287" s="0" t="s">
        <v>1284</v>
      </c>
      <c r="J1287" s="0" t="s">
        <v>1590</v>
      </c>
      <c r="K1287" s="0" t="s">
        <v>1232</v>
      </c>
      <c r="T1287" s="0" t="s">
        <v>9012</v>
      </c>
      <c r="X1287" s="0" t="s">
        <v>529</v>
      </c>
      <c r="Y1287" s="0" t="s">
        <v>77</v>
      </c>
      <c r="Z1287" s="0" t="s">
        <v>3973</v>
      </c>
      <c r="AA1287" s="0" t="s">
        <v>101</v>
      </c>
      <c r="AB1287" s="0" t="s">
        <v>531</v>
      </c>
      <c r="AC1287" s="0" t="s">
        <v>571</v>
      </c>
      <c r="AD1287" s="0" t="s">
        <v>1642</v>
      </c>
      <c r="AF1287" s="0" t="s">
        <v>301</v>
      </c>
      <c r="AP1287" s="0" t="s">
        <v>305</v>
      </c>
      <c r="BA1287" s="0">
        <v>553</v>
      </c>
      <c r="BB1287" s="0" t="s">
        <v>232</v>
      </c>
      <c r="BC1287" s="0">
        <v>2</v>
      </c>
      <c r="BD1287" s="0">
        <v>8</v>
      </c>
      <c r="BE1287" s="0">
        <v>519953</v>
      </c>
      <c r="BF1287" s="0">
        <v>2</v>
      </c>
      <c r="BG1287" s="0" t="s">
        <v>9025</v>
      </c>
      <c r="BI1287" s="0">
        <v>1725</v>
      </c>
      <c r="BK1287" s="0" t="s">
        <v>9026</v>
      </c>
    </row>
    <row r="1288">
      <c r="A1288" s="0">
        <v>6056</v>
      </c>
      <c r="B1288" s="0" t="s">
        <v>9027</v>
      </c>
      <c r="C1288" s="0" t="s">
        <v>339</v>
      </c>
      <c r="D1288" s="0" t="s">
        <v>9002</v>
      </c>
      <c r="E1288" s="0" t="s">
        <v>9028</v>
      </c>
      <c r="F1288" s="0">
        <v>1</v>
      </c>
      <c r="G1288" s="0" t="s">
        <v>400</v>
      </c>
      <c r="H1288" s="0" t="s">
        <v>1190</v>
      </c>
      <c r="I1288" s="0" t="s">
        <v>3204</v>
      </c>
      <c r="J1288" s="0" t="s">
        <v>319</v>
      </c>
      <c r="K1288" s="0" t="s">
        <v>398</v>
      </c>
      <c r="L1288" s="0" t="s">
        <v>471</v>
      </c>
      <c r="P1288" s="0" t="s">
        <v>1667</v>
      </c>
      <c r="Q1288" s="0" t="s">
        <v>9029</v>
      </c>
      <c r="R1288" s="0" t="s">
        <v>9004</v>
      </c>
      <c r="T1288" s="0" t="s">
        <v>9030</v>
      </c>
      <c r="U1288" s="0" t="s">
        <v>9031</v>
      </c>
      <c r="X1288" s="0" t="s">
        <v>347</v>
      </c>
      <c r="Y1288" s="0" t="s">
        <v>77</v>
      </c>
      <c r="Z1288" s="0" t="s">
        <v>3973</v>
      </c>
      <c r="AA1288" s="0" t="s">
        <v>101</v>
      </c>
      <c r="AB1288" s="0" t="s">
        <v>531</v>
      </c>
      <c r="AC1288" s="0" t="s">
        <v>571</v>
      </c>
      <c r="AD1288" s="0" t="s">
        <v>1642</v>
      </c>
      <c r="AF1288" s="0" t="s">
        <v>301</v>
      </c>
      <c r="AP1288" s="0" t="s">
        <v>305</v>
      </c>
      <c r="BA1288" s="0">
        <v>553</v>
      </c>
      <c r="BB1288" s="0" t="s">
        <v>232</v>
      </c>
      <c r="BC1288" s="0">
        <v>2</v>
      </c>
      <c r="BD1288" s="0">
        <v>8</v>
      </c>
      <c r="BE1288" s="0">
        <v>519953</v>
      </c>
      <c r="BF1288" s="0">
        <v>4</v>
      </c>
      <c r="BG1288" s="0" t="s">
        <v>9032</v>
      </c>
      <c r="BI1288" s="0">
        <v>1149</v>
      </c>
      <c r="BK1288" s="0" t="s">
        <v>9033</v>
      </c>
    </row>
    <row r="1289">
      <c r="A1289" s="0">
        <v>6061</v>
      </c>
      <c r="B1289" s="0" t="s">
        <v>9034</v>
      </c>
      <c r="C1289" s="0" t="s">
        <v>315</v>
      </c>
      <c r="D1289" s="0" t="s">
        <v>8825</v>
      </c>
      <c r="E1289" s="0" t="s">
        <v>9035</v>
      </c>
      <c r="F1289" s="0">
        <v>2</v>
      </c>
      <c r="G1289" s="0" t="s">
        <v>293</v>
      </c>
      <c r="H1289" s="0" t="s">
        <v>294</v>
      </c>
      <c r="I1289" s="0" t="s">
        <v>918</v>
      </c>
      <c r="J1289" s="0" t="s">
        <v>319</v>
      </c>
      <c r="K1289" s="0" t="s">
        <v>8011</v>
      </c>
      <c r="L1289" s="0" t="s">
        <v>9036</v>
      </c>
      <c r="T1289" s="0" t="s">
        <v>9037</v>
      </c>
      <c r="U1289" s="0" t="s">
        <v>9038</v>
      </c>
      <c r="X1289" s="0" t="s">
        <v>347</v>
      </c>
      <c r="Y1289" s="0" t="s">
        <v>222</v>
      </c>
      <c r="Z1289" s="0" t="s">
        <v>9039</v>
      </c>
      <c r="AA1289" s="0" t="s">
        <v>221</v>
      </c>
      <c r="AB1289" s="0" t="s">
        <v>300</v>
      </c>
      <c r="AC1289" s="0" t="s">
        <v>571</v>
      </c>
      <c r="AF1289" s="0" t="s">
        <v>301</v>
      </c>
      <c r="AP1289" s="0" t="s">
        <v>305</v>
      </c>
      <c r="BA1289" s="0">
        <v>554</v>
      </c>
      <c r="BB1289" s="0" t="s">
        <v>232</v>
      </c>
      <c r="BC1289" s="0">
        <v>2</v>
      </c>
      <c r="BD1289" s="0">
        <v>374043</v>
      </c>
      <c r="BE1289" s="0">
        <v>520277</v>
      </c>
      <c r="BF1289" s="0">
        <v>4</v>
      </c>
      <c r="BG1289" s="0" t="s">
        <v>9040</v>
      </c>
      <c r="BI1289" s="0">
        <v>1151</v>
      </c>
      <c r="BK1289" s="0" t="s">
        <v>9041</v>
      </c>
    </row>
    <row r="1290">
      <c r="A1290" s="0">
        <v>6062</v>
      </c>
      <c r="B1290" s="0" t="s">
        <v>9042</v>
      </c>
      <c r="C1290" s="0" t="s">
        <v>315</v>
      </c>
      <c r="D1290" s="0" t="s">
        <v>8825</v>
      </c>
      <c r="E1290" s="0" t="s">
        <v>9043</v>
      </c>
      <c r="F1290" s="0">
        <v>2</v>
      </c>
      <c r="G1290" s="0" t="s">
        <v>293</v>
      </c>
      <c r="H1290" s="0" t="s">
        <v>294</v>
      </c>
      <c r="I1290" s="0" t="s">
        <v>918</v>
      </c>
      <c r="J1290" s="0" t="s">
        <v>319</v>
      </c>
      <c r="K1290" s="0" t="s">
        <v>8011</v>
      </c>
      <c r="L1290" s="0" t="s">
        <v>9044</v>
      </c>
      <c r="T1290" s="0" t="s">
        <v>9045</v>
      </c>
      <c r="U1290" s="0" t="s">
        <v>9046</v>
      </c>
      <c r="X1290" s="0" t="s">
        <v>347</v>
      </c>
      <c r="Y1290" s="0" t="s">
        <v>222</v>
      </c>
      <c r="Z1290" s="0" t="s">
        <v>9039</v>
      </c>
      <c r="AA1290" s="0" t="s">
        <v>221</v>
      </c>
      <c r="AB1290" s="0" t="s">
        <v>300</v>
      </c>
      <c r="AC1290" s="0" t="s">
        <v>571</v>
      </c>
      <c r="AF1290" s="0" t="s">
        <v>301</v>
      </c>
      <c r="AP1290" s="0" t="s">
        <v>305</v>
      </c>
      <c r="BA1290" s="0">
        <v>554</v>
      </c>
      <c r="BB1290" s="0" t="s">
        <v>232</v>
      </c>
      <c r="BC1290" s="0">
        <v>2</v>
      </c>
      <c r="BD1290" s="0">
        <v>374043</v>
      </c>
      <c r="BE1290" s="0">
        <v>520277</v>
      </c>
      <c r="BF1290" s="0">
        <v>4</v>
      </c>
      <c r="BG1290" s="0" t="s">
        <v>9047</v>
      </c>
      <c r="BI1290" s="0">
        <v>1454</v>
      </c>
      <c r="BK1290" s="0" t="s">
        <v>9048</v>
      </c>
    </row>
    <row r="1291">
      <c r="A1291" s="0">
        <v>6060</v>
      </c>
      <c r="B1291" s="0" t="s">
        <v>9049</v>
      </c>
      <c r="C1291" s="0" t="s">
        <v>290</v>
      </c>
      <c r="D1291" s="0" t="s">
        <v>9050</v>
      </c>
      <c r="E1291" s="0" t="s">
        <v>9051</v>
      </c>
      <c r="F1291" s="0">
        <v>2</v>
      </c>
      <c r="G1291" s="0" t="s">
        <v>293</v>
      </c>
      <c r="H1291" s="0" t="s">
        <v>294</v>
      </c>
      <c r="I1291" s="0" t="s">
        <v>9052</v>
      </c>
      <c r="T1291" s="0" t="s">
        <v>9053</v>
      </c>
      <c r="U1291" s="0" t="s">
        <v>9054</v>
      </c>
      <c r="X1291" s="0" t="s">
        <v>347</v>
      </c>
      <c r="Y1291" s="0" t="s">
        <v>222</v>
      </c>
      <c r="Z1291" s="0" t="s">
        <v>9039</v>
      </c>
      <c r="AA1291" s="0" t="s">
        <v>221</v>
      </c>
      <c r="AB1291" s="0" t="s">
        <v>300</v>
      </c>
      <c r="AC1291" s="0" t="s">
        <v>571</v>
      </c>
      <c r="AF1291" s="0" t="s">
        <v>301</v>
      </c>
      <c r="AP1291" s="0" t="s">
        <v>305</v>
      </c>
      <c r="BA1291" s="0">
        <v>554</v>
      </c>
      <c r="BB1291" s="0" t="s">
        <v>232</v>
      </c>
      <c r="BC1291" s="0">
        <v>2</v>
      </c>
      <c r="BD1291" s="0">
        <v>374053</v>
      </c>
      <c r="BE1291" s="0">
        <v>520277</v>
      </c>
      <c r="BF1291" s="0">
        <v>4</v>
      </c>
      <c r="BG1291" s="0" t="s">
        <v>9055</v>
      </c>
      <c r="BI1291" s="0">
        <v>822</v>
      </c>
      <c r="BK1291" s="0" t="s">
        <v>9056</v>
      </c>
    </row>
    <row r="1292">
      <c r="A1292" s="0">
        <v>6064</v>
      </c>
      <c r="B1292" s="0" t="s">
        <v>9057</v>
      </c>
      <c r="C1292" s="0" t="s">
        <v>290</v>
      </c>
      <c r="D1292" s="0" t="s">
        <v>8825</v>
      </c>
      <c r="E1292" s="0" t="s">
        <v>9058</v>
      </c>
      <c r="F1292" s="0">
        <v>2</v>
      </c>
      <c r="G1292" s="0" t="s">
        <v>293</v>
      </c>
      <c r="H1292" s="0" t="s">
        <v>294</v>
      </c>
      <c r="I1292" s="0" t="s">
        <v>3175</v>
      </c>
      <c r="P1292" s="0" t="s">
        <v>323</v>
      </c>
      <c r="Q1292" s="0" t="s">
        <v>323</v>
      </c>
      <c r="R1292" s="0" t="s">
        <v>324</v>
      </c>
      <c r="T1292" s="0" t="s">
        <v>9059</v>
      </c>
      <c r="U1292" s="0" t="s">
        <v>9060</v>
      </c>
      <c r="X1292" s="0" t="s">
        <v>347</v>
      </c>
      <c r="Y1292" s="0" t="s">
        <v>222</v>
      </c>
      <c r="Z1292" s="0" t="s">
        <v>9039</v>
      </c>
      <c r="AA1292" s="0" t="s">
        <v>221</v>
      </c>
      <c r="AB1292" s="0" t="s">
        <v>300</v>
      </c>
      <c r="AC1292" s="0" t="s">
        <v>571</v>
      </c>
      <c r="AF1292" s="0" t="s">
        <v>301</v>
      </c>
      <c r="AP1292" s="0" t="s">
        <v>305</v>
      </c>
      <c r="BA1292" s="0">
        <v>554</v>
      </c>
      <c r="BB1292" s="0" t="s">
        <v>232</v>
      </c>
      <c r="BC1292" s="0">
        <v>2</v>
      </c>
      <c r="BD1292" s="0">
        <v>374053</v>
      </c>
      <c r="BE1292" s="0">
        <v>520277</v>
      </c>
      <c r="BF1292" s="0">
        <v>4</v>
      </c>
      <c r="BG1292" s="0" t="s">
        <v>9061</v>
      </c>
      <c r="BI1292" s="0">
        <v>1964</v>
      </c>
      <c r="BK1292" s="0" t="s">
        <v>9062</v>
      </c>
    </row>
    <row r="1293">
      <c r="A1293" s="0">
        <v>6063</v>
      </c>
      <c r="B1293" s="0" t="s">
        <v>9063</v>
      </c>
      <c r="C1293" s="0" t="s">
        <v>339</v>
      </c>
      <c r="D1293" s="0" t="s">
        <v>8825</v>
      </c>
      <c r="E1293" s="0" t="s">
        <v>9064</v>
      </c>
      <c r="F1293" s="0">
        <v>2</v>
      </c>
      <c r="G1293" s="0" t="s">
        <v>508</v>
      </c>
      <c r="I1293" s="0" t="s">
        <v>1268</v>
      </c>
      <c r="J1293" s="0" t="s">
        <v>400</v>
      </c>
      <c r="L1293" s="0" t="s">
        <v>469</v>
      </c>
      <c r="M1293" s="0" t="s">
        <v>319</v>
      </c>
      <c r="N1293" s="0" t="s">
        <v>523</v>
      </c>
      <c r="O1293" s="0" t="s">
        <v>1268</v>
      </c>
      <c r="P1293" s="0" t="s">
        <v>1667</v>
      </c>
      <c r="R1293" s="0" t="s">
        <v>324</v>
      </c>
      <c r="T1293" s="0" t="s">
        <v>9065</v>
      </c>
      <c r="U1293" s="0" t="s">
        <v>9066</v>
      </c>
      <c r="X1293" s="0" t="s">
        <v>347</v>
      </c>
      <c r="Y1293" s="0" t="s">
        <v>222</v>
      </c>
      <c r="Z1293" s="0" t="s">
        <v>9039</v>
      </c>
      <c r="AA1293" s="0" t="s">
        <v>221</v>
      </c>
      <c r="AB1293" s="0" t="s">
        <v>300</v>
      </c>
      <c r="AC1293" s="0" t="s">
        <v>571</v>
      </c>
      <c r="AF1293" s="0" t="s">
        <v>301</v>
      </c>
      <c r="AP1293" s="0" t="s">
        <v>305</v>
      </c>
      <c r="BA1293" s="0">
        <v>554</v>
      </c>
      <c r="BB1293" s="0" t="s">
        <v>232</v>
      </c>
      <c r="BC1293" s="0">
        <v>2</v>
      </c>
      <c r="BD1293" s="0">
        <v>8</v>
      </c>
      <c r="BE1293" s="0">
        <v>520277</v>
      </c>
      <c r="BF1293" s="0">
        <v>4</v>
      </c>
      <c r="BG1293" s="0" t="s">
        <v>9067</v>
      </c>
      <c r="BI1293" s="0">
        <v>1720</v>
      </c>
      <c r="BK1293" s="0" t="s">
        <v>9068</v>
      </c>
    </row>
    <row r="1294">
      <c r="A1294" s="0">
        <v>6106</v>
      </c>
      <c r="C1294" s="0" t="s">
        <v>339</v>
      </c>
      <c r="D1294" s="0" t="s">
        <v>8825</v>
      </c>
      <c r="E1294" s="0" t="s">
        <v>9069</v>
      </c>
      <c r="F1294" s="0">
        <v>5</v>
      </c>
      <c r="G1294" s="0" t="s">
        <v>319</v>
      </c>
      <c r="H1294" s="0" t="s">
        <v>1997</v>
      </c>
      <c r="I1294" s="0" t="s">
        <v>1268</v>
      </c>
      <c r="T1294" s="0" t="s">
        <v>9070</v>
      </c>
      <c r="X1294" s="0" t="s">
        <v>1116</v>
      </c>
      <c r="Y1294" s="0" t="s">
        <v>222</v>
      </c>
      <c r="Z1294" s="0" t="s">
        <v>9039</v>
      </c>
      <c r="AA1294" s="0" t="s">
        <v>221</v>
      </c>
      <c r="AB1294" s="0" t="s">
        <v>300</v>
      </c>
      <c r="AC1294" s="0" t="s">
        <v>571</v>
      </c>
      <c r="AF1294" s="0" t="s">
        <v>301</v>
      </c>
      <c r="AP1294" s="0" t="s">
        <v>305</v>
      </c>
      <c r="BA1294" s="0">
        <v>554</v>
      </c>
      <c r="BB1294" s="0" t="s">
        <v>232</v>
      </c>
      <c r="BC1294" s="0">
        <v>2</v>
      </c>
      <c r="BD1294" s="0">
        <v>8</v>
      </c>
      <c r="BE1294" s="0">
        <v>520277</v>
      </c>
      <c r="BF1294" s="0">
        <v>1</v>
      </c>
      <c r="BG1294" s="0" t="s">
        <v>9071</v>
      </c>
      <c r="BI1294" s="0">
        <v>2773</v>
      </c>
      <c r="BK1294" s="0" t="s">
        <v>9072</v>
      </c>
    </row>
    <row r="1295">
      <c r="A1295" s="0">
        <v>6104</v>
      </c>
      <c r="C1295" s="0" t="s">
        <v>315</v>
      </c>
      <c r="D1295" s="0" t="s">
        <v>8825</v>
      </c>
      <c r="E1295" s="0" t="s">
        <v>9073</v>
      </c>
      <c r="F1295" s="0">
        <v>5</v>
      </c>
      <c r="G1295" s="0" t="s">
        <v>319</v>
      </c>
      <c r="H1295" s="0" t="s">
        <v>9074</v>
      </c>
      <c r="I1295" s="0" t="s">
        <v>469</v>
      </c>
      <c r="T1295" s="0" t="s">
        <v>9070</v>
      </c>
      <c r="X1295" s="0" t="s">
        <v>1116</v>
      </c>
      <c r="Y1295" s="0" t="s">
        <v>222</v>
      </c>
      <c r="Z1295" s="0" t="s">
        <v>9039</v>
      </c>
      <c r="AA1295" s="0" t="s">
        <v>221</v>
      </c>
      <c r="AB1295" s="0" t="s">
        <v>300</v>
      </c>
      <c r="AC1295" s="0" t="s">
        <v>571</v>
      </c>
      <c r="AF1295" s="0" t="s">
        <v>301</v>
      </c>
      <c r="AP1295" s="0" t="s">
        <v>305</v>
      </c>
      <c r="BA1295" s="0">
        <v>554</v>
      </c>
      <c r="BB1295" s="0" t="s">
        <v>232</v>
      </c>
      <c r="BC1295" s="0">
        <v>2</v>
      </c>
      <c r="BD1295" s="0">
        <v>374043</v>
      </c>
      <c r="BE1295" s="0">
        <v>520277</v>
      </c>
      <c r="BF1295" s="0">
        <v>1</v>
      </c>
      <c r="BG1295" s="0" t="s">
        <v>9075</v>
      </c>
      <c r="BI1295" s="0">
        <v>2403</v>
      </c>
      <c r="BK1295" s="0" t="s">
        <v>9076</v>
      </c>
    </row>
    <row r="1296">
      <c r="A1296" s="0">
        <v>6105</v>
      </c>
      <c r="C1296" s="0" t="s">
        <v>315</v>
      </c>
      <c r="D1296" s="0" t="s">
        <v>8825</v>
      </c>
      <c r="E1296" s="0" t="s">
        <v>9077</v>
      </c>
      <c r="F1296" s="0">
        <v>5</v>
      </c>
      <c r="G1296" s="0" t="s">
        <v>319</v>
      </c>
      <c r="H1296" s="0" t="s">
        <v>9074</v>
      </c>
      <c r="I1296" s="0" t="s">
        <v>9036</v>
      </c>
      <c r="T1296" s="0" t="s">
        <v>9070</v>
      </c>
      <c r="X1296" s="0" t="s">
        <v>1116</v>
      </c>
      <c r="Y1296" s="0" t="s">
        <v>222</v>
      </c>
      <c r="Z1296" s="0" t="s">
        <v>9039</v>
      </c>
      <c r="AA1296" s="0" t="s">
        <v>221</v>
      </c>
      <c r="AB1296" s="0" t="s">
        <v>300</v>
      </c>
      <c r="AC1296" s="0" t="s">
        <v>571</v>
      </c>
      <c r="AF1296" s="0" t="s">
        <v>301</v>
      </c>
      <c r="AP1296" s="0" t="s">
        <v>305</v>
      </c>
      <c r="BA1296" s="0">
        <v>554</v>
      </c>
      <c r="BB1296" s="0" t="s">
        <v>232</v>
      </c>
      <c r="BC1296" s="0">
        <v>2</v>
      </c>
      <c r="BD1296" s="0">
        <v>374043</v>
      </c>
      <c r="BE1296" s="0">
        <v>520277</v>
      </c>
      <c r="BF1296" s="0">
        <v>1</v>
      </c>
      <c r="BG1296" s="0" t="s">
        <v>9078</v>
      </c>
      <c r="BI1296" s="0">
        <v>2598</v>
      </c>
      <c r="BK1296" s="0" t="s">
        <v>9079</v>
      </c>
    </row>
    <row r="1297">
      <c r="A1297" s="0">
        <v>6103</v>
      </c>
      <c r="C1297" s="0" t="s">
        <v>315</v>
      </c>
      <c r="D1297" s="0" t="s">
        <v>8825</v>
      </c>
      <c r="E1297" s="0" t="s">
        <v>9080</v>
      </c>
      <c r="F1297" s="0">
        <v>5</v>
      </c>
      <c r="G1297" s="0" t="s">
        <v>319</v>
      </c>
      <c r="H1297" s="0" t="s">
        <v>9074</v>
      </c>
      <c r="I1297" s="0" t="s">
        <v>497</v>
      </c>
      <c r="T1297" s="0" t="s">
        <v>9070</v>
      </c>
      <c r="X1297" s="0" t="s">
        <v>1116</v>
      </c>
      <c r="Y1297" s="0" t="s">
        <v>222</v>
      </c>
      <c r="Z1297" s="0" t="s">
        <v>9039</v>
      </c>
      <c r="AA1297" s="0" t="s">
        <v>221</v>
      </c>
      <c r="AB1297" s="0" t="s">
        <v>300</v>
      </c>
      <c r="AC1297" s="0" t="s">
        <v>571</v>
      </c>
      <c r="AF1297" s="0" t="s">
        <v>301</v>
      </c>
      <c r="AP1297" s="0" t="s">
        <v>305</v>
      </c>
      <c r="BA1297" s="0">
        <v>554</v>
      </c>
      <c r="BB1297" s="0" t="s">
        <v>232</v>
      </c>
      <c r="BC1297" s="0">
        <v>2</v>
      </c>
      <c r="BD1297" s="0">
        <v>374043</v>
      </c>
      <c r="BE1297" s="0">
        <v>520277</v>
      </c>
      <c r="BF1297" s="0">
        <v>1</v>
      </c>
      <c r="BG1297" s="0" t="s">
        <v>9081</v>
      </c>
      <c r="BI1297" s="0">
        <v>2192</v>
      </c>
      <c r="BK1297" s="0" t="s">
        <v>9082</v>
      </c>
    </row>
    <row r="1298">
      <c r="A1298" s="0">
        <v>6059</v>
      </c>
      <c r="B1298" s="0" t="s">
        <v>9083</v>
      </c>
      <c r="C1298" s="0" t="s">
        <v>290</v>
      </c>
      <c r="D1298" s="0" t="s">
        <v>9050</v>
      </c>
      <c r="E1298" s="0" t="s">
        <v>9084</v>
      </c>
      <c r="F1298" s="0">
        <v>2</v>
      </c>
      <c r="G1298" s="0" t="s">
        <v>293</v>
      </c>
      <c r="H1298" s="0" t="s">
        <v>294</v>
      </c>
      <c r="I1298" s="0" t="s">
        <v>9052</v>
      </c>
      <c r="T1298" s="0" t="s">
        <v>9085</v>
      </c>
      <c r="U1298" s="0" t="s">
        <v>9086</v>
      </c>
      <c r="X1298" s="0" t="s">
        <v>347</v>
      </c>
      <c r="Y1298" s="0" t="s">
        <v>222</v>
      </c>
      <c r="Z1298" s="0" t="s">
        <v>9039</v>
      </c>
      <c r="AA1298" s="0" t="s">
        <v>221</v>
      </c>
      <c r="AB1298" s="0" t="s">
        <v>300</v>
      </c>
      <c r="AC1298" s="0" t="s">
        <v>571</v>
      </c>
      <c r="AF1298" s="0" t="s">
        <v>301</v>
      </c>
      <c r="AP1298" s="0" t="s">
        <v>305</v>
      </c>
      <c r="BA1298" s="0">
        <v>554</v>
      </c>
      <c r="BB1298" s="0" t="s">
        <v>232</v>
      </c>
      <c r="BC1298" s="0">
        <v>2</v>
      </c>
      <c r="BD1298" s="0">
        <v>374053</v>
      </c>
      <c r="BE1298" s="0">
        <v>520277</v>
      </c>
      <c r="BF1298" s="0">
        <v>4</v>
      </c>
      <c r="BG1298" s="0" t="s">
        <v>9087</v>
      </c>
      <c r="BI1298" s="0">
        <v>429</v>
      </c>
      <c r="BK1298" s="0" t="s">
        <v>9088</v>
      </c>
    </row>
    <row r="1299">
      <c r="A1299" s="0">
        <v>6057</v>
      </c>
      <c r="B1299" s="0" t="s">
        <v>9089</v>
      </c>
      <c r="C1299" s="0" t="s">
        <v>4325</v>
      </c>
      <c r="D1299" s="0" t="s">
        <v>9090</v>
      </c>
      <c r="E1299" s="0" t="s">
        <v>5307</v>
      </c>
      <c r="F1299" s="0">
        <v>1</v>
      </c>
      <c r="G1299" s="0" t="s">
        <v>319</v>
      </c>
      <c r="H1299" s="0" t="s">
        <v>658</v>
      </c>
      <c r="I1299" s="0" t="s">
        <v>948</v>
      </c>
      <c r="J1299" s="0" t="s">
        <v>594</v>
      </c>
      <c r="P1299" s="0" t="s">
        <v>323</v>
      </c>
      <c r="Q1299" s="0" t="s">
        <v>323</v>
      </c>
      <c r="R1299" s="0" t="s">
        <v>661</v>
      </c>
      <c r="U1299" s="0" t="s">
        <v>9091</v>
      </c>
      <c r="W1299" s="0" t="s">
        <v>9090</v>
      </c>
      <c r="X1299" s="0" t="s">
        <v>347</v>
      </c>
      <c r="Y1299" s="0" t="s">
        <v>104</v>
      </c>
      <c r="Z1299" s="0" t="s">
        <v>2464</v>
      </c>
      <c r="AA1299" s="0" t="s">
        <v>109</v>
      </c>
      <c r="AB1299" s="0" t="s">
        <v>531</v>
      </c>
      <c r="AF1299" s="0" t="s">
        <v>301</v>
      </c>
      <c r="AP1299" s="0" t="s">
        <v>305</v>
      </c>
      <c r="BA1299" s="0">
        <v>555</v>
      </c>
      <c r="BB1299" s="0" t="s">
        <v>232</v>
      </c>
      <c r="BC1299" s="0">
        <v>2</v>
      </c>
      <c r="BD1299" s="0">
        <v>374056</v>
      </c>
      <c r="BE1299" s="0">
        <v>58611</v>
      </c>
      <c r="BF1299" s="0">
        <v>4</v>
      </c>
      <c r="BG1299" s="0" t="s">
        <v>9092</v>
      </c>
      <c r="BI1299" s="0">
        <v>426</v>
      </c>
      <c r="BK1299" s="0" t="s">
        <v>9093</v>
      </c>
    </row>
    <row r="1300">
      <c r="A1300" s="0">
        <v>6058</v>
      </c>
      <c r="B1300" s="0" t="s">
        <v>9094</v>
      </c>
      <c r="C1300" s="0" t="s">
        <v>4325</v>
      </c>
      <c r="D1300" s="0" t="s">
        <v>9090</v>
      </c>
      <c r="E1300" s="0" t="s">
        <v>5312</v>
      </c>
      <c r="F1300" s="0">
        <v>1</v>
      </c>
      <c r="G1300" s="0" t="s">
        <v>319</v>
      </c>
      <c r="H1300" s="0" t="s">
        <v>658</v>
      </c>
      <c r="I1300" s="0" t="s">
        <v>948</v>
      </c>
      <c r="J1300" s="0" t="s">
        <v>594</v>
      </c>
      <c r="P1300" s="0" t="s">
        <v>323</v>
      </c>
      <c r="Q1300" s="0" t="s">
        <v>323</v>
      </c>
      <c r="R1300" s="0" t="s">
        <v>661</v>
      </c>
      <c r="U1300" s="0" t="s">
        <v>9095</v>
      </c>
      <c r="W1300" s="0" t="s">
        <v>9090</v>
      </c>
      <c r="X1300" s="0" t="s">
        <v>347</v>
      </c>
      <c r="Y1300" s="0" t="s">
        <v>104</v>
      </c>
      <c r="Z1300" s="0" t="s">
        <v>2464</v>
      </c>
      <c r="AA1300" s="0" t="s">
        <v>109</v>
      </c>
      <c r="AB1300" s="0" t="s">
        <v>531</v>
      </c>
      <c r="AF1300" s="0" t="s">
        <v>301</v>
      </c>
      <c r="AP1300" s="0" t="s">
        <v>305</v>
      </c>
      <c r="BA1300" s="0">
        <v>555</v>
      </c>
      <c r="BB1300" s="0" t="s">
        <v>232</v>
      </c>
      <c r="BC1300" s="0">
        <v>2</v>
      </c>
      <c r="BD1300" s="0">
        <v>374056</v>
      </c>
      <c r="BE1300" s="0">
        <v>58611</v>
      </c>
      <c r="BF1300" s="0">
        <v>4</v>
      </c>
      <c r="BG1300" s="0" t="s">
        <v>9096</v>
      </c>
      <c r="BI1300" s="0">
        <v>819</v>
      </c>
      <c r="BK1300" s="0" t="s">
        <v>9097</v>
      </c>
    </row>
    <row r="1301">
      <c r="A1301" s="0">
        <v>6069</v>
      </c>
      <c r="B1301" s="0" t="s">
        <v>9098</v>
      </c>
      <c r="C1301" s="0" t="s">
        <v>290</v>
      </c>
      <c r="D1301" s="0" t="s">
        <v>9099</v>
      </c>
      <c r="E1301" s="0" t="s">
        <v>9100</v>
      </c>
      <c r="F1301" s="0">
        <v>2</v>
      </c>
      <c r="G1301" s="0" t="s">
        <v>555</v>
      </c>
      <c r="H1301" s="0" t="s">
        <v>1020</v>
      </c>
      <c r="I1301" s="0" t="s">
        <v>1189</v>
      </c>
      <c r="J1301" s="0" t="s">
        <v>293</v>
      </c>
      <c r="K1301" s="0" t="s">
        <v>294</v>
      </c>
      <c r="L1301" s="0" t="s">
        <v>295</v>
      </c>
      <c r="M1301" s="0" t="s">
        <v>594</v>
      </c>
      <c r="O1301" s="0" t="s">
        <v>1189</v>
      </c>
      <c r="P1301" s="0" t="s">
        <v>323</v>
      </c>
      <c r="Q1301" s="0" t="s">
        <v>343</v>
      </c>
      <c r="R1301" s="0" t="s">
        <v>6591</v>
      </c>
      <c r="T1301" s="0" t="s">
        <v>9101</v>
      </c>
      <c r="U1301" s="0" t="s">
        <v>9102</v>
      </c>
      <c r="W1301" s="0" t="s">
        <v>8073</v>
      </c>
      <c r="X1301" s="0" t="s">
        <v>347</v>
      </c>
      <c r="Y1301" s="0" t="s">
        <v>75</v>
      </c>
      <c r="Z1301" s="0" t="s">
        <v>1195</v>
      </c>
      <c r="AA1301" s="0" t="s">
        <v>98</v>
      </c>
      <c r="AB1301" s="0" t="s">
        <v>3740</v>
      </c>
      <c r="AE1301" s="0" t="s">
        <v>9103</v>
      </c>
      <c r="AF1301" s="0" t="s">
        <v>301</v>
      </c>
      <c r="AP1301" s="0" t="s">
        <v>305</v>
      </c>
      <c r="BA1301" s="0">
        <v>556</v>
      </c>
      <c r="BB1301" s="0" t="s">
        <v>232</v>
      </c>
      <c r="BC1301" s="0">
        <v>2</v>
      </c>
      <c r="BD1301" s="0">
        <v>374053</v>
      </c>
      <c r="BE1301" s="0">
        <v>90875</v>
      </c>
      <c r="BF1301" s="0">
        <v>4</v>
      </c>
      <c r="BG1301" s="0" t="s">
        <v>9104</v>
      </c>
      <c r="BI1301" s="0">
        <v>1156</v>
      </c>
      <c r="BK1301" s="0" t="s">
        <v>9105</v>
      </c>
    </row>
    <row r="1302">
      <c r="A1302" s="0">
        <v>6071</v>
      </c>
      <c r="B1302" s="0" t="s">
        <v>9106</v>
      </c>
      <c r="C1302" s="0" t="s">
        <v>290</v>
      </c>
      <c r="D1302" s="0" t="s">
        <v>9099</v>
      </c>
      <c r="E1302" s="0" t="s">
        <v>9107</v>
      </c>
      <c r="F1302" s="0">
        <v>2</v>
      </c>
      <c r="G1302" s="0" t="s">
        <v>555</v>
      </c>
      <c r="H1302" s="0" t="s">
        <v>1020</v>
      </c>
      <c r="I1302" s="0" t="s">
        <v>1189</v>
      </c>
      <c r="J1302" s="0" t="s">
        <v>293</v>
      </c>
      <c r="K1302" s="0" t="s">
        <v>294</v>
      </c>
      <c r="L1302" s="0" t="s">
        <v>295</v>
      </c>
      <c r="M1302" s="0" t="s">
        <v>594</v>
      </c>
      <c r="O1302" s="0" t="s">
        <v>1189</v>
      </c>
      <c r="P1302" s="0" t="s">
        <v>323</v>
      </c>
      <c r="Q1302" s="0" t="s">
        <v>323</v>
      </c>
      <c r="R1302" s="0" t="s">
        <v>6591</v>
      </c>
      <c r="T1302" s="0" t="s">
        <v>9108</v>
      </c>
      <c r="W1302" s="0" t="s">
        <v>8073</v>
      </c>
      <c r="X1302" s="0" t="s">
        <v>529</v>
      </c>
      <c r="Y1302" s="0" t="s">
        <v>75</v>
      </c>
      <c r="Z1302" s="0" t="s">
        <v>1195</v>
      </c>
      <c r="AA1302" s="0" t="s">
        <v>98</v>
      </c>
      <c r="AB1302" s="0" t="s">
        <v>3740</v>
      </c>
      <c r="AE1302" s="0" t="s">
        <v>9103</v>
      </c>
      <c r="AF1302" s="0" t="s">
        <v>301</v>
      </c>
      <c r="AP1302" s="0" t="s">
        <v>305</v>
      </c>
      <c r="BA1302" s="0">
        <v>556</v>
      </c>
      <c r="BB1302" s="0" t="s">
        <v>232</v>
      </c>
      <c r="BC1302" s="0">
        <v>2</v>
      </c>
      <c r="BD1302" s="0">
        <v>374053</v>
      </c>
      <c r="BE1302" s="0">
        <v>90875</v>
      </c>
      <c r="BF1302" s="0">
        <v>2</v>
      </c>
      <c r="BG1302" s="0" t="s">
        <v>9109</v>
      </c>
      <c r="BI1302" s="0">
        <v>1726</v>
      </c>
      <c r="BK1302" s="0" t="s">
        <v>9110</v>
      </c>
    </row>
    <row r="1303">
      <c r="A1303" s="0">
        <v>6070</v>
      </c>
      <c r="B1303" s="0" t="s">
        <v>9111</v>
      </c>
      <c r="C1303" s="0" t="s">
        <v>290</v>
      </c>
      <c r="D1303" s="0" t="s">
        <v>9099</v>
      </c>
      <c r="E1303" s="0" t="s">
        <v>9112</v>
      </c>
      <c r="F1303" s="0">
        <v>2</v>
      </c>
      <c r="G1303" s="0" t="s">
        <v>555</v>
      </c>
      <c r="H1303" s="0" t="s">
        <v>1020</v>
      </c>
      <c r="I1303" s="0" t="s">
        <v>1189</v>
      </c>
      <c r="J1303" s="0" t="s">
        <v>293</v>
      </c>
      <c r="K1303" s="0" t="s">
        <v>294</v>
      </c>
      <c r="L1303" s="0" t="s">
        <v>295</v>
      </c>
      <c r="M1303" s="0" t="s">
        <v>594</v>
      </c>
      <c r="O1303" s="0" t="s">
        <v>1189</v>
      </c>
      <c r="P1303" s="0" t="s">
        <v>323</v>
      </c>
      <c r="Q1303" s="0" t="s">
        <v>323</v>
      </c>
      <c r="R1303" s="0" t="s">
        <v>6591</v>
      </c>
      <c r="T1303" s="0" t="s">
        <v>9113</v>
      </c>
      <c r="U1303" s="0" t="s">
        <v>9114</v>
      </c>
      <c r="W1303" s="0" t="s">
        <v>8073</v>
      </c>
      <c r="X1303" s="0" t="s">
        <v>347</v>
      </c>
      <c r="Y1303" s="0" t="s">
        <v>75</v>
      </c>
      <c r="Z1303" s="0" t="s">
        <v>1195</v>
      </c>
      <c r="AA1303" s="0" t="s">
        <v>98</v>
      </c>
      <c r="AB1303" s="0" t="s">
        <v>3740</v>
      </c>
      <c r="AE1303" s="0" t="s">
        <v>9103</v>
      </c>
      <c r="AF1303" s="0" t="s">
        <v>301</v>
      </c>
      <c r="AP1303" s="0" t="s">
        <v>305</v>
      </c>
      <c r="BA1303" s="0">
        <v>556</v>
      </c>
      <c r="BB1303" s="0" t="s">
        <v>232</v>
      </c>
      <c r="BC1303" s="0">
        <v>2</v>
      </c>
      <c r="BD1303" s="0">
        <v>374053</v>
      </c>
      <c r="BE1303" s="0">
        <v>90875</v>
      </c>
      <c r="BF1303" s="0">
        <v>4</v>
      </c>
      <c r="BG1303" s="0" t="s">
        <v>9115</v>
      </c>
      <c r="BI1303" s="0">
        <v>1459</v>
      </c>
      <c r="BK1303" s="0" t="s">
        <v>9116</v>
      </c>
    </row>
    <row r="1304">
      <c r="A1304" s="0">
        <v>6072</v>
      </c>
      <c r="B1304" s="0" t="s">
        <v>9117</v>
      </c>
      <c r="C1304" s="0" t="s">
        <v>290</v>
      </c>
      <c r="D1304" s="0" t="s">
        <v>9099</v>
      </c>
      <c r="E1304" s="0" t="s">
        <v>9118</v>
      </c>
      <c r="F1304" s="0">
        <v>3</v>
      </c>
      <c r="G1304" s="0" t="s">
        <v>555</v>
      </c>
      <c r="H1304" s="0" t="s">
        <v>1020</v>
      </c>
      <c r="I1304" s="0" t="s">
        <v>1189</v>
      </c>
      <c r="J1304" s="0" t="s">
        <v>594</v>
      </c>
      <c r="L1304" s="0" t="s">
        <v>1189</v>
      </c>
      <c r="M1304" s="0" t="s">
        <v>9119</v>
      </c>
      <c r="P1304" s="0" t="s">
        <v>343</v>
      </c>
      <c r="Q1304" s="0" t="s">
        <v>343</v>
      </c>
      <c r="T1304" s="0" t="s">
        <v>9120</v>
      </c>
      <c r="U1304" s="0" t="s">
        <v>9121</v>
      </c>
      <c r="W1304" s="0" t="s">
        <v>8073</v>
      </c>
      <c r="X1304" s="0" t="s">
        <v>529</v>
      </c>
      <c r="Y1304" s="0" t="s">
        <v>75</v>
      </c>
      <c r="Z1304" s="0" t="s">
        <v>1195</v>
      </c>
      <c r="AA1304" s="0" t="s">
        <v>98</v>
      </c>
      <c r="AB1304" s="0" t="s">
        <v>3740</v>
      </c>
      <c r="AE1304" s="0" t="s">
        <v>9103</v>
      </c>
      <c r="AF1304" s="0" t="s">
        <v>301</v>
      </c>
      <c r="AP1304" s="0" t="s">
        <v>305</v>
      </c>
      <c r="BA1304" s="0">
        <v>556</v>
      </c>
      <c r="BB1304" s="0" t="s">
        <v>232</v>
      </c>
      <c r="BC1304" s="0">
        <v>2</v>
      </c>
      <c r="BD1304" s="0">
        <v>374053</v>
      </c>
      <c r="BE1304" s="0">
        <v>90875</v>
      </c>
      <c r="BF1304" s="0">
        <v>2</v>
      </c>
      <c r="BG1304" s="0" t="s">
        <v>9122</v>
      </c>
      <c r="BI1304" s="0">
        <v>1970</v>
      </c>
      <c r="BK1304" s="0" t="s">
        <v>9123</v>
      </c>
    </row>
    <row r="1305">
      <c r="A1305" s="0">
        <v>6264</v>
      </c>
      <c r="B1305" s="0" t="s">
        <v>9124</v>
      </c>
      <c r="C1305" s="0" t="s">
        <v>315</v>
      </c>
      <c r="D1305" s="0" t="s">
        <v>9125</v>
      </c>
      <c r="E1305" s="0" t="s">
        <v>9126</v>
      </c>
      <c r="F1305" s="0">
        <v>2</v>
      </c>
      <c r="G1305" s="0" t="s">
        <v>293</v>
      </c>
      <c r="H1305" s="0" t="s">
        <v>294</v>
      </c>
      <c r="I1305" s="0" t="s">
        <v>295</v>
      </c>
      <c r="P1305" s="0" t="s">
        <v>323</v>
      </c>
      <c r="Q1305" s="0" t="s">
        <v>343</v>
      </c>
      <c r="R1305" s="0" t="s">
        <v>6619</v>
      </c>
      <c r="T1305" s="0" t="s">
        <v>9127</v>
      </c>
      <c r="U1305" s="0" t="s">
        <v>9128</v>
      </c>
      <c r="W1305" s="0" t="s">
        <v>8073</v>
      </c>
      <c r="X1305" s="0" t="s">
        <v>529</v>
      </c>
      <c r="Y1305" s="0" t="s">
        <v>75</v>
      </c>
      <c r="Z1305" s="0" t="s">
        <v>1195</v>
      </c>
      <c r="AA1305" s="0" t="s">
        <v>98</v>
      </c>
      <c r="AB1305" s="0" t="s">
        <v>3740</v>
      </c>
      <c r="AE1305" s="0" t="s">
        <v>9103</v>
      </c>
      <c r="AF1305" s="0" t="s">
        <v>301</v>
      </c>
      <c r="AP1305" s="0" t="s">
        <v>305</v>
      </c>
      <c r="BA1305" s="0">
        <v>556</v>
      </c>
      <c r="BB1305" s="0" t="s">
        <v>232</v>
      </c>
      <c r="BC1305" s="0">
        <v>2</v>
      </c>
      <c r="BD1305" s="0">
        <v>374043</v>
      </c>
      <c r="BE1305" s="0">
        <v>90875</v>
      </c>
      <c r="BF1305" s="0">
        <v>2</v>
      </c>
      <c r="BG1305" s="0" t="s">
        <v>9129</v>
      </c>
      <c r="BI1305" s="0">
        <v>4419</v>
      </c>
      <c r="BK1305" s="0" t="s">
        <v>9130</v>
      </c>
    </row>
    <row r="1306">
      <c r="A1306" s="0">
        <v>6076</v>
      </c>
      <c r="B1306" s="0" t="s">
        <v>9131</v>
      </c>
      <c r="C1306" s="0" t="s">
        <v>579</v>
      </c>
      <c r="D1306" s="0" t="s">
        <v>9099</v>
      </c>
      <c r="E1306" s="0" t="s">
        <v>9132</v>
      </c>
      <c r="F1306" s="0">
        <v>2</v>
      </c>
      <c r="G1306" s="0" t="s">
        <v>293</v>
      </c>
      <c r="H1306" s="0" t="s">
        <v>294</v>
      </c>
      <c r="I1306" s="0" t="s">
        <v>295</v>
      </c>
      <c r="J1306" s="0" t="s">
        <v>581</v>
      </c>
      <c r="L1306" s="0" t="s">
        <v>583</v>
      </c>
      <c r="P1306" s="0" t="s">
        <v>343</v>
      </c>
      <c r="Q1306" s="0" t="s">
        <v>343</v>
      </c>
      <c r="T1306" s="0" t="s">
        <v>9133</v>
      </c>
      <c r="U1306" s="0" t="s">
        <v>9134</v>
      </c>
      <c r="W1306" s="0" t="s">
        <v>8073</v>
      </c>
      <c r="X1306" s="0" t="s">
        <v>347</v>
      </c>
      <c r="Y1306" s="0" t="s">
        <v>75</v>
      </c>
      <c r="Z1306" s="0" t="s">
        <v>1195</v>
      </c>
      <c r="AA1306" s="0" t="s">
        <v>98</v>
      </c>
      <c r="AB1306" s="0" t="s">
        <v>3740</v>
      </c>
      <c r="AE1306" s="0" t="s">
        <v>9103</v>
      </c>
      <c r="AF1306" s="0" t="s">
        <v>301</v>
      </c>
      <c r="AP1306" s="0" t="s">
        <v>305</v>
      </c>
      <c r="BA1306" s="0">
        <v>556</v>
      </c>
      <c r="BB1306" s="0" t="s">
        <v>232</v>
      </c>
      <c r="BC1306" s="0">
        <v>2</v>
      </c>
      <c r="BD1306" s="0">
        <v>374046</v>
      </c>
      <c r="BE1306" s="0">
        <v>90875</v>
      </c>
      <c r="BF1306" s="0">
        <v>4</v>
      </c>
      <c r="BG1306" s="0" t="s">
        <v>9135</v>
      </c>
      <c r="BI1306" s="0">
        <v>2777</v>
      </c>
      <c r="BK1306" s="0" t="s">
        <v>9136</v>
      </c>
    </row>
    <row r="1307">
      <c r="A1307" s="0">
        <v>6077</v>
      </c>
      <c r="B1307" s="0" t="s">
        <v>9137</v>
      </c>
      <c r="C1307" s="0" t="s">
        <v>656</v>
      </c>
      <c r="D1307" s="0" t="s">
        <v>9099</v>
      </c>
      <c r="E1307" s="0" t="s">
        <v>9138</v>
      </c>
      <c r="F1307" s="0">
        <v>2</v>
      </c>
      <c r="G1307" s="0" t="s">
        <v>293</v>
      </c>
      <c r="H1307" s="0" t="s">
        <v>294</v>
      </c>
      <c r="I1307" s="0" t="s">
        <v>295</v>
      </c>
      <c r="P1307" s="0" t="s">
        <v>323</v>
      </c>
      <c r="Q1307" s="0" t="s">
        <v>323</v>
      </c>
      <c r="R1307" s="0" t="s">
        <v>4585</v>
      </c>
      <c r="T1307" s="0" t="s">
        <v>9139</v>
      </c>
      <c r="U1307" s="0" t="s">
        <v>9140</v>
      </c>
      <c r="W1307" s="0" t="s">
        <v>8073</v>
      </c>
      <c r="X1307" s="0" t="s">
        <v>347</v>
      </c>
      <c r="Y1307" s="0" t="s">
        <v>75</v>
      </c>
      <c r="Z1307" s="0" t="s">
        <v>1195</v>
      </c>
      <c r="AA1307" s="0" t="s">
        <v>98</v>
      </c>
      <c r="AB1307" s="0" t="s">
        <v>3740</v>
      </c>
      <c r="AE1307" s="0" t="s">
        <v>9103</v>
      </c>
      <c r="AF1307" s="0" t="s">
        <v>301</v>
      </c>
      <c r="AP1307" s="0" t="s">
        <v>305</v>
      </c>
      <c r="BA1307" s="0">
        <v>556</v>
      </c>
      <c r="BB1307" s="0" t="s">
        <v>232</v>
      </c>
      <c r="BC1307" s="0">
        <v>2</v>
      </c>
      <c r="BD1307" s="0">
        <v>10</v>
      </c>
      <c r="BE1307" s="0">
        <v>90875</v>
      </c>
      <c r="BF1307" s="0">
        <v>4</v>
      </c>
      <c r="BG1307" s="0" t="s">
        <v>9141</v>
      </c>
      <c r="BI1307" s="0">
        <v>2947</v>
      </c>
      <c r="BK1307" s="0" t="s">
        <v>9142</v>
      </c>
    </row>
    <row r="1308">
      <c r="A1308" s="0">
        <v>6204</v>
      </c>
      <c r="B1308" s="0" t="s">
        <v>9143</v>
      </c>
      <c r="C1308" s="0" t="s">
        <v>579</v>
      </c>
      <c r="D1308" s="0" t="s">
        <v>9144</v>
      </c>
      <c r="E1308" s="0" t="s">
        <v>9145</v>
      </c>
      <c r="F1308" s="0">
        <v>1</v>
      </c>
      <c r="G1308" s="0" t="s">
        <v>581</v>
      </c>
      <c r="H1308" s="0" t="s">
        <v>581</v>
      </c>
      <c r="I1308" s="0" t="s">
        <v>583</v>
      </c>
      <c r="J1308" s="0" t="s">
        <v>293</v>
      </c>
      <c r="K1308" s="0" t="s">
        <v>294</v>
      </c>
      <c r="L1308" s="0" t="s">
        <v>295</v>
      </c>
      <c r="P1308" s="0" t="s">
        <v>343</v>
      </c>
      <c r="Q1308" s="0" t="s">
        <v>343</v>
      </c>
      <c r="T1308" s="0" t="s">
        <v>9146</v>
      </c>
      <c r="W1308" s="0" t="s">
        <v>8073</v>
      </c>
      <c r="X1308" s="0" t="s">
        <v>529</v>
      </c>
      <c r="Y1308" s="0" t="s">
        <v>75</v>
      </c>
      <c r="Z1308" s="0" t="s">
        <v>1195</v>
      </c>
      <c r="AA1308" s="0" t="s">
        <v>98</v>
      </c>
      <c r="AB1308" s="0" t="s">
        <v>3740</v>
      </c>
      <c r="AE1308" s="0" t="s">
        <v>9103</v>
      </c>
      <c r="AF1308" s="0" t="s">
        <v>301</v>
      </c>
      <c r="AP1308" s="0" t="s">
        <v>305</v>
      </c>
      <c r="BA1308" s="0">
        <v>556</v>
      </c>
      <c r="BB1308" s="0" t="s">
        <v>232</v>
      </c>
      <c r="BC1308" s="0">
        <v>2</v>
      </c>
      <c r="BD1308" s="0">
        <v>374046</v>
      </c>
      <c r="BE1308" s="0">
        <v>90875</v>
      </c>
      <c r="BF1308" s="0">
        <v>2</v>
      </c>
      <c r="BG1308" s="0" t="s">
        <v>9147</v>
      </c>
      <c r="BI1308" s="0">
        <v>4361</v>
      </c>
      <c r="BK1308" s="0" t="s">
        <v>9148</v>
      </c>
    </row>
    <row r="1309">
      <c r="A1309" s="0">
        <v>6081</v>
      </c>
      <c r="B1309" s="0" t="s">
        <v>9149</v>
      </c>
      <c r="C1309" s="0" t="s">
        <v>656</v>
      </c>
      <c r="D1309" s="0" t="s">
        <v>9099</v>
      </c>
      <c r="E1309" s="0" t="s">
        <v>9150</v>
      </c>
      <c r="F1309" s="0">
        <v>2</v>
      </c>
      <c r="G1309" s="0" t="s">
        <v>319</v>
      </c>
      <c r="H1309" s="0" t="s">
        <v>483</v>
      </c>
      <c r="I1309" s="0" t="s">
        <v>6635</v>
      </c>
      <c r="J1309" s="0" t="s">
        <v>293</v>
      </c>
      <c r="K1309" s="0" t="s">
        <v>294</v>
      </c>
      <c r="L1309" s="0" t="s">
        <v>295</v>
      </c>
      <c r="P1309" s="0" t="s">
        <v>343</v>
      </c>
      <c r="Q1309" s="0" t="s">
        <v>343</v>
      </c>
      <c r="T1309" s="0" t="s">
        <v>9151</v>
      </c>
      <c r="U1309" s="0" t="s">
        <v>9152</v>
      </c>
      <c r="W1309" s="0" t="s">
        <v>8073</v>
      </c>
      <c r="X1309" s="0" t="s">
        <v>347</v>
      </c>
      <c r="Y1309" s="0" t="s">
        <v>75</v>
      </c>
      <c r="Z1309" s="0" t="s">
        <v>1195</v>
      </c>
      <c r="AA1309" s="0" t="s">
        <v>98</v>
      </c>
      <c r="AB1309" s="0" t="s">
        <v>3740</v>
      </c>
      <c r="AE1309" s="0" t="s">
        <v>9103</v>
      </c>
      <c r="AF1309" s="0" t="s">
        <v>301</v>
      </c>
      <c r="AP1309" s="0" t="s">
        <v>305</v>
      </c>
      <c r="BA1309" s="0">
        <v>556</v>
      </c>
      <c r="BB1309" s="0" t="s">
        <v>232</v>
      </c>
      <c r="BC1309" s="0">
        <v>2</v>
      </c>
      <c r="BD1309" s="0">
        <v>10</v>
      </c>
      <c r="BE1309" s="0">
        <v>90875</v>
      </c>
      <c r="BF1309" s="0">
        <v>4</v>
      </c>
      <c r="BG1309" s="0" t="s">
        <v>9153</v>
      </c>
      <c r="BI1309" s="0">
        <v>3519</v>
      </c>
      <c r="BK1309" s="0" t="s">
        <v>9154</v>
      </c>
    </row>
    <row r="1310">
      <c r="A1310" s="0">
        <v>6082</v>
      </c>
      <c r="B1310" s="0" t="s">
        <v>9155</v>
      </c>
      <c r="C1310" s="0" t="s">
        <v>656</v>
      </c>
      <c r="D1310" s="0" t="s">
        <v>9099</v>
      </c>
      <c r="E1310" s="0" t="s">
        <v>9156</v>
      </c>
      <c r="F1310" s="0">
        <v>2</v>
      </c>
      <c r="G1310" s="0" t="s">
        <v>319</v>
      </c>
      <c r="H1310" s="0" t="s">
        <v>1292</v>
      </c>
      <c r="I1310" s="0" t="s">
        <v>1293</v>
      </c>
      <c r="J1310" s="0" t="s">
        <v>293</v>
      </c>
      <c r="K1310" s="0" t="s">
        <v>294</v>
      </c>
      <c r="L1310" s="0" t="s">
        <v>918</v>
      </c>
      <c r="P1310" s="0" t="s">
        <v>323</v>
      </c>
      <c r="Q1310" s="0" t="s">
        <v>323</v>
      </c>
      <c r="R1310" s="0" t="s">
        <v>1791</v>
      </c>
      <c r="T1310" s="0" t="s">
        <v>9157</v>
      </c>
      <c r="U1310" s="0" t="s">
        <v>9158</v>
      </c>
      <c r="W1310" s="0" t="s">
        <v>8073</v>
      </c>
      <c r="X1310" s="0" t="s">
        <v>347</v>
      </c>
      <c r="Y1310" s="0" t="s">
        <v>75</v>
      </c>
      <c r="Z1310" s="0" t="s">
        <v>1195</v>
      </c>
      <c r="AA1310" s="0" t="s">
        <v>98</v>
      </c>
      <c r="AB1310" s="0" t="s">
        <v>3740</v>
      </c>
      <c r="AE1310" s="0" t="s">
        <v>9103</v>
      </c>
      <c r="AF1310" s="0" t="s">
        <v>301</v>
      </c>
      <c r="AP1310" s="0" t="s">
        <v>305</v>
      </c>
      <c r="BA1310" s="0">
        <v>556</v>
      </c>
      <c r="BB1310" s="0" t="s">
        <v>232</v>
      </c>
      <c r="BC1310" s="0">
        <v>2</v>
      </c>
      <c r="BD1310" s="0">
        <v>10</v>
      </c>
      <c r="BE1310" s="0">
        <v>90875</v>
      </c>
      <c r="BF1310" s="0">
        <v>4</v>
      </c>
      <c r="BG1310" s="0" t="s">
        <v>9159</v>
      </c>
      <c r="BI1310" s="0">
        <v>3635</v>
      </c>
      <c r="BK1310" s="0" t="s">
        <v>9160</v>
      </c>
    </row>
    <row r="1311">
      <c r="A1311" s="0">
        <v>6068</v>
      </c>
      <c r="B1311" s="0" t="s">
        <v>9161</v>
      </c>
      <c r="C1311" s="0" t="s">
        <v>315</v>
      </c>
      <c r="D1311" s="0" t="s">
        <v>9099</v>
      </c>
      <c r="E1311" s="0" t="s">
        <v>9162</v>
      </c>
      <c r="F1311" s="0">
        <v>2</v>
      </c>
      <c r="G1311" s="0" t="s">
        <v>555</v>
      </c>
      <c r="H1311" s="0" t="s">
        <v>1112</v>
      </c>
      <c r="I1311" s="0" t="s">
        <v>4748</v>
      </c>
      <c r="J1311" s="0" t="s">
        <v>293</v>
      </c>
      <c r="K1311" s="0" t="s">
        <v>294</v>
      </c>
      <c r="L1311" s="0" t="s">
        <v>295</v>
      </c>
      <c r="M1311" s="0" t="s">
        <v>594</v>
      </c>
      <c r="O1311" s="0" t="s">
        <v>9163</v>
      </c>
      <c r="P1311" s="0" t="s">
        <v>323</v>
      </c>
      <c r="Q1311" s="0" t="s">
        <v>323</v>
      </c>
      <c r="R1311" s="0" t="s">
        <v>1572</v>
      </c>
      <c r="T1311" s="0" t="s">
        <v>9164</v>
      </c>
      <c r="U1311" s="0" t="s">
        <v>9165</v>
      </c>
      <c r="W1311" s="0" t="s">
        <v>8073</v>
      </c>
      <c r="X1311" s="0" t="s">
        <v>347</v>
      </c>
      <c r="Y1311" s="0" t="s">
        <v>75</v>
      </c>
      <c r="Z1311" s="0" t="s">
        <v>1195</v>
      </c>
      <c r="AA1311" s="0" t="s">
        <v>98</v>
      </c>
      <c r="AB1311" s="0" t="s">
        <v>3740</v>
      </c>
      <c r="AE1311" s="0" t="s">
        <v>9103</v>
      </c>
      <c r="AF1311" s="0" t="s">
        <v>301</v>
      </c>
      <c r="AP1311" s="0" t="s">
        <v>305</v>
      </c>
      <c r="BA1311" s="0">
        <v>556</v>
      </c>
      <c r="BB1311" s="0" t="s">
        <v>232</v>
      </c>
      <c r="BC1311" s="0">
        <v>2</v>
      </c>
      <c r="BD1311" s="0">
        <v>374043</v>
      </c>
      <c r="BE1311" s="0">
        <v>90875</v>
      </c>
      <c r="BF1311" s="0">
        <v>4</v>
      </c>
      <c r="BG1311" s="0" t="s">
        <v>9166</v>
      </c>
      <c r="BI1311" s="0">
        <v>828</v>
      </c>
      <c r="BK1311" s="0" t="s">
        <v>9167</v>
      </c>
    </row>
    <row r="1312">
      <c r="A1312" s="0">
        <v>6067</v>
      </c>
      <c r="B1312" s="0" t="s">
        <v>9168</v>
      </c>
      <c r="C1312" s="0" t="s">
        <v>315</v>
      </c>
      <c r="D1312" s="0" t="s">
        <v>9099</v>
      </c>
      <c r="E1312" s="0" t="s">
        <v>9169</v>
      </c>
      <c r="F1312" s="0">
        <v>2</v>
      </c>
      <c r="G1312" s="0" t="s">
        <v>555</v>
      </c>
      <c r="H1312" s="0" t="s">
        <v>1112</v>
      </c>
      <c r="I1312" s="0" t="s">
        <v>4748</v>
      </c>
      <c r="J1312" s="0" t="s">
        <v>293</v>
      </c>
      <c r="K1312" s="0" t="s">
        <v>294</v>
      </c>
      <c r="L1312" s="0" t="s">
        <v>295</v>
      </c>
      <c r="M1312" s="0" t="s">
        <v>594</v>
      </c>
      <c r="O1312" s="0" t="s">
        <v>9163</v>
      </c>
      <c r="P1312" s="0" t="s">
        <v>323</v>
      </c>
      <c r="Q1312" s="0" t="s">
        <v>323</v>
      </c>
      <c r="R1312" s="0" t="s">
        <v>1572</v>
      </c>
      <c r="T1312" s="0" t="s">
        <v>9170</v>
      </c>
      <c r="U1312" s="0" t="s">
        <v>9171</v>
      </c>
      <c r="W1312" s="0" t="s">
        <v>8073</v>
      </c>
      <c r="X1312" s="0" t="s">
        <v>347</v>
      </c>
      <c r="Y1312" s="0" t="s">
        <v>75</v>
      </c>
      <c r="Z1312" s="0" t="s">
        <v>1195</v>
      </c>
      <c r="AA1312" s="0" t="s">
        <v>98</v>
      </c>
      <c r="AB1312" s="0" t="s">
        <v>3740</v>
      </c>
      <c r="AE1312" s="0" t="s">
        <v>9103</v>
      </c>
      <c r="AF1312" s="0" t="s">
        <v>301</v>
      </c>
      <c r="AP1312" s="0" t="s">
        <v>305</v>
      </c>
      <c r="BA1312" s="0">
        <v>556</v>
      </c>
      <c r="BB1312" s="0" t="s">
        <v>232</v>
      </c>
      <c r="BC1312" s="0">
        <v>2</v>
      </c>
      <c r="BD1312" s="0">
        <v>374043</v>
      </c>
      <c r="BE1312" s="0">
        <v>90875</v>
      </c>
      <c r="BF1312" s="0">
        <v>4</v>
      </c>
      <c r="BG1312" s="0" t="s">
        <v>9172</v>
      </c>
      <c r="BI1312" s="0">
        <v>435</v>
      </c>
      <c r="BK1312" s="0" t="s">
        <v>9173</v>
      </c>
    </row>
    <row r="1313">
      <c r="A1313" s="0">
        <v>6149</v>
      </c>
      <c r="B1313" s="0" t="s">
        <v>9174</v>
      </c>
      <c r="C1313" s="0" t="s">
        <v>315</v>
      </c>
      <c r="D1313" s="0" t="s">
        <v>9099</v>
      </c>
      <c r="E1313" s="0" t="s">
        <v>9175</v>
      </c>
      <c r="F1313" s="0">
        <v>2</v>
      </c>
      <c r="G1313" s="0" t="s">
        <v>555</v>
      </c>
      <c r="H1313" s="0" t="s">
        <v>1112</v>
      </c>
      <c r="I1313" s="0" t="s">
        <v>4748</v>
      </c>
      <c r="J1313" s="0" t="s">
        <v>293</v>
      </c>
      <c r="K1313" s="0" t="s">
        <v>294</v>
      </c>
      <c r="L1313" s="0" t="s">
        <v>1268</v>
      </c>
      <c r="M1313" s="0" t="s">
        <v>594</v>
      </c>
      <c r="O1313" s="0" t="s">
        <v>9163</v>
      </c>
      <c r="P1313" s="0" t="s">
        <v>323</v>
      </c>
      <c r="Q1313" s="0" t="s">
        <v>6658</v>
      </c>
      <c r="R1313" s="0" t="s">
        <v>1541</v>
      </c>
      <c r="T1313" s="0" t="s">
        <v>9176</v>
      </c>
      <c r="U1313" s="0" t="s">
        <v>9177</v>
      </c>
      <c r="W1313" s="0" t="s">
        <v>8073</v>
      </c>
      <c r="X1313" s="0" t="s">
        <v>347</v>
      </c>
      <c r="Y1313" s="0" t="s">
        <v>75</v>
      </c>
      <c r="Z1313" s="0" t="s">
        <v>1195</v>
      </c>
      <c r="AA1313" s="0" t="s">
        <v>98</v>
      </c>
      <c r="AB1313" s="0" t="s">
        <v>3740</v>
      </c>
      <c r="AE1313" s="0" t="s">
        <v>9103</v>
      </c>
      <c r="AF1313" s="0" t="s">
        <v>301</v>
      </c>
      <c r="AP1313" s="0" t="s">
        <v>305</v>
      </c>
      <c r="BA1313" s="0">
        <v>556</v>
      </c>
      <c r="BB1313" s="0" t="s">
        <v>232</v>
      </c>
      <c r="BC1313" s="0">
        <v>2</v>
      </c>
      <c r="BD1313" s="0">
        <v>374043</v>
      </c>
      <c r="BE1313" s="0">
        <v>90875</v>
      </c>
      <c r="BF1313" s="0">
        <v>4</v>
      </c>
      <c r="BG1313" s="0" t="s">
        <v>9178</v>
      </c>
      <c r="BI1313" s="0">
        <v>4166</v>
      </c>
      <c r="BK1313" s="0" t="s">
        <v>9179</v>
      </c>
    </row>
    <row r="1314">
      <c r="A1314" s="0">
        <v>6147</v>
      </c>
      <c r="B1314" s="0" t="s">
        <v>9180</v>
      </c>
      <c r="C1314" s="0" t="s">
        <v>315</v>
      </c>
      <c r="D1314" s="0" t="s">
        <v>9099</v>
      </c>
      <c r="E1314" s="0" t="s">
        <v>9181</v>
      </c>
      <c r="F1314" s="0">
        <v>4</v>
      </c>
      <c r="G1314" s="0" t="s">
        <v>2635</v>
      </c>
      <c r="H1314" s="0" t="s">
        <v>2635</v>
      </c>
      <c r="I1314" s="0" t="s">
        <v>497</v>
      </c>
      <c r="J1314" s="0" t="s">
        <v>293</v>
      </c>
      <c r="L1314" s="0" t="s">
        <v>918</v>
      </c>
      <c r="P1314" s="0" t="s">
        <v>343</v>
      </c>
      <c r="Q1314" s="0" t="s">
        <v>343</v>
      </c>
      <c r="R1314" s="0" t="s">
        <v>343</v>
      </c>
      <c r="T1314" s="0" t="s">
        <v>9182</v>
      </c>
      <c r="W1314" s="0" t="s">
        <v>8073</v>
      </c>
      <c r="X1314" s="0" t="s">
        <v>529</v>
      </c>
      <c r="Y1314" s="0" t="s">
        <v>75</v>
      </c>
      <c r="Z1314" s="0" t="s">
        <v>1195</v>
      </c>
      <c r="AA1314" s="0" t="s">
        <v>98</v>
      </c>
      <c r="AB1314" s="0" t="s">
        <v>3740</v>
      </c>
      <c r="AE1314" s="0" t="s">
        <v>9103</v>
      </c>
      <c r="AF1314" s="0" t="s">
        <v>301</v>
      </c>
      <c r="AP1314" s="0" t="s">
        <v>305</v>
      </c>
      <c r="BA1314" s="0">
        <v>556</v>
      </c>
      <c r="BB1314" s="0" t="s">
        <v>232</v>
      </c>
      <c r="BC1314" s="0">
        <v>2</v>
      </c>
      <c r="BD1314" s="0">
        <v>374043</v>
      </c>
      <c r="BE1314" s="0">
        <v>90875</v>
      </c>
      <c r="BF1314" s="0">
        <v>2</v>
      </c>
      <c r="BG1314" s="0" t="s">
        <v>9183</v>
      </c>
      <c r="BI1314" s="0">
        <v>4095</v>
      </c>
      <c r="BK1314" s="0" t="s">
        <v>9184</v>
      </c>
    </row>
    <row r="1315">
      <c r="A1315" s="0">
        <v>6073</v>
      </c>
      <c r="B1315" s="0" t="s">
        <v>9185</v>
      </c>
      <c r="C1315" s="0" t="s">
        <v>315</v>
      </c>
      <c r="D1315" s="0" t="s">
        <v>9099</v>
      </c>
      <c r="E1315" s="0" t="s">
        <v>9186</v>
      </c>
      <c r="F1315" s="0">
        <v>2</v>
      </c>
      <c r="G1315" s="0" t="s">
        <v>319</v>
      </c>
      <c r="H1315" s="0" t="s">
        <v>398</v>
      </c>
      <c r="I1315" s="0" t="s">
        <v>471</v>
      </c>
      <c r="J1315" s="0" t="s">
        <v>594</v>
      </c>
      <c r="K1315" s="0" t="s">
        <v>1190</v>
      </c>
      <c r="L1315" s="0" t="s">
        <v>469</v>
      </c>
      <c r="P1315" s="0" t="s">
        <v>323</v>
      </c>
      <c r="Q1315" s="0" t="s">
        <v>323</v>
      </c>
      <c r="R1315" s="0" t="s">
        <v>1791</v>
      </c>
      <c r="T1315" s="0" t="s">
        <v>9187</v>
      </c>
      <c r="U1315" s="0" t="s">
        <v>9188</v>
      </c>
      <c r="W1315" s="0" t="s">
        <v>8073</v>
      </c>
      <c r="X1315" s="0" t="s">
        <v>347</v>
      </c>
      <c r="Y1315" s="0" t="s">
        <v>75</v>
      </c>
      <c r="Z1315" s="0" t="s">
        <v>1195</v>
      </c>
      <c r="AA1315" s="0" t="s">
        <v>98</v>
      </c>
      <c r="AB1315" s="0" t="s">
        <v>3740</v>
      </c>
      <c r="AE1315" s="0" t="s">
        <v>9103</v>
      </c>
      <c r="AF1315" s="0" t="s">
        <v>301</v>
      </c>
      <c r="AP1315" s="0" t="s">
        <v>305</v>
      </c>
      <c r="BA1315" s="0">
        <v>556</v>
      </c>
      <c r="BB1315" s="0" t="s">
        <v>232</v>
      </c>
      <c r="BC1315" s="0">
        <v>2</v>
      </c>
      <c r="BD1315" s="0">
        <v>374043</v>
      </c>
      <c r="BE1315" s="0">
        <v>90875</v>
      </c>
      <c r="BF1315" s="0">
        <v>4</v>
      </c>
      <c r="BG1315" s="0" t="s">
        <v>9189</v>
      </c>
      <c r="BI1315" s="0">
        <v>2198</v>
      </c>
      <c r="BK1315" s="0" t="s">
        <v>9190</v>
      </c>
    </row>
    <row r="1316">
      <c r="A1316" s="0">
        <v>6074</v>
      </c>
      <c r="B1316" s="0" t="s">
        <v>9191</v>
      </c>
      <c r="C1316" s="0" t="s">
        <v>315</v>
      </c>
      <c r="D1316" s="0" t="s">
        <v>9099</v>
      </c>
      <c r="E1316" s="0" t="s">
        <v>9192</v>
      </c>
      <c r="F1316" s="0">
        <v>2</v>
      </c>
      <c r="G1316" s="0" t="s">
        <v>319</v>
      </c>
      <c r="H1316" s="0" t="s">
        <v>398</v>
      </c>
      <c r="I1316" s="0" t="s">
        <v>471</v>
      </c>
      <c r="J1316" s="0" t="s">
        <v>508</v>
      </c>
      <c r="K1316" s="0" t="s">
        <v>1190</v>
      </c>
      <c r="L1316" s="0" t="s">
        <v>469</v>
      </c>
      <c r="P1316" s="0" t="s">
        <v>343</v>
      </c>
      <c r="Q1316" s="0" t="s">
        <v>343</v>
      </c>
      <c r="R1316" s="0" t="s">
        <v>1791</v>
      </c>
      <c r="T1316" s="0" t="s">
        <v>9193</v>
      </c>
      <c r="U1316" s="0" t="s">
        <v>9194</v>
      </c>
      <c r="W1316" s="0" t="s">
        <v>8073</v>
      </c>
      <c r="X1316" s="0" t="s">
        <v>347</v>
      </c>
      <c r="Y1316" s="0" t="s">
        <v>75</v>
      </c>
      <c r="Z1316" s="0" t="s">
        <v>1195</v>
      </c>
      <c r="AA1316" s="0" t="s">
        <v>98</v>
      </c>
      <c r="AB1316" s="0" t="s">
        <v>3740</v>
      </c>
      <c r="AE1316" s="0" t="s">
        <v>9103</v>
      </c>
      <c r="AF1316" s="0" t="s">
        <v>301</v>
      </c>
      <c r="AP1316" s="0" t="s">
        <v>305</v>
      </c>
      <c r="BA1316" s="0">
        <v>556</v>
      </c>
      <c r="BB1316" s="0" t="s">
        <v>232</v>
      </c>
      <c r="BC1316" s="0">
        <v>2</v>
      </c>
      <c r="BD1316" s="0">
        <v>374043</v>
      </c>
      <c r="BE1316" s="0">
        <v>90875</v>
      </c>
      <c r="BF1316" s="0">
        <v>4</v>
      </c>
      <c r="BG1316" s="0" t="s">
        <v>9195</v>
      </c>
      <c r="BI1316" s="0">
        <v>2407</v>
      </c>
      <c r="BK1316" s="0" t="s">
        <v>9196</v>
      </c>
    </row>
    <row r="1317">
      <c r="A1317" s="0">
        <v>6080</v>
      </c>
      <c r="B1317" s="0" t="s">
        <v>9197</v>
      </c>
      <c r="C1317" s="0" t="s">
        <v>315</v>
      </c>
      <c r="D1317" s="0" t="s">
        <v>9099</v>
      </c>
      <c r="E1317" s="0" t="s">
        <v>9198</v>
      </c>
      <c r="F1317" s="0">
        <v>3</v>
      </c>
      <c r="G1317" s="0" t="s">
        <v>555</v>
      </c>
      <c r="H1317" s="0" t="s">
        <v>1112</v>
      </c>
      <c r="I1317" s="0" t="s">
        <v>1204</v>
      </c>
      <c r="J1317" s="0" t="s">
        <v>293</v>
      </c>
      <c r="K1317" s="0" t="s">
        <v>294</v>
      </c>
      <c r="L1317" s="0" t="s">
        <v>918</v>
      </c>
      <c r="M1317" s="0" t="s">
        <v>594</v>
      </c>
      <c r="O1317" s="0" t="s">
        <v>1204</v>
      </c>
      <c r="P1317" s="0" t="s">
        <v>323</v>
      </c>
      <c r="Q1317" s="0" t="s">
        <v>343</v>
      </c>
      <c r="R1317" s="0" t="s">
        <v>6612</v>
      </c>
      <c r="T1317" s="0" t="s">
        <v>9199</v>
      </c>
      <c r="U1317" s="0" t="s">
        <v>9200</v>
      </c>
      <c r="W1317" s="0" t="s">
        <v>8073</v>
      </c>
      <c r="X1317" s="0" t="s">
        <v>347</v>
      </c>
      <c r="Y1317" s="0" t="s">
        <v>75</v>
      </c>
      <c r="Z1317" s="0" t="s">
        <v>1195</v>
      </c>
      <c r="AA1317" s="0" t="s">
        <v>98</v>
      </c>
      <c r="AB1317" s="0" t="s">
        <v>3740</v>
      </c>
      <c r="AE1317" s="0" t="s">
        <v>9103</v>
      </c>
      <c r="AF1317" s="0" t="s">
        <v>301</v>
      </c>
      <c r="AP1317" s="0" t="s">
        <v>305</v>
      </c>
      <c r="BA1317" s="0">
        <v>556</v>
      </c>
      <c r="BB1317" s="0" t="s">
        <v>232</v>
      </c>
      <c r="BC1317" s="0">
        <v>2</v>
      </c>
      <c r="BD1317" s="0">
        <v>374043</v>
      </c>
      <c r="BE1317" s="0">
        <v>90875</v>
      </c>
      <c r="BF1317" s="0">
        <v>4</v>
      </c>
      <c r="BG1317" s="0" t="s">
        <v>9201</v>
      </c>
      <c r="BI1317" s="0">
        <v>3398</v>
      </c>
      <c r="BK1317" s="0" t="s">
        <v>9202</v>
      </c>
    </row>
    <row r="1318">
      <c r="A1318" s="0">
        <v>6079</v>
      </c>
      <c r="B1318" s="0" t="s">
        <v>9203</v>
      </c>
      <c r="C1318" s="0" t="s">
        <v>656</v>
      </c>
      <c r="D1318" s="0" t="s">
        <v>9099</v>
      </c>
      <c r="E1318" s="0" t="s">
        <v>9204</v>
      </c>
      <c r="F1318" s="0">
        <v>2</v>
      </c>
      <c r="G1318" s="0" t="s">
        <v>555</v>
      </c>
      <c r="H1318" s="0" t="s">
        <v>1112</v>
      </c>
      <c r="I1318" s="0" t="s">
        <v>1204</v>
      </c>
      <c r="J1318" s="0" t="s">
        <v>293</v>
      </c>
      <c r="K1318" s="0" t="s">
        <v>294</v>
      </c>
      <c r="L1318" s="0" t="s">
        <v>918</v>
      </c>
      <c r="M1318" s="0" t="s">
        <v>594</v>
      </c>
      <c r="O1318" s="0" t="s">
        <v>1204</v>
      </c>
      <c r="P1318" s="0" t="s">
        <v>323</v>
      </c>
      <c r="Q1318" s="0" t="s">
        <v>343</v>
      </c>
      <c r="R1318" s="0" t="s">
        <v>6612</v>
      </c>
      <c r="T1318" s="0" t="s">
        <v>9205</v>
      </c>
      <c r="U1318" s="0" t="s">
        <v>9206</v>
      </c>
      <c r="W1318" s="0" t="s">
        <v>8073</v>
      </c>
      <c r="X1318" s="0" t="s">
        <v>529</v>
      </c>
      <c r="Y1318" s="0" t="s">
        <v>75</v>
      </c>
      <c r="Z1318" s="0" t="s">
        <v>1195</v>
      </c>
      <c r="AA1318" s="0" t="s">
        <v>98</v>
      </c>
      <c r="AB1318" s="0" t="s">
        <v>3740</v>
      </c>
      <c r="AE1318" s="0" t="s">
        <v>9103</v>
      </c>
      <c r="AF1318" s="0" t="s">
        <v>301</v>
      </c>
      <c r="AP1318" s="0" t="s">
        <v>305</v>
      </c>
      <c r="BA1318" s="0">
        <v>556</v>
      </c>
      <c r="BB1318" s="0" t="s">
        <v>232</v>
      </c>
      <c r="BC1318" s="0">
        <v>2</v>
      </c>
      <c r="BD1318" s="0">
        <v>10</v>
      </c>
      <c r="BE1318" s="0">
        <v>90875</v>
      </c>
      <c r="BF1318" s="0">
        <v>2</v>
      </c>
      <c r="BG1318" s="0" t="s">
        <v>9207</v>
      </c>
      <c r="BI1318" s="0">
        <v>3264</v>
      </c>
      <c r="BK1318" s="0" t="s">
        <v>9208</v>
      </c>
    </row>
    <row r="1319">
      <c r="A1319" s="0">
        <v>6078</v>
      </c>
      <c r="B1319" s="0" t="s">
        <v>9209</v>
      </c>
      <c r="C1319" s="0" t="s">
        <v>656</v>
      </c>
      <c r="D1319" s="0" t="s">
        <v>9099</v>
      </c>
      <c r="E1319" s="0" t="s">
        <v>9210</v>
      </c>
      <c r="F1319" s="0">
        <v>2</v>
      </c>
      <c r="G1319" s="0" t="s">
        <v>555</v>
      </c>
      <c r="H1319" s="0" t="s">
        <v>1112</v>
      </c>
      <c r="I1319" s="0" t="s">
        <v>1204</v>
      </c>
      <c r="J1319" s="0" t="s">
        <v>293</v>
      </c>
      <c r="K1319" s="0" t="s">
        <v>294</v>
      </c>
      <c r="L1319" s="0" t="s">
        <v>918</v>
      </c>
      <c r="M1319" s="0" t="s">
        <v>594</v>
      </c>
      <c r="O1319" s="0" t="s">
        <v>1204</v>
      </c>
      <c r="P1319" s="0" t="s">
        <v>323</v>
      </c>
      <c r="Q1319" s="0" t="s">
        <v>343</v>
      </c>
      <c r="R1319" s="0" t="s">
        <v>6612</v>
      </c>
      <c r="T1319" s="0" t="s">
        <v>9211</v>
      </c>
      <c r="U1319" s="0" t="s">
        <v>9212</v>
      </c>
      <c r="W1319" s="0" t="s">
        <v>8073</v>
      </c>
      <c r="X1319" s="0" t="s">
        <v>347</v>
      </c>
      <c r="Y1319" s="0" t="s">
        <v>75</v>
      </c>
      <c r="Z1319" s="0" t="s">
        <v>1195</v>
      </c>
      <c r="AA1319" s="0" t="s">
        <v>98</v>
      </c>
      <c r="AB1319" s="0" t="s">
        <v>3740</v>
      </c>
      <c r="AE1319" s="0" t="s">
        <v>9103</v>
      </c>
      <c r="AF1319" s="0" t="s">
        <v>301</v>
      </c>
      <c r="AP1319" s="0" t="s">
        <v>305</v>
      </c>
      <c r="BA1319" s="0">
        <v>556</v>
      </c>
      <c r="BB1319" s="0" t="s">
        <v>232</v>
      </c>
      <c r="BC1319" s="0">
        <v>2</v>
      </c>
      <c r="BD1319" s="0">
        <v>10</v>
      </c>
      <c r="BE1319" s="0">
        <v>90875</v>
      </c>
      <c r="BF1319" s="0">
        <v>4</v>
      </c>
      <c r="BG1319" s="0" t="s">
        <v>9213</v>
      </c>
      <c r="BI1319" s="0">
        <v>3113</v>
      </c>
      <c r="BK1319" s="0" t="s">
        <v>9214</v>
      </c>
    </row>
    <row r="1320">
      <c r="A1320" s="0">
        <v>6083</v>
      </c>
      <c r="B1320" s="0" t="s">
        <v>9215</v>
      </c>
      <c r="C1320" s="0" t="s">
        <v>656</v>
      </c>
      <c r="D1320" s="0" t="s">
        <v>9099</v>
      </c>
      <c r="E1320" s="0" t="s">
        <v>9216</v>
      </c>
      <c r="F1320" s="0">
        <v>3</v>
      </c>
      <c r="G1320" s="0" t="s">
        <v>293</v>
      </c>
      <c r="H1320" s="0" t="s">
        <v>294</v>
      </c>
      <c r="I1320" s="0" t="s">
        <v>295</v>
      </c>
      <c r="P1320" s="0" t="s">
        <v>323</v>
      </c>
      <c r="Q1320" s="0" t="s">
        <v>323</v>
      </c>
      <c r="R1320" s="0" t="s">
        <v>1142</v>
      </c>
      <c r="T1320" s="0" t="s">
        <v>9217</v>
      </c>
      <c r="U1320" s="0" t="s">
        <v>9218</v>
      </c>
      <c r="W1320" s="0" t="s">
        <v>8073</v>
      </c>
      <c r="X1320" s="0" t="s">
        <v>347</v>
      </c>
      <c r="Y1320" s="0" t="s">
        <v>75</v>
      </c>
      <c r="Z1320" s="0" t="s">
        <v>1195</v>
      </c>
      <c r="AA1320" s="0" t="s">
        <v>98</v>
      </c>
      <c r="AB1320" s="0" t="s">
        <v>3740</v>
      </c>
      <c r="AE1320" s="0" t="s">
        <v>9103</v>
      </c>
      <c r="AF1320" s="0" t="s">
        <v>301</v>
      </c>
      <c r="AP1320" s="0" t="s">
        <v>305</v>
      </c>
      <c r="BA1320" s="0">
        <v>556</v>
      </c>
      <c r="BB1320" s="0" t="s">
        <v>232</v>
      </c>
      <c r="BC1320" s="0">
        <v>2</v>
      </c>
      <c r="BD1320" s="0">
        <v>10</v>
      </c>
      <c r="BE1320" s="0">
        <v>90875</v>
      </c>
      <c r="BF1320" s="0">
        <v>4</v>
      </c>
      <c r="BG1320" s="0" t="s">
        <v>9219</v>
      </c>
      <c r="BI1320" s="0">
        <v>3741</v>
      </c>
      <c r="BK1320" s="0" t="s">
        <v>9220</v>
      </c>
    </row>
    <row r="1321">
      <c r="A1321" s="0">
        <v>6145</v>
      </c>
      <c r="B1321" s="0" t="s">
        <v>9221</v>
      </c>
      <c r="C1321" s="0" t="s">
        <v>315</v>
      </c>
      <c r="D1321" s="0" t="s">
        <v>9099</v>
      </c>
      <c r="E1321" s="0" t="s">
        <v>9222</v>
      </c>
      <c r="F1321" s="0">
        <v>1</v>
      </c>
      <c r="G1321" s="0" t="s">
        <v>555</v>
      </c>
      <c r="H1321" s="0" t="s">
        <v>1112</v>
      </c>
      <c r="I1321" s="0" t="s">
        <v>549</v>
      </c>
      <c r="J1321" s="0" t="s">
        <v>293</v>
      </c>
      <c r="K1321" s="0" t="s">
        <v>294</v>
      </c>
      <c r="L1321" s="0" t="s">
        <v>918</v>
      </c>
      <c r="M1321" s="0" t="s">
        <v>594</v>
      </c>
      <c r="O1321" s="0" t="s">
        <v>549</v>
      </c>
      <c r="P1321" s="0" t="s">
        <v>323</v>
      </c>
      <c r="Q1321" s="0" t="s">
        <v>323</v>
      </c>
      <c r="R1321" s="0" t="s">
        <v>661</v>
      </c>
      <c r="T1321" s="0" t="s">
        <v>9223</v>
      </c>
      <c r="U1321" s="0" t="s">
        <v>9224</v>
      </c>
      <c r="W1321" s="0" t="s">
        <v>8073</v>
      </c>
      <c r="X1321" s="0" t="s">
        <v>347</v>
      </c>
      <c r="Y1321" s="0" t="s">
        <v>75</v>
      </c>
      <c r="Z1321" s="0" t="s">
        <v>1195</v>
      </c>
      <c r="AA1321" s="0" t="s">
        <v>98</v>
      </c>
      <c r="AB1321" s="0" t="s">
        <v>3740</v>
      </c>
      <c r="AE1321" s="0" t="s">
        <v>9103</v>
      </c>
      <c r="AF1321" s="0" t="s">
        <v>301</v>
      </c>
      <c r="AP1321" s="0" t="s">
        <v>305</v>
      </c>
      <c r="BA1321" s="0">
        <v>556</v>
      </c>
      <c r="BB1321" s="0" t="s">
        <v>232</v>
      </c>
      <c r="BC1321" s="0">
        <v>2</v>
      </c>
      <c r="BD1321" s="0">
        <v>374043</v>
      </c>
      <c r="BE1321" s="0">
        <v>90875</v>
      </c>
      <c r="BF1321" s="0">
        <v>4</v>
      </c>
      <c r="BG1321" s="0" t="s">
        <v>9225</v>
      </c>
      <c r="BI1321" s="0">
        <v>3926</v>
      </c>
      <c r="BK1321" s="0" t="s">
        <v>9226</v>
      </c>
    </row>
    <row r="1322">
      <c r="A1322" s="0">
        <v>6146</v>
      </c>
      <c r="B1322" s="0" t="s">
        <v>9227</v>
      </c>
      <c r="C1322" s="0" t="s">
        <v>315</v>
      </c>
      <c r="D1322" s="0" t="s">
        <v>9099</v>
      </c>
      <c r="E1322" s="0" t="s">
        <v>9228</v>
      </c>
      <c r="F1322" s="0">
        <v>1</v>
      </c>
      <c r="G1322" s="0" t="s">
        <v>555</v>
      </c>
      <c r="H1322" s="0" t="s">
        <v>1112</v>
      </c>
      <c r="I1322" s="0" t="s">
        <v>549</v>
      </c>
      <c r="J1322" s="0" t="s">
        <v>293</v>
      </c>
      <c r="K1322" s="0" t="s">
        <v>294</v>
      </c>
      <c r="L1322" s="0" t="s">
        <v>918</v>
      </c>
      <c r="M1322" s="0" t="s">
        <v>594</v>
      </c>
      <c r="O1322" s="0" t="s">
        <v>549</v>
      </c>
      <c r="P1322" s="0" t="s">
        <v>323</v>
      </c>
      <c r="Q1322" s="0" t="s">
        <v>323</v>
      </c>
      <c r="R1322" s="0" t="s">
        <v>661</v>
      </c>
      <c r="T1322" s="0" t="s">
        <v>9229</v>
      </c>
      <c r="U1322" s="0" t="s">
        <v>9230</v>
      </c>
      <c r="W1322" s="0" t="s">
        <v>8073</v>
      </c>
      <c r="X1322" s="0" t="s">
        <v>347</v>
      </c>
      <c r="Y1322" s="0" t="s">
        <v>75</v>
      </c>
      <c r="Z1322" s="0" t="s">
        <v>1195</v>
      </c>
      <c r="AA1322" s="0" t="s">
        <v>98</v>
      </c>
      <c r="AB1322" s="0" t="s">
        <v>3740</v>
      </c>
      <c r="AE1322" s="0" t="s">
        <v>9103</v>
      </c>
      <c r="AF1322" s="0" t="s">
        <v>301</v>
      </c>
      <c r="AP1322" s="0" t="s">
        <v>305</v>
      </c>
      <c r="BA1322" s="0">
        <v>556</v>
      </c>
      <c r="BB1322" s="0" t="s">
        <v>232</v>
      </c>
      <c r="BC1322" s="0">
        <v>2</v>
      </c>
      <c r="BD1322" s="0">
        <v>374043</v>
      </c>
      <c r="BE1322" s="0">
        <v>90875</v>
      </c>
      <c r="BF1322" s="0">
        <v>4</v>
      </c>
      <c r="BG1322" s="0" t="s">
        <v>9231</v>
      </c>
      <c r="BI1322" s="0">
        <v>4012</v>
      </c>
      <c r="BK1322" s="0" t="s">
        <v>9232</v>
      </c>
    </row>
    <row r="1323">
      <c r="A1323" s="0">
        <v>6144</v>
      </c>
      <c r="B1323" s="0" t="s">
        <v>9233</v>
      </c>
      <c r="C1323" s="0" t="s">
        <v>315</v>
      </c>
      <c r="D1323" s="0" t="s">
        <v>9099</v>
      </c>
      <c r="E1323" s="0" t="s">
        <v>9234</v>
      </c>
      <c r="F1323" s="0">
        <v>1</v>
      </c>
      <c r="G1323" s="0" t="s">
        <v>555</v>
      </c>
      <c r="H1323" s="0" t="s">
        <v>1112</v>
      </c>
      <c r="I1323" s="0" t="s">
        <v>549</v>
      </c>
      <c r="J1323" s="0" t="s">
        <v>293</v>
      </c>
      <c r="K1323" s="0" t="s">
        <v>294</v>
      </c>
      <c r="L1323" s="0" t="s">
        <v>918</v>
      </c>
      <c r="M1323" s="0" t="s">
        <v>594</v>
      </c>
      <c r="O1323" s="0" t="s">
        <v>549</v>
      </c>
      <c r="P1323" s="0" t="s">
        <v>323</v>
      </c>
      <c r="Q1323" s="0" t="s">
        <v>323</v>
      </c>
      <c r="R1323" s="0" t="s">
        <v>661</v>
      </c>
      <c r="T1323" s="0" t="s">
        <v>9229</v>
      </c>
      <c r="U1323" s="0" t="s">
        <v>9235</v>
      </c>
      <c r="W1323" s="0" t="s">
        <v>8073</v>
      </c>
      <c r="X1323" s="0" t="s">
        <v>347</v>
      </c>
      <c r="Y1323" s="0" t="s">
        <v>75</v>
      </c>
      <c r="Z1323" s="0" t="s">
        <v>1195</v>
      </c>
      <c r="AA1323" s="0" t="s">
        <v>98</v>
      </c>
      <c r="AB1323" s="0" t="s">
        <v>3740</v>
      </c>
      <c r="AE1323" s="0" t="s">
        <v>9103</v>
      </c>
      <c r="AF1323" s="0" t="s">
        <v>301</v>
      </c>
      <c r="AP1323" s="0" t="s">
        <v>305</v>
      </c>
      <c r="BA1323" s="0">
        <v>556</v>
      </c>
      <c r="BB1323" s="0" t="s">
        <v>232</v>
      </c>
      <c r="BC1323" s="0">
        <v>2</v>
      </c>
      <c r="BD1323" s="0">
        <v>374043</v>
      </c>
      <c r="BE1323" s="0">
        <v>90875</v>
      </c>
      <c r="BF1323" s="0">
        <v>4</v>
      </c>
      <c r="BG1323" s="0" t="s">
        <v>9236</v>
      </c>
      <c r="BI1323" s="0">
        <v>3837</v>
      </c>
      <c r="BK1323" s="0" t="s">
        <v>9237</v>
      </c>
    </row>
    <row r="1324">
      <c r="A1324" s="0">
        <v>6075</v>
      </c>
      <c r="B1324" s="0" t="s">
        <v>9238</v>
      </c>
      <c r="C1324" s="0" t="s">
        <v>315</v>
      </c>
      <c r="D1324" s="0" t="s">
        <v>9099</v>
      </c>
      <c r="E1324" s="0" t="s">
        <v>9239</v>
      </c>
      <c r="F1324" s="0">
        <v>2</v>
      </c>
      <c r="G1324" s="0" t="s">
        <v>555</v>
      </c>
      <c r="H1324" s="0" t="s">
        <v>1112</v>
      </c>
      <c r="I1324" s="0" t="s">
        <v>549</v>
      </c>
      <c r="J1324" s="0" t="s">
        <v>293</v>
      </c>
      <c r="K1324" s="0" t="s">
        <v>294</v>
      </c>
      <c r="L1324" s="0" t="s">
        <v>295</v>
      </c>
      <c r="M1324" s="0" t="s">
        <v>594</v>
      </c>
      <c r="O1324" s="0" t="s">
        <v>469</v>
      </c>
      <c r="P1324" s="0" t="s">
        <v>323</v>
      </c>
      <c r="Q1324" s="0" t="s">
        <v>323</v>
      </c>
      <c r="R1324" s="0" t="s">
        <v>4585</v>
      </c>
      <c r="T1324" s="0" t="s">
        <v>9240</v>
      </c>
      <c r="W1324" s="0" t="s">
        <v>8073</v>
      </c>
      <c r="X1324" s="0" t="s">
        <v>529</v>
      </c>
      <c r="Y1324" s="0" t="s">
        <v>75</v>
      </c>
      <c r="Z1324" s="0" t="s">
        <v>1195</v>
      </c>
      <c r="AA1324" s="0" t="s">
        <v>98</v>
      </c>
      <c r="AB1324" s="0" t="s">
        <v>3740</v>
      </c>
      <c r="AE1324" s="0" t="s">
        <v>9103</v>
      </c>
      <c r="AF1324" s="0" t="s">
        <v>301</v>
      </c>
      <c r="AP1324" s="0" t="s">
        <v>305</v>
      </c>
      <c r="BA1324" s="0">
        <v>556</v>
      </c>
      <c r="BB1324" s="0" t="s">
        <v>232</v>
      </c>
      <c r="BC1324" s="0">
        <v>2</v>
      </c>
      <c r="BD1324" s="0">
        <v>374043</v>
      </c>
      <c r="BE1324" s="0">
        <v>90875</v>
      </c>
      <c r="BF1324" s="0">
        <v>2</v>
      </c>
      <c r="BG1324" s="0" t="s">
        <v>9241</v>
      </c>
      <c r="BI1324" s="0">
        <v>2600</v>
      </c>
      <c r="BK1324" s="0" t="s">
        <v>9242</v>
      </c>
    </row>
    <row r="1325">
      <c r="A1325" s="0">
        <v>6084</v>
      </c>
      <c r="B1325" s="0" t="s">
        <v>9243</v>
      </c>
      <c r="C1325" s="0" t="s">
        <v>315</v>
      </c>
      <c r="D1325" s="0" t="s">
        <v>9099</v>
      </c>
      <c r="E1325" s="0" t="s">
        <v>9244</v>
      </c>
      <c r="F1325" s="0">
        <v>1</v>
      </c>
      <c r="G1325" s="0" t="s">
        <v>3113</v>
      </c>
      <c r="H1325" s="0" t="s">
        <v>9245</v>
      </c>
      <c r="I1325" s="0" t="s">
        <v>5460</v>
      </c>
      <c r="J1325" s="0" t="s">
        <v>508</v>
      </c>
      <c r="L1325" s="0" t="s">
        <v>549</v>
      </c>
      <c r="M1325" s="0" t="s">
        <v>319</v>
      </c>
      <c r="N1325" s="0" t="s">
        <v>1003</v>
      </c>
      <c r="O1325" s="0" t="s">
        <v>417</v>
      </c>
      <c r="P1325" s="0" t="s">
        <v>323</v>
      </c>
      <c r="Q1325" s="0" t="s">
        <v>1041</v>
      </c>
      <c r="R1325" s="0" t="s">
        <v>9246</v>
      </c>
      <c r="T1325" s="0" t="s">
        <v>9247</v>
      </c>
      <c r="X1325" s="0" t="s">
        <v>1116</v>
      </c>
      <c r="Y1325" s="0" t="s">
        <v>69</v>
      </c>
      <c r="Z1325" s="0" t="s">
        <v>9248</v>
      </c>
      <c r="AA1325" s="0" t="s">
        <v>100</v>
      </c>
      <c r="AB1325" s="0" t="s">
        <v>300</v>
      </c>
      <c r="AC1325" s="0" t="s">
        <v>571</v>
      </c>
      <c r="AF1325" s="0" t="s">
        <v>1688</v>
      </c>
      <c r="AP1325" s="0" t="s">
        <v>305</v>
      </c>
      <c r="BA1325" s="0">
        <v>557</v>
      </c>
      <c r="BB1325" s="0" t="s">
        <v>232</v>
      </c>
      <c r="BC1325" s="0">
        <v>3</v>
      </c>
      <c r="BD1325" s="0">
        <v>374043</v>
      </c>
      <c r="BE1325" s="0">
        <v>519892</v>
      </c>
      <c r="BF1325" s="0">
        <v>1</v>
      </c>
      <c r="BG1325" s="0" t="s">
        <v>9249</v>
      </c>
      <c r="BI1325" s="0">
        <v>434</v>
      </c>
      <c r="BK1325" s="0" t="s">
        <v>9250</v>
      </c>
    </row>
    <row r="1326">
      <c r="A1326" s="0">
        <v>6085</v>
      </c>
      <c r="B1326" s="0" t="s">
        <v>9251</v>
      </c>
      <c r="C1326" s="0" t="s">
        <v>339</v>
      </c>
      <c r="D1326" s="0" t="s">
        <v>9099</v>
      </c>
      <c r="E1326" s="0" t="s">
        <v>9252</v>
      </c>
      <c r="F1326" s="0">
        <v>1</v>
      </c>
      <c r="G1326" s="0" t="s">
        <v>3113</v>
      </c>
      <c r="H1326" s="0" t="s">
        <v>9245</v>
      </c>
      <c r="I1326" s="0" t="s">
        <v>295</v>
      </c>
      <c r="J1326" s="0" t="s">
        <v>319</v>
      </c>
      <c r="K1326" s="0" t="s">
        <v>1003</v>
      </c>
      <c r="L1326" s="0" t="s">
        <v>8059</v>
      </c>
      <c r="M1326" s="0" t="s">
        <v>508</v>
      </c>
      <c r="P1326" s="0" t="s">
        <v>323</v>
      </c>
      <c r="Q1326" s="0" t="s">
        <v>323</v>
      </c>
      <c r="R1326" s="0" t="s">
        <v>9246</v>
      </c>
      <c r="T1326" s="0" t="s">
        <v>9253</v>
      </c>
      <c r="X1326" s="0" t="s">
        <v>1116</v>
      </c>
      <c r="Y1326" s="0" t="s">
        <v>69</v>
      </c>
      <c r="Z1326" s="0" t="s">
        <v>9248</v>
      </c>
      <c r="AA1326" s="0" t="s">
        <v>100</v>
      </c>
      <c r="AB1326" s="0" t="s">
        <v>300</v>
      </c>
      <c r="AC1326" s="0" t="s">
        <v>571</v>
      </c>
      <c r="AF1326" s="0" t="s">
        <v>1688</v>
      </c>
      <c r="AP1326" s="0" t="s">
        <v>305</v>
      </c>
      <c r="BA1326" s="0">
        <v>557</v>
      </c>
      <c r="BB1326" s="0" t="s">
        <v>232</v>
      </c>
      <c r="BC1326" s="0">
        <v>3</v>
      </c>
      <c r="BD1326" s="0">
        <v>8</v>
      </c>
      <c r="BE1326" s="0">
        <v>519892</v>
      </c>
      <c r="BF1326" s="0">
        <v>1</v>
      </c>
      <c r="BG1326" s="0" t="s">
        <v>9254</v>
      </c>
      <c r="BI1326" s="0">
        <v>827</v>
      </c>
      <c r="BK1326" s="0" t="s">
        <v>9255</v>
      </c>
    </row>
    <row r="1327">
      <c r="A1327" s="0">
        <v>6088</v>
      </c>
      <c r="B1327" s="0" t="s">
        <v>9256</v>
      </c>
      <c r="C1327" s="0" t="s">
        <v>290</v>
      </c>
      <c r="D1327" s="0" t="s">
        <v>9099</v>
      </c>
      <c r="E1327" s="0" t="s">
        <v>9100</v>
      </c>
      <c r="F1327" s="0">
        <v>3</v>
      </c>
      <c r="G1327" s="0" t="s">
        <v>555</v>
      </c>
      <c r="H1327" s="0" t="s">
        <v>1020</v>
      </c>
      <c r="I1327" s="0" t="s">
        <v>1189</v>
      </c>
      <c r="J1327" s="0" t="s">
        <v>293</v>
      </c>
      <c r="K1327" s="0" t="s">
        <v>294</v>
      </c>
      <c r="L1327" s="0" t="s">
        <v>295</v>
      </c>
      <c r="M1327" s="0" t="s">
        <v>594</v>
      </c>
      <c r="O1327" s="0" t="s">
        <v>1189</v>
      </c>
      <c r="P1327" s="0" t="s">
        <v>1089</v>
      </c>
      <c r="Q1327" s="0" t="s">
        <v>343</v>
      </c>
      <c r="R1327" s="0" t="s">
        <v>6591</v>
      </c>
      <c r="T1327" s="0" t="s">
        <v>9257</v>
      </c>
      <c r="W1327" s="0" t="s">
        <v>8073</v>
      </c>
      <c r="X1327" s="0" t="s">
        <v>529</v>
      </c>
      <c r="Y1327" s="0" t="s">
        <v>75</v>
      </c>
      <c r="Z1327" s="0" t="s">
        <v>1195</v>
      </c>
      <c r="AA1327" s="0" t="s">
        <v>99</v>
      </c>
      <c r="AB1327" s="0" t="s">
        <v>531</v>
      </c>
      <c r="AE1327" s="0" t="s">
        <v>9258</v>
      </c>
      <c r="AF1327" s="0" t="s">
        <v>301</v>
      </c>
      <c r="AP1327" s="0" t="s">
        <v>305</v>
      </c>
      <c r="BA1327" s="0">
        <v>558</v>
      </c>
      <c r="BB1327" s="0" t="s">
        <v>232</v>
      </c>
      <c r="BC1327" s="0">
        <v>2</v>
      </c>
      <c r="BD1327" s="0">
        <v>374053</v>
      </c>
      <c r="BE1327" s="0">
        <v>90875</v>
      </c>
      <c r="BF1327" s="0">
        <v>2</v>
      </c>
      <c r="BG1327" s="0" t="s">
        <v>9259</v>
      </c>
      <c r="BI1327" s="0">
        <v>1155</v>
      </c>
      <c r="BK1327" s="0" t="s">
        <v>9260</v>
      </c>
    </row>
    <row r="1328">
      <c r="A1328" s="0">
        <v>6091</v>
      </c>
      <c r="B1328" s="0" t="s">
        <v>9261</v>
      </c>
      <c r="C1328" s="0" t="s">
        <v>290</v>
      </c>
      <c r="D1328" s="0" t="s">
        <v>9099</v>
      </c>
      <c r="E1328" s="0" t="s">
        <v>9118</v>
      </c>
      <c r="F1328" s="0">
        <v>1</v>
      </c>
      <c r="G1328" s="0" t="s">
        <v>555</v>
      </c>
      <c r="H1328" s="0" t="s">
        <v>1020</v>
      </c>
      <c r="I1328" s="0" t="s">
        <v>1189</v>
      </c>
      <c r="J1328" s="0" t="s">
        <v>594</v>
      </c>
      <c r="L1328" s="0" t="s">
        <v>1189</v>
      </c>
      <c r="M1328" s="0" t="s">
        <v>2487</v>
      </c>
      <c r="O1328" s="0" t="s">
        <v>1189</v>
      </c>
      <c r="P1328" s="0" t="s">
        <v>343</v>
      </c>
      <c r="Q1328" s="0" t="s">
        <v>343</v>
      </c>
      <c r="T1328" s="0" t="s">
        <v>9262</v>
      </c>
      <c r="W1328" s="0" t="s">
        <v>8073</v>
      </c>
      <c r="X1328" s="0" t="s">
        <v>529</v>
      </c>
      <c r="Y1328" s="0" t="s">
        <v>75</v>
      </c>
      <c r="Z1328" s="0" t="s">
        <v>1195</v>
      </c>
      <c r="AA1328" s="0" t="s">
        <v>99</v>
      </c>
      <c r="AB1328" s="0" t="s">
        <v>531</v>
      </c>
      <c r="AE1328" s="0" t="s">
        <v>9258</v>
      </c>
      <c r="AF1328" s="0" t="s">
        <v>301</v>
      </c>
      <c r="AP1328" s="0" t="s">
        <v>305</v>
      </c>
      <c r="BA1328" s="0">
        <v>558</v>
      </c>
      <c r="BB1328" s="0" t="s">
        <v>232</v>
      </c>
      <c r="BC1328" s="0">
        <v>2</v>
      </c>
      <c r="BD1328" s="0">
        <v>374053</v>
      </c>
      <c r="BE1328" s="0">
        <v>90875</v>
      </c>
      <c r="BF1328" s="0">
        <v>2</v>
      </c>
      <c r="BG1328" s="0" t="s">
        <v>9263</v>
      </c>
      <c r="BI1328" s="0">
        <v>1969</v>
      </c>
      <c r="BK1328" s="0" t="s">
        <v>9264</v>
      </c>
    </row>
    <row r="1329">
      <c r="A1329" s="0">
        <v>6115</v>
      </c>
      <c r="B1329" s="0" t="s">
        <v>9265</v>
      </c>
      <c r="C1329" s="0" t="s">
        <v>290</v>
      </c>
      <c r="D1329" s="0" t="s">
        <v>9099</v>
      </c>
      <c r="E1329" s="0" t="s">
        <v>9266</v>
      </c>
      <c r="F1329" s="0">
        <v>3</v>
      </c>
      <c r="G1329" s="0" t="s">
        <v>293</v>
      </c>
      <c r="H1329" s="0" t="s">
        <v>294</v>
      </c>
      <c r="I1329" s="0" t="s">
        <v>295</v>
      </c>
      <c r="P1329" s="0" t="s">
        <v>9267</v>
      </c>
      <c r="Q1329" s="0" t="s">
        <v>343</v>
      </c>
      <c r="R1329" s="0" t="s">
        <v>6619</v>
      </c>
      <c r="W1329" s="0" t="s">
        <v>8073</v>
      </c>
      <c r="X1329" s="0" t="s">
        <v>529</v>
      </c>
      <c r="Y1329" s="0" t="s">
        <v>75</v>
      </c>
      <c r="Z1329" s="0" t="s">
        <v>1195</v>
      </c>
      <c r="AA1329" s="0" t="s">
        <v>99</v>
      </c>
      <c r="AB1329" s="0" t="s">
        <v>531</v>
      </c>
      <c r="AE1329" s="0" t="s">
        <v>9258</v>
      </c>
      <c r="AF1329" s="0" t="s">
        <v>301</v>
      </c>
      <c r="AP1329" s="0" t="s">
        <v>305</v>
      </c>
      <c r="BA1329" s="0">
        <v>558</v>
      </c>
      <c r="BB1329" s="0" t="s">
        <v>232</v>
      </c>
      <c r="BC1329" s="0">
        <v>2</v>
      </c>
      <c r="BD1329" s="0">
        <v>374053</v>
      </c>
      <c r="BE1329" s="0">
        <v>90875</v>
      </c>
      <c r="BF1329" s="0">
        <v>2</v>
      </c>
      <c r="BG1329" s="0" t="s">
        <v>9268</v>
      </c>
      <c r="BI1329" s="0">
        <v>3633</v>
      </c>
      <c r="BK1329" s="0" t="s">
        <v>9269</v>
      </c>
    </row>
    <row r="1330">
      <c r="A1330" s="0">
        <v>6095</v>
      </c>
      <c r="B1330" s="0" t="s">
        <v>9270</v>
      </c>
      <c r="C1330" s="0" t="s">
        <v>579</v>
      </c>
      <c r="D1330" s="0" t="s">
        <v>9099</v>
      </c>
      <c r="E1330" s="0" t="s">
        <v>9132</v>
      </c>
      <c r="F1330" s="0">
        <v>1</v>
      </c>
      <c r="G1330" s="0" t="s">
        <v>293</v>
      </c>
      <c r="H1330" s="0" t="s">
        <v>294</v>
      </c>
      <c r="I1330" s="0" t="s">
        <v>295</v>
      </c>
      <c r="J1330" s="0" t="s">
        <v>581</v>
      </c>
      <c r="L1330" s="0" t="s">
        <v>583</v>
      </c>
      <c r="P1330" s="0" t="s">
        <v>343</v>
      </c>
      <c r="Q1330" s="0" t="s">
        <v>343</v>
      </c>
      <c r="T1330" s="0" t="s">
        <v>9271</v>
      </c>
      <c r="U1330" s="0" t="s">
        <v>9272</v>
      </c>
      <c r="W1330" s="0" t="s">
        <v>8073</v>
      </c>
      <c r="X1330" s="0" t="s">
        <v>347</v>
      </c>
      <c r="Y1330" s="0" t="s">
        <v>75</v>
      </c>
      <c r="Z1330" s="0" t="s">
        <v>1195</v>
      </c>
      <c r="AA1330" s="0" t="s">
        <v>99</v>
      </c>
      <c r="AB1330" s="0" t="s">
        <v>531</v>
      </c>
      <c r="AE1330" s="0" t="s">
        <v>9258</v>
      </c>
      <c r="AF1330" s="0" t="s">
        <v>301</v>
      </c>
      <c r="AP1330" s="0" t="s">
        <v>305</v>
      </c>
      <c r="BA1330" s="0">
        <v>558</v>
      </c>
      <c r="BB1330" s="0" t="s">
        <v>232</v>
      </c>
      <c r="BC1330" s="0">
        <v>2</v>
      </c>
      <c r="BD1330" s="0">
        <v>374046</v>
      </c>
      <c r="BE1330" s="0">
        <v>90875</v>
      </c>
      <c r="BF1330" s="0">
        <v>4</v>
      </c>
      <c r="BG1330" s="0" t="s">
        <v>9273</v>
      </c>
      <c r="BI1330" s="0">
        <v>2778</v>
      </c>
      <c r="BK1330" s="0" t="s">
        <v>9274</v>
      </c>
    </row>
    <row r="1331">
      <c r="A1331" s="0">
        <v>6087</v>
      </c>
      <c r="B1331" s="0" t="s">
        <v>9275</v>
      </c>
      <c r="C1331" s="0" t="s">
        <v>315</v>
      </c>
      <c r="D1331" s="0" t="s">
        <v>9099</v>
      </c>
      <c r="E1331" s="0" t="s">
        <v>9276</v>
      </c>
      <c r="F1331" s="0">
        <v>1</v>
      </c>
      <c r="G1331" s="0" t="s">
        <v>555</v>
      </c>
      <c r="H1331" s="0" t="s">
        <v>593</v>
      </c>
      <c r="I1331" s="0" t="s">
        <v>4748</v>
      </c>
      <c r="J1331" s="0" t="s">
        <v>293</v>
      </c>
      <c r="K1331" s="0" t="s">
        <v>294</v>
      </c>
      <c r="L1331" s="0" t="s">
        <v>295</v>
      </c>
      <c r="M1331" s="0" t="s">
        <v>594</v>
      </c>
      <c r="O1331" s="0" t="s">
        <v>9163</v>
      </c>
      <c r="P1331" s="0" t="s">
        <v>323</v>
      </c>
      <c r="Q1331" s="0" t="s">
        <v>323</v>
      </c>
      <c r="R1331" s="0" t="s">
        <v>1572</v>
      </c>
      <c r="W1331" s="0" t="s">
        <v>8073</v>
      </c>
      <c r="X1331" s="0" t="s">
        <v>529</v>
      </c>
      <c r="Y1331" s="0" t="s">
        <v>75</v>
      </c>
      <c r="Z1331" s="0" t="s">
        <v>1195</v>
      </c>
      <c r="AA1331" s="0" t="s">
        <v>99</v>
      </c>
      <c r="AB1331" s="0" t="s">
        <v>531</v>
      </c>
      <c r="AE1331" s="0" t="s">
        <v>9258</v>
      </c>
      <c r="AF1331" s="0" t="s">
        <v>301</v>
      </c>
      <c r="AP1331" s="0" t="s">
        <v>305</v>
      </c>
      <c r="BA1331" s="0">
        <v>558</v>
      </c>
      <c r="BB1331" s="0" t="s">
        <v>232</v>
      </c>
      <c r="BC1331" s="0">
        <v>2</v>
      </c>
      <c r="BD1331" s="0">
        <v>374043</v>
      </c>
      <c r="BE1331" s="0">
        <v>90875</v>
      </c>
      <c r="BF1331" s="0">
        <v>2</v>
      </c>
      <c r="BG1331" s="0" t="s">
        <v>9277</v>
      </c>
      <c r="BI1331" s="0">
        <v>826</v>
      </c>
      <c r="BK1331" s="0" t="s">
        <v>9278</v>
      </c>
    </row>
    <row r="1332">
      <c r="A1332" s="0">
        <v>6114</v>
      </c>
      <c r="B1332" s="0" t="s">
        <v>9279</v>
      </c>
      <c r="C1332" s="0" t="s">
        <v>315</v>
      </c>
      <c r="D1332" s="0" t="s">
        <v>9099</v>
      </c>
      <c r="E1332" s="0" t="s">
        <v>9280</v>
      </c>
      <c r="F1332" s="0">
        <v>1</v>
      </c>
      <c r="G1332" s="0" t="s">
        <v>343</v>
      </c>
      <c r="H1332" s="0" t="s">
        <v>343</v>
      </c>
      <c r="I1332" s="0" t="s">
        <v>343</v>
      </c>
      <c r="P1332" s="0" t="s">
        <v>323</v>
      </c>
      <c r="Q1332" s="0" t="s">
        <v>6658</v>
      </c>
      <c r="R1332" s="0" t="s">
        <v>1572</v>
      </c>
      <c r="T1332" s="0" t="s">
        <v>9281</v>
      </c>
      <c r="W1332" s="0" t="s">
        <v>8073</v>
      </c>
      <c r="X1332" s="0" t="s">
        <v>529</v>
      </c>
      <c r="Y1332" s="0" t="s">
        <v>75</v>
      </c>
      <c r="Z1332" s="0" t="s">
        <v>1195</v>
      </c>
      <c r="AA1332" s="0" t="s">
        <v>99</v>
      </c>
      <c r="AB1332" s="0" t="s">
        <v>531</v>
      </c>
      <c r="AE1332" s="0" t="s">
        <v>9258</v>
      </c>
      <c r="AF1332" s="0" t="s">
        <v>301</v>
      </c>
      <c r="AP1332" s="0" t="s">
        <v>305</v>
      </c>
      <c r="BA1332" s="0">
        <v>558</v>
      </c>
      <c r="BB1332" s="0" t="s">
        <v>232</v>
      </c>
      <c r="BC1332" s="0">
        <v>2</v>
      </c>
      <c r="BD1332" s="0">
        <v>374043</v>
      </c>
      <c r="BE1332" s="0">
        <v>90875</v>
      </c>
      <c r="BF1332" s="0">
        <v>2</v>
      </c>
      <c r="BG1332" s="0" t="s">
        <v>9282</v>
      </c>
      <c r="BI1332" s="0">
        <v>3521</v>
      </c>
      <c r="BK1332" s="0" t="s">
        <v>9283</v>
      </c>
    </row>
    <row r="1333">
      <c r="A1333" s="0">
        <v>6100</v>
      </c>
      <c r="B1333" s="0" t="s">
        <v>9284</v>
      </c>
      <c r="C1333" s="0" t="s">
        <v>656</v>
      </c>
      <c r="D1333" s="0" t="s">
        <v>9099</v>
      </c>
      <c r="E1333" s="0" t="s">
        <v>9150</v>
      </c>
      <c r="F1333" s="0">
        <v>1</v>
      </c>
      <c r="G1333" s="0" t="s">
        <v>319</v>
      </c>
      <c r="H1333" s="0" t="s">
        <v>483</v>
      </c>
      <c r="I1333" s="0" t="s">
        <v>6635</v>
      </c>
      <c r="J1333" s="0" t="s">
        <v>293</v>
      </c>
      <c r="K1333" s="0" t="s">
        <v>294</v>
      </c>
      <c r="L1333" s="0" t="s">
        <v>295</v>
      </c>
      <c r="P1333" s="0" t="s">
        <v>343</v>
      </c>
      <c r="Q1333" s="0" t="s">
        <v>343</v>
      </c>
      <c r="W1333" s="0" t="s">
        <v>8073</v>
      </c>
      <c r="X1333" s="0" t="s">
        <v>529</v>
      </c>
      <c r="Y1333" s="0" t="s">
        <v>75</v>
      </c>
      <c r="Z1333" s="0" t="s">
        <v>1195</v>
      </c>
      <c r="AA1333" s="0" t="s">
        <v>99</v>
      </c>
      <c r="AB1333" s="0" t="s">
        <v>531</v>
      </c>
      <c r="AE1333" s="0" t="s">
        <v>9258</v>
      </c>
      <c r="AF1333" s="0" t="s">
        <v>301</v>
      </c>
      <c r="AP1333" s="0" t="s">
        <v>305</v>
      </c>
      <c r="BA1333" s="0">
        <v>558</v>
      </c>
      <c r="BB1333" s="0" t="s">
        <v>232</v>
      </c>
      <c r="BC1333" s="0">
        <v>2</v>
      </c>
      <c r="BD1333" s="0">
        <v>10</v>
      </c>
      <c r="BE1333" s="0">
        <v>90875</v>
      </c>
      <c r="BF1333" s="0">
        <v>2</v>
      </c>
      <c r="BG1333" s="0" t="s">
        <v>9285</v>
      </c>
      <c r="BI1333" s="0">
        <v>3520</v>
      </c>
      <c r="BK1333" s="0" t="s">
        <v>9286</v>
      </c>
    </row>
    <row r="1334">
      <c r="A1334" s="0">
        <v>6101</v>
      </c>
      <c r="B1334" s="0" t="s">
        <v>9287</v>
      </c>
      <c r="C1334" s="0" t="s">
        <v>656</v>
      </c>
      <c r="D1334" s="0" t="s">
        <v>9099</v>
      </c>
      <c r="E1334" s="0" t="s">
        <v>9156</v>
      </c>
      <c r="F1334" s="0">
        <v>1</v>
      </c>
      <c r="G1334" s="0" t="s">
        <v>319</v>
      </c>
      <c r="H1334" s="0" t="s">
        <v>1292</v>
      </c>
      <c r="I1334" s="0" t="s">
        <v>1293</v>
      </c>
      <c r="J1334" s="0" t="s">
        <v>293</v>
      </c>
      <c r="K1334" s="0" t="s">
        <v>294</v>
      </c>
      <c r="L1334" s="0" t="s">
        <v>918</v>
      </c>
      <c r="P1334" s="0" t="s">
        <v>323</v>
      </c>
      <c r="Q1334" s="0" t="s">
        <v>323</v>
      </c>
      <c r="R1334" s="0" t="s">
        <v>1791</v>
      </c>
      <c r="T1334" s="0" t="s">
        <v>9288</v>
      </c>
      <c r="W1334" s="0" t="s">
        <v>8073</v>
      </c>
      <c r="X1334" s="0" t="s">
        <v>529</v>
      </c>
      <c r="Y1334" s="0" t="s">
        <v>75</v>
      </c>
      <c r="Z1334" s="0" t="s">
        <v>1195</v>
      </c>
      <c r="AA1334" s="0" t="s">
        <v>99</v>
      </c>
      <c r="AB1334" s="0" t="s">
        <v>531</v>
      </c>
      <c r="AE1334" s="0" t="s">
        <v>9258</v>
      </c>
      <c r="AF1334" s="0" t="s">
        <v>301</v>
      </c>
      <c r="AP1334" s="0" t="s">
        <v>305</v>
      </c>
      <c r="BA1334" s="0">
        <v>558</v>
      </c>
      <c r="BB1334" s="0" t="s">
        <v>232</v>
      </c>
      <c r="BC1334" s="0">
        <v>2</v>
      </c>
      <c r="BD1334" s="0">
        <v>10</v>
      </c>
      <c r="BE1334" s="0">
        <v>90875</v>
      </c>
      <c r="BF1334" s="0">
        <v>2</v>
      </c>
      <c r="BG1334" s="0" t="s">
        <v>9289</v>
      </c>
      <c r="BI1334" s="0">
        <v>3634</v>
      </c>
      <c r="BK1334" s="0" t="s">
        <v>9290</v>
      </c>
    </row>
    <row r="1335">
      <c r="A1335" s="0">
        <v>6086</v>
      </c>
      <c r="B1335" s="0" t="s">
        <v>9291</v>
      </c>
      <c r="C1335" s="0" t="s">
        <v>315</v>
      </c>
      <c r="D1335" s="0" t="s">
        <v>9099</v>
      </c>
      <c r="E1335" s="0" t="s">
        <v>9169</v>
      </c>
      <c r="F1335" s="0">
        <v>1</v>
      </c>
      <c r="G1335" s="0" t="s">
        <v>555</v>
      </c>
      <c r="H1335" s="0" t="s">
        <v>593</v>
      </c>
      <c r="I1335" s="0" t="s">
        <v>4748</v>
      </c>
      <c r="J1335" s="0" t="s">
        <v>293</v>
      </c>
      <c r="K1335" s="0" t="s">
        <v>294</v>
      </c>
      <c r="L1335" s="0" t="s">
        <v>295</v>
      </c>
      <c r="M1335" s="0" t="s">
        <v>594</v>
      </c>
      <c r="O1335" s="0" t="s">
        <v>9292</v>
      </c>
      <c r="P1335" s="0" t="s">
        <v>323</v>
      </c>
      <c r="Q1335" s="0" t="s">
        <v>323</v>
      </c>
      <c r="R1335" s="0" t="s">
        <v>1572</v>
      </c>
      <c r="T1335" s="0" t="s">
        <v>9293</v>
      </c>
      <c r="W1335" s="0" t="s">
        <v>8073</v>
      </c>
      <c r="X1335" s="0" t="s">
        <v>529</v>
      </c>
      <c r="Y1335" s="0" t="s">
        <v>75</v>
      </c>
      <c r="Z1335" s="0" t="s">
        <v>1195</v>
      </c>
      <c r="AA1335" s="0" t="s">
        <v>99</v>
      </c>
      <c r="AB1335" s="0" t="s">
        <v>531</v>
      </c>
      <c r="AE1335" s="0" t="s">
        <v>9258</v>
      </c>
      <c r="AF1335" s="0" t="s">
        <v>301</v>
      </c>
      <c r="AP1335" s="0" t="s">
        <v>305</v>
      </c>
      <c r="BA1335" s="0">
        <v>558</v>
      </c>
      <c r="BB1335" s="0" t="s">
        <v>232</v>
      </c>
      <c r="BC1335" s="0">
        <v>2</v>
      </c>
      <c r="BD1335" s="0">
        <v>374043</v>
      </c>
      <c r="BE1335" s="0">
        <v>90875</v>
      </c>
      <c r="BF1335" s="0">
        <v>2</v>
      </c>
      <c r="BG1335" s="0" t="s">
        <v>9294</v>
      </c>
      <c r="BI1335" s="0">
        <v>433</v>
      </c>
      <c r="BK1335" s="0" t="s">
        <v>9295</v>
      </c>
    </row>
    <row r="1336">
      <c r="A1336" s="0">
        <v>6092</v>
      </c>
      <c r="B1336" s="0" t="s">
        <v>9296</v>
      </c>
      <c r="C1336" s="0" t="s">
        <v>315</v>
      </c>
      <c r="D1336" s="0" t="s">
        <v>9099</v>
      </c>
      <c r="E1336" s="0" t="s">
        <v>9186</v>
      </c>
      <c r="F1336" s="0">
        <v>1</v>
      </c>
      <c r="G1336" s="0" t="s">
        <v>319</v>
      </c>
      <c r="H1336" s="0" t="s">
        <v>398</v>
      </c>
      <c r="I1336" s="0" t="s">
        <v>471</v>
      </c>
      <c r="J1336" s="0" t="s">
        <v>594</v>
      </c>
      <c r="K1336" s="0" t="s">
        <v>1190</v>
      </c>
      <c r="L1336" s="0" t="s">
        <v>469</v>
      </c>
      <c r="P1336" s="0" t="s">
        <v>323</v>
      </c>
      <c r="Q1336" s="0" t="s">
        <v>323</v>
      </c>
      <c r="R1336" s="0" t="s">
        <v>1791</v>
      </c>
      <c r="T1336" s="0" t="s">
        <v>9297</v>
      </c>
      <c r="W1336" s="0" t="s">
        <v>8073</v>
      </c>
      <c r="X1336" s="0" t="s">
        <v>529</v>
      </c>
      <c r="Y1336" s="0" t="s">
        <v>75</v>
      </c>
      <c r="Z1336" s="0" t="s">
        <v>1195</v>
      </c>
      <c r="AA1336" s="0" t="s">
        <v>99</v>
      </c>
      <c r="AB1336" s="0" t="s">
        <v>531</v>
      </c>
      <c r="AE1336" s="0" t="s">
        <v>9258</v>
      </c>
      <c r="AF1336" s="0" t="s">
        <v>301</v>
      </c>
      <c r="AP1336" s="0" t="s">
        <v>305</v>
      </c>
      <c r="BA1336" s="0">
        <v>558</v>
      </c>
      <c r="BB1336" s="0" t="s">
        <v>232</v>
      </c>
      <c r="BC1336" s="0">
        <v>2</v>
      </c>
      <c r="BD1336" s="0">
        <v>374043</v>
      </c>
      <c r="BE1336" s="0">
        <v>90875</v>
      </c>
      <c r="BF1336" s="0">
        <v>2</v>
      </c>
      <c r="BG1336" s="0" t="s">
        <v>9298</v>
      </c>
      <c r="BI1336" s="0">
        <v>2197</v>
      </c>
      <c r="BK1336" s="0" t="s">
        <v>9299</v>
      </c>
    </row>
    <row r="1337">
      <c r="A1337" s="0">
        <v>6093</v>
      </c>
      <c r="B1337" s="0" t="s">
        <v>9300</v>
      </c>
      <c r="C1337" s="0" t="s">
        <v>315</v>
      </c>
      <c r="D1337" s="0" t="s">
        <v>9099</v>
      </c>
      <c r="E1337" s="0" t="s">
        <v>9192</v>
      </c>
      <c r="F1337" s="0">
        <v>2</v>
      </c>
      <c r="G1337" s="0" t="s">
        <v>319</v>
      </c>
      <c r="H1337" s="0" t="s">
        <v>398</v>
      </c>
      <c r="I1337" s="0" t="s">
        <v>471</v>
      </c>
      <c r="J1337" s="0" t="s">
        <v>594</v>
      </c>
      <c r="K1337" s="0" t="s">
        <v>1190</v>
      </c>
      <c r="L1337" s="0" t="s">
        <v>469</v>
      </c>
      <c r="P1337" s="0" t="s">
        <v>323</v>
      </c>
      <c r="Q1337" s="0" t="s">
        <v>323</v>
      </c>
      <c r="R1337" s="0" t="s">
        <v>1791</v>
      </c>
      <c r="T1337" s="0" t="s">
        <v>9301</v>
      </c>
      <c r="W1337" s="0" t="s">
        <v>8073</v>
      </c>
      <c r="X1337" s="0" t="s">
        <v>529</v>
      </c>
      <c r="Y1337" s="0" t="s">
        <v>75</v>
      </c>
      <c r="Z1337" s="0" t="s">
        <v>1195</v>
      </c>
      <c r="AA1337" s="0" t="s">
        <v>99</v>
      </c>
      <c r="AB1337" s="0" t="s">
        <v>531</v>
      </c>
      <c r="AE1337" s="0" t="s">
        <v>9258</v>
      </c>
      <c r="AF1337" s="0" t="s">
        <v>301</v>
      </c>
      <c r="AP1337" s="0" t="s">
        <v>305</v>
      </c>
      <c r="BA1337" s="0">
        <v>558</v>
      </c>
      <c r="BB1337" s="0" t="s">
        <v>232</v>
      </c>
      <c r="BC1337" s="0">
        <v>2</v>
      </c>
      <c r="BD1337" s="0">
        <v>374043</v>
      </c>
      <c r="BE1337" s="0">
        <v>90875</v>
      </c>
      <c r="BF1337" s="0">
        <v>2</v>
      </c>
      <c r="BG1337" s="0" t="s">
        <v>9302</v>
      </c>
      <c r="BI1337" s="0">
        <v>2406</v>
      </c>
      <c r="BK1337" s="0" t="s">
        <v>9303</v>
      </c>
    </row>
    <row r="1338">
      <c r="A1338" s="0">
        <v>6099</v>
      </c>
      <c r="B1338" s="0" t="s">
        <v>9304</v>
      </c>
      <c r="C1338" s="0" t="s">
        <v>315</v>
      </c>
      <c r="D1338" s="0" t="s">
        <v>9099</v>
      </c>
      <c r="E1338" s="0" t="s">
        <v>9198</v>
      </c>
      <c r="F1338" s="0">
        <v>4</v>
      </c>
      <c r="G1338" s="0" t="s">
        <v>555</v>
      </c>
      <c r="H1338" s="0" t="s">
        <v>618</v>
      </c>
      <c r="I1338" s="0" t="s">
        <v>1204</v>
      </c>
      <c r="J1338" s="0" t="s">
        <v>293</v>
      </c>
      <c r="K1338" s="0" t="s">
        <v>294</v>
      </c>
      <c r="L1338" s="0" t="s">
        <v>918</v>
      </c>
      <c r="M1338" s="0" t="s">
        <v>594</v>
      </c>
      <c r="O1338" s="0" t="s">
        <v>1204</v>
      </c>
      <c r="P1338" s="0" t="s">
        <v>323</v>
      </c>
      <c r="Q1338" s="0" t="s">
        <v>343</v>
      </c>
      <c r="R1338" s="0" t="s">
        <v>6612</v>
      </c>
      <c r="T1338" s="0" t="s">
        <v>9305</v>
      </c>
      <c r="W1338" s="0" t="s">
        <v>8073</v>
      </c>
      <c r="X1338" s="0" t="s">
        <v>529</v>
      </c>
      <c r="Y1338" s="0" t="s">
        <v>75</v>
      </c>
      <c r="Z1338" s="0" t="s">
        <v>1195</v>
      </c>
      <c r="AA1338" s="0" t="s">
        <v>99</v>
      </c>
      <c r="AB1338" s="0" t="s">
        <v>531</v>
      </c>
      <c r="AE1338" s="0" t="s">
        <v>9258</v>
      </c>
      <c r="AF1338" s="0" t="s">
        <v>301</v>
      </c>
      <c r="AP1338" s="0" t="s">
        <v>305</v>
      </c>
      <c r="BA1338" s="0">
        <v>558</v>
      </c>
      <c r="BB1338" s="0" t="s">
        <v>232</v>
      </c>
      <c r="BC1338" s="0">
        <v>2</v>
      </c>
      <c r="BD1338" s="0">
        <v>374043</v>
      </c>
      <c r="BE1338" s="0">
        <v>90875</v>
      </c>
      <c r="BF1338" s="0">
        <v>2</v>
      </c>
      <c r="BG1338" s="0" t="s">
        <v>9306</v>
      </c>
      <c r="BI1338" s="0">
        <v>3397</v>
      </c>
      <c r="BK1338" s="0" t="s">
        <v>9307</v>
      </c>
    </row>
    <row r="1339">
      <c r="A1339" s="0">
        <v>6098</v>
      </c>
      <c r="B1339" s="0" t="s">
        <v>9308</v>
      </c>
      <c r="C1339" s="0" t="s">
        <v>656</v>
      </c>
      <c r="D1339" s="0" t="s">
        <v>9099</v>
      </c>
      <c r="E1339" s="0" t="s">
        <v>9204</v>
      </c>
      <c r="F1339" s="0">
        <v>1</v>
      </c>
      <c r="G1339" s="0" t="s">
        <v>555</v>
      </c>
      <c r="H1339" s="0" t="s">
        <v>618</v>
      </c>
      <c r="I1339" s="0" t="s">
        <v>1204</v>
      </c>
      <c r="J1339" s="0" t="s">
        <v>293</v>
      </c>
      <c r="K1339" s="0" t="s">
        <v>294</v>
      </c>
      <c r="L1339" s="0" t="s">
        <v>918</v>
      </c>
      <c r="M1339" s="0" t="s">
        <v>594</v>
      </c>
      <c r="O1339" s="0" t="s">
        <v>1204</v>
      </c>
      <c r="P1339" s="0" t="s">
        <v>323</v>
      </c>
      <c r="Q1339" s="0" t="s">
        <v>343</v>
      </c>
      <c r="R1339" s="0" t="s">
        <v>6612</v>
      </c>
      <c r="T1339" s="0" t="s">
        <v>9309</v>
      </c>
      <c r="W1339" s="0" t="s">
        <v>8073</v>
      </c>
      <c r="X1339" s="0" t="s">
        <v>529</v>
      </c>
      <c r="Y1339" s="0" t="s">
        <v>75</v>
      </c>
      <c r="Z1339" s="0" t="s">
        <v>1195</v>
      </c>
      <c r="AA1339" s="0" t="s">
        <v>99</v>
      </c>
      <c r="AB1339" s="0" t="s">
        <v>531</v>
      </c>
      <c r="AE1339" s="0" t="s">
        <v>9258</v>
      </c>
      <c r="AF1339" s="0" t="s">
        <v>301</v>
      </c>
      <c r="AP1339" s="0" t="s">
        <v>305</v>
      </c>
      <c r="BA1339" s="0">
        <v>558</v>
      </c>
      <c r="BB1339" s="0" t="s">
        <v>232</v>
      </c>
      <c r="BC1339" s="0">
        <v>2</v>
      </c>
      <c r="BD1339" s="0">
        <v>10</v>
      </c>
      <c r="BE1339" s="0">
        <v>90875</v>
      </c>
      <c r="BF1339" s="0">
        <v>2</v>
      </c>
      <c r="BG1339" s="0" t="s">
        <v>9310</v>
      </c>
      <c r="BI1339" s="0">
        <v>3265</v>
      </c>
      <c r="BK1339" s="0" t="s">
        <v>9311</v>
      </c>
    </row>
    <row r="1340">
      <c r="A1340" s="0">
        <v>6097</v>
      </c>
      <c r="B1340" s="0" t="s">
        <v>9312</v>
      </c>
      <c r="C1340" s="0" t="s">
        <v>656</v>
      </c>
      <c r="D1340" s="0" t="s">
        <v>9099</v>
      </c>
      <c r="E1340" s="0" t="s">
        <v>9210</v>
      </c>
      <c r="F1340" s="0">
        <v>3</v>
      </c>
      <c r="G1340" s="0" t="s">
        <v>555</v>
      </c>
      <c r="H1340" s="0" t="s">
        <v>593</v>
      </c>
      <c r="I1340" s="0" t="s">
        <v>1204</v>
      </c>
      <c r="J1340" s="0" t="s">
        <v>293</v>
      </c>
      <c r="K1340" s="0" t="s">
        <v>294</v>
      </c>
      <c r="L1340" s="0" t="s">
        <v>918</v>
      </c>
      <c r="M1340" s="0" t="s">
        <v>594</v>
      </c>
      <c r="O1340" s="0" t="s">
        <v>1204</v>
      </c>
      <c r="P1340" s="0" t="s">
        <v>323</v>
      </c>
      <c r="Q1340" s="0" t="s">
        <v>343</v>
      </c>
      <c r="R1340" s="0" t="s">
        <v>6612</v>
      </c>
      <c r="T1340" s="0" t="s">
        <v>9313</v>
      </c>
      <c r="U1340" s="0" t="s">
        <v>9314</v>
      </c>
      <c r="W1340" s="0" t="s">
        <v>8073</v>
      </c>
      <c r="X1340" s="0" t="s">
        <v>529</v>
      </c>
      <c r="Y1340" s="0" t="s">
        <v>75</v>
      </c>
      <c r="Z1340" s="0" t="s">
        <v>1195</v>
      </c>
      <c r="AA1340" s="0" t="s">
        <v>99</v>
      </c>
      <c r="AB1340" s="0" t="s">
        <v>531</v>
      </c>
      <c r="AE1340" s="0" t="s">
        <v>9258</v>
      </c>
      <c r="AF1340" s="0" t="s">
        <v>301</v>
      </c>
      <c r="AP1340" s="0" t="s">
        <v>305</v>
      </c>
      <c r="BA1340" s="0">
        <v>558</v>
      </c>
      <c r="BB1340" s="0" t="s">
        <v>232</v>
      </c>
      <c r="BC1340" s="0">
        <v>2</v>
      </c>
      <c r="BD1340" s="0">
        <v>10</v>
      </c>
      <c r="BE1340" s="0">
        <v>90875</v>
      </c>
      <c r="BF1340" s="0">
        <v>2</v>
      </c>
      <c r="BG1340" s="0" t="s">
        <v>9315</v>
      </c>
      <c r="BI1340" s="0">
        <v>3114</v>
      </c>
      <c r="BK1340" s="0" t="s">
        <v>9316</v>
      </c>
    </row>
    <row r="1341">
      <c r="A1341" s="0">
        <v>6102</v>
      </c>
      <c r="B1341" s="0" t="s">
        <v>9317</v>
      </c>
      <c r="C1341" s="0" t="s">
        <v>656</v>
      </c>
      <c r="D1341" s="0" t="s">
        <v>9099</v>
      </c>
      <c r="E1341" s="0" t="s">
        <v>9216</v>
      </c>
      <c r="F1341" s="0">
        <v>2</v>
      </c>
      <c r="G1341" s="0" t="s">
        <v>293</v>
      </c>
      <c r="H1341" s="0" t="s">
        <v>294</v>
      </c>
      <c r="I1341" s="0" t="s">
        <v>295</v>
      </c>
      <c r="P1341" s="0" t="s">
        <v>323</v>
      </c>
      <c r="Q1341" s="0" t="s">
        <v>323</v>
      </c>
      <c r="R1341" s="0" t="s">
        <v>1142</v>
      </c>
      <c r="T1341" s="0" t="s">
        <v>9318</v>
      </c>
      <c r="W1341" s="0" t="s">
        <v>8073</v>
      </c>
      <c r="X1341" s="0" t="s">
        <v>529</v>
      </c>
      <c r="Y1341" s="0" t="s">
        <v>75</v>
      </c>
      <c r="Z1341" s="0" t="s">
        <v>1195</v>
      </c>
      <c r="AA1341" s="0" t="s">
        <v>99</v>
      </c>
      <c r="AB1341" s="0" t="s">
        <v>531</v>
      </c>
      <c r="AE1341" s="0" t="s">
        <v>9258</v>
      </c>
      <c r="AF1341" s="0" t="s">
        <v>301</v>
      </c>
      <c r="AP1341" s="0" t="s">
        <v>305</v>
      </c>
      <c r="BA1341" s="0">
        <v>558</v>
      </c>
      <c r="BB1341" s="0" t="s">
        <v>232</v>
      </c>
      <c r="BC1341" s="0">
        <v>2</v>
      </c>
      <c r="BD1341" s="0">
        <v>10</v>
      </c>
      <c r="BE1341" s="0">
        <v>90875</v>
      </c>
      <c r="BF1341" s="0">
        <v>2</v>
      </c>
      <c r="BG1341" s="0" t="s">
        <v>9319</v>
      </c>
      <c r="BI1341" s="0">
        <v>3740</v>
      </c>
      <c r="BK1341" s="0" t="s">
        <v>9320</v>
      </c>
    </row>
    <row r="1342">
      <c r="A1342" s="0">
        <v>6094</v>
      </c>
      <c r="B1342" s="0" t="s">
        <v>9321</v>
      </c>
      <c r="C1342" s="0" t="s">
        <v>315</v>
      </c>
      <c r="D1342" s="0" t="s">
        <v>9099</v>
      </c>
      <c r="E1342" s="0" t="s">
        <v>9322</v>
      </c>
      <c r="F1342" s="0">
        <v>1</v>
      </c>
      <c r="G1342" s="0" t="s">
        <v>555</v>
      </c>
      <c r="H1342" s="0" t="s">
        <v>593</v>
      </c>
      <c r="I1342" s="0" t="s">
        <v>549</v>
      </c>
      <c r="J1342" s="0" t="s">
        <v>293</v>
      </c>
      <c r="K1342" s="0" t="s">
        <v>9323</v>
      </c>
      <c r="L1342" s="0" t="s">
        <v>295</v>
      </c>
      <c r="M1342" s="0" t="s">
        <v>594</v>
      </c>
      <c r="O1342" s="0" t="s">
        <v>469</v>
      </c>
      <c r="P1342" s="0" t="s">
        <v>323</v>
      </c>
      <c r="Q1342" s="0" t="s">
        <v>323</v>
      </c>
      <c r="R1342" s="0" t="s">
        <v>4585</v>
      </c>
      <c r="T1342" s="0" t="s">
        <v>9324</v>
      </c>
      <c r="W1342" s="0" t="s">
        <v>8073</v>
      </c>
      <c r="X1342" s="0" t="s">
        <v>529</v>
      </c>
      <c r="Y1342" s="0" t="s">
        <v>75</v>
      </c>
      <c r="Z1342" s="0" t="s">
        <v>1195</v>
      </c>
      <c r="AA1342" s="0" t="s">
        <v>99</v>
      </c>
      <c r="AB1342" s="0" t="s">
        <v>531</v>
      </c>
      <c r="AE1342" s="0" t="s">
        <v>9258</v>
      </c>
      <c r="AF1342" s="0" t="s">
        <v>301</v>
      </c>
      <c r="AP1342" s="0" t="s">
        <v>305</v>
      </c>
      <c r="BA1342" s="0">
        <v>558</v>
      </c>
      <c r="BB1342" s="0" t="s">
        <v>232</v>
      </c>
      <c r="BC1342" s="0">
        <v>2</v>
      </c>
      <c r="BD1342" s="0">
        <v>374043</v>
      </c>
      <c r="BE1342" s="0">
        <v>90875</v>
      </c>
      <c r="BF1342" s="0">
        <v>2</v>
      </c>
      <c r="BG1342" s="0" t="s">
        <v>9325</v>
      </c>
      <c r="BI1342" s="0">
        <v>2601</v>
      </c>
      <c r="BK1342" s="0" t="s">
        <v>9326</v>
      </c>
    </row>
    <row r="1343">
      <c r="A1343" s="0">
        <v>6118</v>
      </c>
      <c r="B1343" s="0" t="s">
        <v>9327</v>
      </c>
      <c r="C1343" s="0" t="s">
        <v>315</v>
      </c>
      <c r="D1343" s="0" t="s">
        <v>9328</v>
      </c>
      <c r="E1343" s="0" t="s">
        <v>9329</v>
      </c>
      <c r="F1343" s="0">
        <v>1</v>
      </c>
      <c r="G1343" s="0" t="s">
        <v>555</v>
      </c>
      <c r="H1343" s="0" t="s">
        <v>1112</v>
      </c>
      <c r="I1343" s="0" t="s">
        <v>9330</v>
      </c>
      <c r="J1343" s="0" t="s">
        <v>555</v>
      </c>
      <c r="K1343" s="0" t="s">
        <v>1112</v>
      </c>
      <c r="L1343" s="0" t="s">
        <v>2947</v>
      </c>
      <c r="M1343" s="0" t="s">
        <v>594</v>
      </c>
      <c r="N1343" s="0" t="s">
        <v>1190</v>
      </c>
      <c r="O1343" s="0" t="s">
        <v>549</v>
      </c>
      <c r="P1343" s="0" t="s">
        <v>343</v>
      </c>
      <c r="Q1343" s="0" t="s">
        <v>343</v>
      </c>
      <c r="T1343" s="0" t="s">
        <v>9331</v>
      </c>
      <c r="U1343" s="0" t="s">
        <v>9332</v>
      </c>
      <c r="X1343" s="0" t="s">
        <v>347</v>
      </c>
      <c r="Y1343" s="0" t="s">
        <v>89</v>
      </c>
      <c r="Z1343" s="0" t="s">
        <v>6095</v>
      </c>
      <c r="AA1343" s="0" t="s">
        <v>105</v>
      </c>
      <c r="AB1343" s="0" t="s">
        <v>300</v>
      </c>
      <c r="AD1343" s="0" t="s">
        <v>7953</v>
      </c>
      <c r="AE1343" s="0" t="s">
        <v>9333</v>
      </c>
      <c r="AF1343" s="0" t="s">
        <v>301</v>
      </c>
      <c r="AP1343" s="0" t="s">
        <v>305</v>
      </c>
      <c r="BA1343" s="0">
        <v>559</v>
      </c>
      <c r="BB1343" s="0" t="s">
        <v>232</v>
      </c>
      <c r="BC1343" s="0">
        <v>2</v>
      </c>
      <c r="BD1343" s="0">
        <v>374043</v>
      </c>
      <c r="BE1343" s="0">
        <v>519537</v>
      </c>
      <c r="BF1343" s="0">
        <v>4</v>
      </c>
      <c r="BG1343" s="0" t="s">
        <v>9334</v>
      </c>
      <c r="BI1343" s="0">
        <v>1966</v>
      </c>
      <c r="BK1343" s="0" t="s">
        <v>9335</v>
      </c>
    </row>
    <row r="1344">
      <c r="A1344" s="0">
        <v>6117</v>
      </c>
      <c r="B1344" s="0" t="s">
        <v>9336</v>
      </c>
      <c r="C1344" s="0" t="s">
        <v>315</v>
      </c>
      <c r="D1344" s="0" t="s">
        <v>9328</v>
      </c>
      <c r="E1344" s="0" t="s">
        <v>9337</v>
      </c>
      <c r="F1344" s="0">
        <v>2</v>
      </c>
      <c r="G1344" s="0" t="s">
        <v>555</v>
      </c>
      <c r="H1344" s="0" t="s">
        <v>1112</v>
      </c>
      <c r="I1344" s="0" t="s">
        <v>9338</v>
      </c>
      <c r="J1344" s="0" t="s">
        <v>555</v>
      </c>
      <c r="K1344" s="0" t="s">
        <v>1112</v>
      </c>
      <c r="L1344" s="0" t="s">
        <v>2947</v>
      </c>
      <c r="M1344" s="0" t="s">
        <v>594</v>
      </c>
      <c r="N1344" s="0" t="s">
        <v>1190</v>
      </c>
      <c r="O1344" s="0" t="s">
        <v>549</v>
      </c>
      <c r="P1344" s="0" t="s">
        <v>343</v>
      </c>
      <c r="Q1344" s="0" t="s">
        <v>343</v>
      </c>
      <c r="T1344" s="0" t="s">
        <v>9339</v>
      </c>
      <c r="U1344" s="0" t="s">
        <v>9340</v>
      </c>
      <c r="X1344" s="0" t="s">
        <v>347</v>
      </c>
      <c r="Y1344" s="0" t="s">
        <v>89</v>
      </c>
      <c r="Z1344" s="0" t="s">
        <v>6095</v>
      </c>
      <c r="AA1344" s="0" t="s">
        <v>105</v>
      </c>
      <c r="AB1344" s="0" t="s">
        <v>300</v>
      </c>
      <c r="AD1344" s="0" t="s">
        <v>7953</v>
      </c>
      <c r="AE1344" s="0" t="s">
        <v>9333</v>
      </c>
      <c r="AF1344" s="0" t="s">
        <v>301</v>
      </c>
      <c r="AP1344" s="0" t="s">
        <v>305</v>
      </c>
      <c r="BA1344" s="0">
        <v>559</v>
      </c>
      <c r="BB1344" s="0" t="s">
        <v>232</v>
      </c>
      <c r="BC1344" s="0">
        <v>2</v>
      </c>
      <c r="BD1344" s="0">
        <v>374043</v>
      </c>
      <c r="BE1344" s="0">
        <v>519537</v>
      </c>
      <c r="BF1344" s="0">
        <v>4</v>
      </c>
      <c r="BG1344" s="0" t="s">
        <v>9341</v>
      </c>
      <c r="BI1344" s="0">
        <v>1723</v>
      </c>
      <c r="BK1344" s="0" t="s">
        <v>9342</v>
      </c>
    </row>
    <row r="1345">
      <c r="A1345" s="0">
        <v>6116</v>
      </c>
      <c r="B1345" s="0" t="s">
        <v>9343</v>
      </c>
      <c r="C1345" s="0" t="s">
        <v>315</v>
      </c>
      <c r="D1345" s="0" t="s">
        <v>9328</v>
      </c>
      <c r="E1345" s="0" t="s">
        <v>9344</v>
      </c>
      <c r="F1345" s="0">
        <v>1</v>
      </c>
      <c r="G1345" s="0" t="s">
        <v>293</v>
      </c>
      <c r="H1345" s="0" t="s">
        <v>294</v>
      </c>
      <c r="I1345" s="0" t="s">
        <v>295</v>
      </c>
      <c r="J1345" s="0" t="s">
        <v>594</v>
      </c>
      <c r="K1345" s="0" t="s">
        <v>1190</v>
      </c>
      <c r="L1345" s="0" t="s">
        <v>549</v>
      </c>
      <c r="P1345" s="0" t="s">
        <v>343</v>
      </c>
      <c r="Q1345" s="0" t="s">
        <v>343</v>
      </c>
      <c r="T1345" s="0" t="s">
        <v>9345</v>
      </c>
      <c r="U1345" s="0" t="s">
        <v>9346</v>
      </c>
      <c r="X1345" s="0" t="s">
        <v>347</v>
      </c>
      <c r="Y1345" s="0" t="s">
        <v>89</v>
      </c>
      <c r="Z1345" s="0" t="s">
        <v>6095</v>
      </c>
      <c r="AA1345" s="0" t="s">
        <v>105</v>
      </c>
      <c r="AB1345" s="0" t="s">
        <v>300</v>
      </c>
      <c r="AD1345" s="0" t="s">
        <v>7953</v>
      </c>
      <c r="AE1345" s="0" t="s">
        <v>9333</v>
      </c>
      <c r="AF1345" s="0" t="s">
        <v>301</v>
      </c>
      <c r="AP1345" s="0" t="s">
        <v>305</v>
      </c>
      <c r="BA1345" s="0">
        <v>559</v>
      </c>
      <c r="BB1345" s="0" t="s">
        <v>232</v>
      </c>
      <c r="BC1345" s="0">
        <v>2</v>
      </c>
      <c r="BD1345" s="0">
        <v>374043</v>
      </c>
      <c r="BE1345" s="0">
        <v>519537</v>
      </c>
      <c r="BF1345" s="0">
        <v>4</v>
      </c>
      <c r="BG1345" s="0" t="s">
        <v>9347</v>
      </c>
      <c r="BI1345" s="0">
        <v>1457</v>
      </c>
      <c r="BK1345" s="0" t="s">
        <v>9348</v>
      </c>
    </row>
    <row r="1346">
      <c r="A1346" s="0">
        <v>6112</v>
      </c>
      <c r="B1346" s="0" t="s">
        <v>9349</v>
      </c>
      <c r="C1346" s="0" t="s">
        <v>290</v>
      </c>
      <c r="D1346" s="0" t="s">
        <v>9328</v>
      </c>
      <c r="E1346" s="0" t="s">
        <v>9350</v>
      </c>
      <c r="F1346" s="0">
        <v>2</v>
      </c>
      <c r="G1346" s="0" t="s">
        <v>293</v>
      </c>
      <c r="H1346" s="0" t="s">
        <v>294</v>
      </c>
      <c r="I1346" s="0" t="s">
        <v>295</v>
      </c>
      <c r="J1346" s="0" t="s">
        <v>555</v>
      </c>
      <c r="K1346" s="0" t="s">
        <v>1020</v>
      </c>
      <c r="L1346" s="0" t="s">
        <v>549</v>
      </c>
      <c r="P1346" s="0" t="s">
        <v>343</v>
      </c>
      <c r="Q1346" s="0" t="s">
        <v>343</v>
      </c>
      <c r="T1346" s="0" t="s">
        <v>9351</v>
      </c>
      <c r="U1346" s="0" t="s">
        <v>9352</v>
      </c>
      <c r="X1346" s="0" t="s">
        <v>347</v>
      </c>
      <c r="Y1346" s="0" t="s">
        <v>89</v>
      </c>
      <c r="Z1346" s="0" t="s">
        <v>6095</v>
      </c>
      <c r="AA1346" s="0" t="s">
        <v>105</v>
      </c>
      <c r="AB1346" s="0" t="s">
        <v>300</v>
      </c>
      <c r="AD1346" s="0" t="s">
        <v>7953</v>
      </c>
      <c r="AE1346" s="0" t="s">
        <v>9333</v>
      </c>
      <c r="AF1346" s="0" t="s">
        <v>301</v>
      </c>
      <c r="AP1346" s="0" t="s">
        <v>305</v>
      </c>
      <c r="BA1346" s="0">
        <v>559</v>
      </c>
      <c r="BB1346" s="0" t="s">
        <v>232</v>
      </c>
      <c r="BC1346" s="0">
        <v>2</v>
      </c>
      <c r="BD1346" s="0">
        <v>374053</v>
      </c>
      <c r="BE1346" s="0">
        <v>519537</v>
      </c>
      <c r="BF1346" s="0">
        <v>4</v>
      </c>
      <c r="BG1346" s="0" t="s">
        <v>9353</v>
      </c>
      <c r="BI1346" s="0">
        <v>1153</v>
      </c>
      <c r="BK1346" s="0" t="s">
        <v>9354</v>
      </c>
    </row>
    <row r="1347">
      <c r="A1347" s="0">
        <v>6108</v>
      </c>
      <c r="B1347" s="0" t="s">
        <v>9355</v>
      </c>
      <c r="C1347" s="0" t="s">
        <v>315</v>
      </c>
      <c r="D1347" s="0" t="s">
        <v>9328</v>
      </c>
      <c r="E1347" s="0" t="s">
        <v>6221</v>
      </c>
      <c r="F1347" s="0">
        <v>2</v>
      </c>
      <c r="G1347" s="0" t="s">
        <v>293</v>
      </c>
      <c r="H1347" s="0" t="s">
        <v>294</v>
      </c>
      <c r="I1347" s="0" t="s">
        <v>295</v>
      </c>
      <c r="J1347" s="0" t="s">
        <v>594</v>
      </c>
      <c r="K1347" s="0" t="s">
        <v>1190</v>
      </c>
      <c r="L1347" s="0" t="s">
        <v>549</v>
      </c>
      <c r="P1347" s="0" t="s">
        <v>323</v>
      </c>
      <c r="Q1347" s="0" t="s">
        <v>343</v>
      </c>
      <c r="R1347" s="0" t="s">
        <v>673</v>
      </c>
      <c r="T1347" s="0" t="s">
        <v>9356</v>
      </c>
      <c r="U1347" s="0" t="s">
        <v>9357</v>
      </c>
      <c r="X1347" s="0" t="s">
        <v>347</v>
      </c>
      <c r="Y1347" s="0" t="s">
        <v>89</v>
      </c>
      <c r="Z1347" s="0" t="s">
        <v>6095</v>
      </c>
      <c r="AA1347" s="0" t="s">
        <v>105</v>
      </c>
      <c r="AB1347" s="0" t="s">
        <v>300</v>
      </c>
      <c r="AD1347" s="0" t="s">
        <v>7953</v>
      </c>
      <c r="AE1347" s="0" t="s">
        <v>9333</v>
      </c>
      <c r="AF1347" s="0" t="s">
        <v>301</v>
      </c>
      <c r="AP1347" s="0" t="s">
        <v>305</v>
      </c>
      <c r="BA1347" s="0">
        <v>559</v>
      </c>
      <c r="BB1347" s="0" t="s">
        <v>232</v>
      </c>
      <c r="BC1347" s="0">
        <v>2</v>
      </c>
      <c r="BD1347" s="0">
        <v>374043</v>
      </c>
      <c r="BE1347" s="0">
        <v>519537</v>
      </c>
      <c r="BF1347" s="0">
        <v>4</v>
      </c>
      <c r="BG1347" s="0" t="s">
        <v>9358</v>
      </c>
      <c r="BI1347" s="0">
        <v>824</v>
      </c>
      <c r="BK1347" s="0" t="s">
        <v>9359</v>
      </c>
    </row>
    <row r="1348">
      <c r="A1348" s="0">
        <v>6107</v>
      </c>
      <c r="B1348" s="0" t="s">
        <v>6226</v>
      </c>
      <c r="C1348" s="0" t="s">
        <v>315</v>
      </c>
      <c r="D1348" s="0" t="s">
        <v>9328</v>
      </c>
      <c r="E1348" s="0" t="s">
        <v>6227</v>
      </c>
      <c r="F1348" s="0">
        <v>1</v>
      </c>
      <c r="G1348" s="0" t="s">
        <v>293</v>
      </c>
      <c r="H1348" s="0" t="s">
        <v>294</v>
      </c>
      <c r="I1348" s="0" t="s">
        <v>295</v>
      </c>
      <c r="J1348" s="0" t="s">
        <v>594</v>
      </c>
      <c r="K1348" s="0" t="s">
        <v>1190</v>
      </c>
      <c r="L1348" s="0" t="s">
        <v>549</v>
      </c>
      <c r="P1348" s="0" t="s">
        <v>343</v>
      </c>
      <c r="Q1348" s="0" t="s">
        <v>343</v>
      </c>
      <c r="T1348" s="0" t="s">
        <v>9360</v>
      </c>
      <c r="U1348" s="0" t="s">
        <v>9361</v>
      </c>
      <c r="X1348" s="0" t="s">
        <v>347</v>
      </c>
      <c r="Y1348" s="0" t="s">
        <v>89</v>
      </c>
      <c r="Z1348" s="0" t="s">
        <v>6095</v>
      </c>
      <c r="AA1348" s="0" t="s">
        <v>105</v>
      </c>
      <c r="AB1348" s="0" t="s">
        <v>300</v>
      </c>
      <c r="AD1348" s="0" t="s">
        <v>7953</v>
      </c>
      <c r="AE1348" s="0" t="s">
        <v>9333</v>
      </c>
      <c r="AF1348" s="0" t="s">
        <v>301</v>
      </c>
      <c r="AP1348" s="0" t="s">
        <v>305</v>
      </c>
      <c r="BA1348" s="0">
        <v>559</v>
      </c>
      <c r="BB1348" s="0" t="s">
        <v>232</v>
      </c>
      <c r="BC1348" s="0">
        <v>2</v>
      </c>
      <c r="BD1348" s="0">
        <v>374043</v>
      </c>
      <c r="BE1348" s="0">
        <v>519537</v>
      </c>
      <c r="BF1348" s="0">
        <v>4</v>
      </c>
      <c r="BG1348" s="0" t="s">
        <v>9362</v>
      </c>
      <c r="BI1348" s="0">
        <v>431</v>
      </c>
      <c r="BK1348" s="0" t="s">
        <v>9363</v>
      </c>
    </row>
    <row r="1349">
      <c r="A1349" s="0">
        <v>6110</v>
      </c>
      <c r="B1349" s="0" t="s">
        <v>9364</v>
      </c>
      <c r="C1349" s="0" t="s">
        <v>656</v>
      </c>
      <c r="D1349" s="0" t="s">
        <v>9365</v>
      </c>
      <c r="E1349" s="0" t="s">
        <v>9366</v>
      </c>
      <c r="F1349" s="0">
        <v>1</v>
      </c>
      <c r="G1349" s="0" t="s">
        <v>293</v>
      </c>
      <c r="H1349" s="0" t="s">
        <v>294</v>
      </c>
      <c r="I1349" s="0" t="s">
        <v>295</v>
      </c>
      <c r="J1349" s="0" t="s">
        <v>9367</v>
      </c>
      <c r="L1349" s="0" t="s">
        <v>469</v>
      </c>
      <c r="P1349" s="0" t="s">
        <v>343</v>
      </c>
      <c r="Q1349" s="0" t="s">
        <v>343</v>
      </c>
      <c r="T1349" s="0" t="s">
        <v>9368</v>
      </c>
      <c r="U1349" s="0" t="s">
        <v>9369</v>
      </c>
      <c r="W1349" s="0" t="s">
        <v>9370</v>
      </c>
      <c r="X1349" s="0" t="s">
        <v>347</v>
      </c>
      <c r="Y1349" s="0" t="s">
        <v>107</v>
      </c>
      <c r="Z1349" s="0" t="s">
        <v>7874</v>
      </c>
      <c r="AA1349" s="0" t="s">
        <v>106</v>
      </c>
      <c r="AB1349" s="0" t="s">
        <v>531</v>
      </c>
      <c r="AF1349" s="0" t="s">
        <v>301</v>
      </c>
      <c r="AP1349" s="0" t="s">
        <v>305</v>
      </c>
      <c r="BA1349" s="0">
        <v>560</v>
      </c>
      <c r="BB1349" s="0" t="s">
        <v>232</v>
      </c>
      <c r="BC1349" s="0">
        <v>2</v>
      </c>
      <c r="BD1349" s="0">
        <v>10</v>
      </c>
      <c r="BE1349" s="0">
        <v>519921</v>
      </c>
      <c r="BF1349" s="0">
        <v>4</v>
      </c>
      <c r="BG1349" s="0" t="s">
        <v>9371</v>
      </c>
      <c r="BI1349" s="0">
        <v>831</v>
      </c>
      <c r="BK1349" s="0" t="s">
        <v>9372</v>
      </c>
    </row>
    <row r="1350">
      <c r="A1350" s="0">
        <v>6111</v>
      </c>
      <c r="B1350" s="0" t="s">
        <v>9373</v>
      </c>
      <c r="C1350" s="0" t="s">
        <v>656</v>
      </c>
      <c r="D1350" s="0" t="s">
        <v>9365</v>
      </c>
      <c r="E1350" s="0" t="s">
        <v>9374</v>
      </c>
      <c r="F1350" s="0">
        <v>1</v>
      </c>
      <c r="G1350" s="0" t="s">
        <v>293</v>
      </c>
      <c r="H1350" s="0" t="s">
        <v>294</v>
      </c>
      <c r="I1350" s="0" t="s">
        <v>295</v>
      </c>
      <c r="J1350" s="0" t="s">
        <v>9367</v>
      </c>
      <c r="L1350" s="0" t="s">
        <v>469</v>
      </c>
      <c r="P1350" s="0" t="s">
        <v>343</v>
      </c>
      <c r="Q1350" s="0" t="s">
        <v>343</v>
      </c>
      <c r="T1350" s="0" t="s">
        <v>9375</v>
      </c>
      <c r="U1350" s="0" t="s">
        <v>9376</v>
      </c>
      <c r="W1350" s="0" t="s">
        <v>9370</v>
      </c>
      <c r="X1350" s="0" t="s">
        <v>347</v>
      </c>
      <c r="Y1350" s="0" t="s">
        <v>107</v>
      </c>
      <c r="Z1350" s="0" t="s">
        <v>7874</v>
      </c>
      <c r="AA1350" s="0" t="s">
        <v>106</v>
      </c>
      <c r="AB1350" s="0" t="s">
        <v>531</v>
      </c>
      <c r="AF1350" s="0" t="s">
        <v>301</v>
      </c>
      <c r="AP1350" s="0" t="s">
        <v>305</v>
      </c>
      <c r="BA1350" s="0">
        <v>560</v>
      </c>
      <c r="BB1350" s="0" t="s">
        <v>232</v>
      </c>
      <c r="BC1350" s="0">
        <v>2</v>
      </c>
      <c r="BD1350" s="0">
        <v>10</v>
      </c>
      <c r="BE1350" s="0">
        <v>519921</v>
      </c>
      <c r="BF1350" s="0">
        <v>4</v>
      </c>
      <c r="BG1350" s="0" t="s">
        <v>9377</v>
      </c>
      <c r="BI1350" s="0">
        <v>1159</v>
      </c>
      <c r="BK1350" s="0" t="s">
        <v>9378</v>
      </c>
    </row>
    <row r="1351">
      <c r="A1351" s="0">
        <v>6109</v>
      </c>
      <c r="B1351" s="0" t="s">
        <v>9379</v>
      </c>
      <c r="C1351" s="0" t="s">
        <v>656</v>
      </c>
      <c r="D1351" s="0" t="s">
        <v>9365</v>
      </c>
      <c r="E1351" s="0" t="s">
        <v>9380</v>
      </c>
      <c r="F1351" s="0">
        <v>1</v>
      </c>
      <c r="G1351" s="0" t="s">
        <v>293</v>
      </c>
      <c r="H1351" s="0" t="s">
        <v>294</v>
      </c>
      <c r="I1351" s="0" t="s">
        <v>295</v>
      </c>
      <c r="J1351" s="0" t="s">
        <v>9367</v>
      </c>
      <c r="L1351" s="0" t="s">
        <v>469</v>
      </c>
      <c r="P1351" s="0" t="s">
        <v>343</v>
      </c>
      <c r="Q1351" s="0" t="s">
        <v>343</v>
      </c>
      <c r="T1351" s="0" t="s">
        <v>9381</v>
      </c>
      <c r="U1351" s="0" t="s">
        <v>9382</v>
      </c>
      <c r="W1351" s="0" t="s">
        <v>9370</v>
      </c>
      <c r="X1351" s="0" t="s">
        <v>347</v>
      </c>
      <c r="Y1351" s="0" t="s">
        <v>107</v>
      </c>
      <c r="Z1351" s="0" t="s">
        <v>7874</v>
      </c>
      <c r="AA1351" s="0" t="s">
        <v>106</v>
      </c>
      <c r="AB1351" s="0" t="s">
        <v>531</v>
      </c>
      <c r="AF1351" s="0" t="s">
        <v>301</v>
      </c>
      <c r="AP1351" s="0" t="s">
        <v>305</v>
      </c>
      <c r="BA1351" s="0">
        <v>560</v>
      </c>
      <c r="BB1351" s="0" t="s">
        <v>232</v>
      </c>
      <c r="BC1351" s="0">
        <v>2</v>
      </c>
      <c r="BD1351" s="0">
        <v>10</v>
      </c>
      <c r="BE1351" s="0">
        <v>519921</v>
      </c>
      <c r="BF1351" s="0">
        <v>4</v>
      </c>
      <c r="BG1351" s="0" t="s">
        <v>9383</v>
      </c>
      <c r="BI1351" s="0">
        <v>440</v>
      </c>
      <c r="BK1351" s="0" t="s">
        <v>9384</v>
      </c>
    </row>
    <row r="1352">
      <c r="A1352" s="0">
        <v>6121</v>
      </c>
      <c r="B1352" s="0" t="s">
        <v>9385</v>
      </c>
      <c r="C1352" s="0" t="s">
        <v>6376</v>
      </c>
      <c r="D1352" s="0" t="s">
        <v>9386</v>
      </c>
      <c r="E1352" s="0" t="s">
        <v>9387</v>
      </c>
      <c r="F1352" s="0">
        <v>1</v>
      </c>
      <c r="G1352" s="0" t="s">
        <v>319</v>
      </c>
      <c r="H1352" s="0" t="s">
        <v>523</v>
      </c>
      <c r="I1352" s="0" t="s">
        <v>1268</v>
      </c>
      <c r="J1352" s="0" t="s">
        <v>594</v>
      </c>
      <c r="L1352" s="0" t="s">
        <v>1268</v>
      </c>
      <c r="P1352" s="0" t="s">
        <v>323</v>
      </c>
      <c r="Q1352" s="0" t="s">
        <v>343</v>
      </c>
      <c r="R1352" s="0" t="s">
        <v>661</v>
      </c>
      <c r="T1352" s="0" t="s">
        <v>9388</v>
      </c>
      <c r="U1352" s="0" t="s">
        <v>9389</v>
      </c>
      <c r="W1352" s="0" t="s">
        <v>9386</v>
      </c>
      <c r="X1352" s="0" t="s">
        <v>347</v>
      </c>
      <c r="Y1352" s="0" t="s">
        <v>104</v>
      </c>
      <c r="Z1352" s="0" t="s">
        <v>2464</v>
      </c>
      <c r="AA1352" s="0" t="s">
        <v>103</v>
      </c>
      <c r="AB1352" s="0" t="s">
        <v>3740</v>
      </c>
      <c r="AF1352" s="0" t="s">
        <v>301</v>
      </c>
      <c r="AP1352" s="0" t="s">
        <v>305</v>
      </c>
      <c r="BA1352" s="0">
        <v>562</v>
      </c>
      <c r="BB1352" s="0" t="s">
        <v>232</v>
      </c>
      <c r="BC1352" s="0">
        <v>2</v>
      </c>
      <c r="BD1352" s="0">
        <v>374103</v>
      </c>
      <c r="BE1352" s="0">
        <v>58611</v>
      </c>
      <c r="BF1352" s="0">
        <v>4</v>
      </c>
      <c r="BG1352" s="0" t="s">
        <v>9390</v>
      </c>
      <c r="BI1352" s="0">
        <v>1154</v>
      </c>
      <c r="BK1352" s="0" t="s">
        <v>9391</v>
      </c>
    </row>
    <row r="1353">
      <c r="A1353" s="0">
        <v>6128</v>
      </c>
      <c r="B1353" s="0" t="s">
        <v>9392</v>
      </c>
      <c r="C1353" s="0" t="s">
        <v>656</v>
      </c>
      <c r="D1353" s="0" t="s">
        <v>9386</v>
      </c>
      <c r="E1353" s="0" t="s">
        <v>9393</v>
      </c>
      <c r="F1353" s="0">
        <v>1</v>
      </c>
      <c r="G1353" s="0" t="s">
        <v>319</v>
      </c>
      <c r="H1353" s="0" t="s">
        <v>483</v>
      </c>
      <c r="I1353" s="0" t="s">
        <v>9394</v>
      </c>
      <c r="J1353" s="0" t="s">
        <v>293</v>
      </c>
      <c r="K1353" s="0" t="s">
        <v>294</v>
      </c>
      <c r="L1353" s="0" t="s">
        <v>295</v>
      </c>
      <c r="P1353" s="0" t="s">
        <v>323</v>
      </c>
      <c r="Q1353" s="0" t="s">
        <v>323</v>
      </c>
      <c r="R1353" s="0" t="s">
        <v>526</v>
      </c>
      <c r="T1353" s="0" t="s">
        <v>9395</v>
      </c>
      <c r="U1353" s="0" t="s">
        <v>9396</v>
      </c>
      <c r="W1353" s="0" t="s">
        <v>9386</v>
      </c>
      <c r="X1353" s="0" t="s">
        <v>347</v>
      </c>
      <c r="Y1353" s="0" t="s">
        <v>104</v>
      </c>
      <c r="Z1353" s="0" t="s">
        <v>2464</v>
      </c>
      <c r="AA1353" s="0" t="s">
        <v>103</v>
      </c>
      <c r="AB1353" s="0" t="s">
        <v>3740</v>
      </c>
      <c r="AF1353" s="0" t="s">
        <v>301</v>
      </c>
      <c r="AP1353" s="0" t="s">
        <v>305</v>
      </c>
      <c r="BA1353" s="0">
        <v>562</v>
      </c>
      <c r="BB1353" s="0" t="s">
        <v>232</v>
      </c>
      <c r="BC1353" s="0">
        <v>2</v>
      </c>
      <c r="BD1353" s="0">
        <v>10</v>
      </c>
      <c r="BE1353" s="0">
        <v>58611</v>
      </c>
      <c r="BF1353" s="0">
        <v>4</v>
      </c>
      <c r="BG1353" s="0" t="s">
        <v>9397</v>
      </c>
      <c r="BI1353" s="0">
        <v>2776</v>
      </c>
      <c r="BK1353" s="0" t="s">
        <v>9398</v>
      </c>
    </row>
    <row r="1354">
      <c r="A1354" s="0">
        <v>6122</v>
      </c>
      <c r="B1354" s="0" t="s">
        <v>9399</v>
      </c>
      <c r="C1354" s="0" t="s">
        <v>6376</v>
      </c>
      <c r="D1354" s="0" t="s">
        <v>9386</v>
      </c>
      <c r="E1354" s="0" t="s">
        <v>5278</v>
      </c>
      <c r="F1354" s="0">
        <v>1</v>
      </c>
      <c r="G1354" s="0" t="s">
        <v>319</v>
      </c>
      <c r="H1354" s="0" t="s">
        <v>523</v>
      </c>
      <c r="I1354" s="0" t="s">
        <v>1268</v>
      </c>
      <c r="L1354" s="0" t="s">
        <v>1268</v>
      </c>
      <c r="P1354" s="0" t="s">
        <v>323</v>
      </c>
      <c r="Q1354" s="0" t="s">
        <v>343</v>
      </c>
      <c r="R1354" s="0" t="s">
        <v>1783</v>
      </c>
      <c r="T1354" s="0" t="s">
        <v>9400</v>
      </c>
      <c r="U1354" s="0" t="s">
        <v>9401</v>
      </c>
      <c r="W1354" s="0" t="s">
        <v>9386</v>
      </c>
      <c r="X1354" s="0" t="s">
        <v>347</v>
      </c>
      <c r="Y1354" s="0" t="s">
        <v>104</v>
      </c>
      <c r="Z1354" s="0" t="s">
        <v>2464</v>
      </c>
      <c r="AA1354" s="0" t="s">
        <v>103</v>
      </c>
      <c r="AB1354" s="0" t="s">
        <v>3740</v>
      </c>
      <c r="AF1354" s="0" t="s">
        <v>301</v>
      </c>
      <c r="AP1354" s="0" t="s">
        <v>305</v>
      </c>
      <c r="BA1354" s="0">
        <v>562</v>
      </c>
      <c r="BB1354" s="0" t="s">
        <v>232</v>
      </c>
      <c r="BC1354" s="0">
        <v>2</v>
      </c>
      <c r="BD1354" s="0">
        <v>374103</v>
      </c>
      <c r="BE1354" s="0">
        <v>58611</v>
      </c>
      <c r="BF1354" s="0">
        <v>4</v>
      </c>
      <c r="BG1354" s="0" t="s">
        <v>9402</v>
      </c>
      <c r="BI1354" s="0">
        <v>1458</v>
      </c>
      <c r="BK1354" s="0" t="s">
        <v>9403</v>
      </c>
    </row>
    <row r="1355">
      <c r="A1355" s="0">
        <v>6120</v>
      </c>
      <c r="B1355" s="0" t="s">
        <v>9404</v>
      </c>
      <c r="C1355" s="0" t="s">
        <v>4325</v>
      </c>
      <c r="D1355" s="0" t="s">
        <v>9386</v>
      </c>
      <c r="E1355" s="0" t="s">
        <v>9405</v>
      </c>
      <c r="F1355" s="0">
        <v>1</v>
      </c>
      <c r="G1355" s="0" t="s">
        <v>319</v>
      </c>
      <c r="H1355" s="0" t="s">
        <v>658</v>
      </c>
      <c r="I1355" s="0" t="s">
        <v>948</v>
      </c>
      <c r="J1355" s="0" t="s">
        <v>594</v>
      </c>
      <c r="L1355" s="0" t="s">
        <v>1683</v>
      </c>
      <c r="P1355" s="0" t="s">
        <v>323</v>
      </c>
      <c r="Q1355" s="0" t="s">
        <v>323</v>
      </c>
      <c r="R1355" s="0" t="s">
        <v>661</v>
      </c>
      <c r="W1355" s="0" t="s">
        <v>9386</v>
      </c>
      <c r="X1355" s="0" t="s">
        <v>529</v>
      </c>
      <c r="Y1355" s="0" t="s">
        <v>104</v>
      </c>
      <c r="Z1355" s="0" t="s">
        <v>2464</v>
      </c>
      <c r="AA1355" s="0" t="s">
        <v>103</v>
      </c>
      <c r="AB1355" s="0" t="s">
        <v>3740</v>
      </c>
      <c r="AF1355" s="0" t="s">
        <v>301</v>
      </c>
      <c r="AP1355" s="0" t="s">
        <v>305</v>
      </c>
      <c r="BA1355" s="0">
        <v>562</v>
      </c>
      <c r="BB1355" s="0" t="s">
        <v>232</v>
      </c>
      <c r="BC1355" s="0">
        <v>2</v>
      </c>
      <c r="BD1355" s="0">
        <v>374056</v>
      </c>
      <c r="BE1355" s="0">
        <v>58611</v>
      </c>
      <c r="BF1355" s="0">
        <v>2</v>
      </c>
      <c r="BG1355" s="0" t="s">
        <v>9406</v>
      </c>
      <c r="BI1355" s="0">
        <v>825</v>
      </c>
      <c r="BK1355" s="0" t="s">
        <v>9407</v>
      </c>
    </row>
    <row r="1356">
      <c r="A1356" s="0">
        <v>6124</v>
      </c>
      <c r="B1356" s="0" t="s">
        <v>9408</v>
      </c>
      <c r="C1356" s="0" t="s">
        <v>945</v>
      </c>
      <c r="D1356" s="0" t="s">
        <v>9386</v>
      </c>
      <c r="E1356" s="0" t="s">
        <v>9409</v>
      </c>
      <c r="F1356" s="0">
        <v>1</v>
      </c>
      <c r="G1356" s="0" t="s">
        <v>319</v>
      </c>
      <c r="H1356" s="0" t="s">
        <v>398</v>
      </c>
      <c r="I1356" s="0" t="s">
        <v>471</v>
      </c>
      <c r="J1356" s="0" t="s">
        <v>594</v>
      </c>
      <c r="L1356" s="0" t="s">
        <v>3204</v>
      </c>
      <c r="P1356" s="0" t="s">
        <v>323</v>
      </c>
      <c r="Q1356" s="0" t="s">
        <v>323</v>
      </c>
      <c r="R1356" s="0" t="s">
        <v>2488</v>
      </c>
      <c r="T1356" s="0" t="s">
        <v>9410</v>
      </c>
      <c r="U1356" s="0" t="s">
        <v>9411</v>
      </c>
      <c r="W1356" s="0" t="s">
        <v>9386</v>
      </c>
      <c r="X1356" s="0" t="s">
        <v>347</v>
      </c>
      <c r="Y1356" s="0" t="s">
        <v>104</v>
      </c>
      <c r="Z1356" s="0" t="s">
        <v>2464</v>
      </c>
      <c r="AA1356" s="0" t="s">
        <v>103</v>
      </c>
      <c r="AB1356" s="0" t="s">
        <v>3740</v>
      </c>
      <c r="AF1356" s="0" t="s">
        <v>301</v>
      </c>
      <c r="AM1356" s="0" t="s">
        <v>707</v>
      </c>
      <c r="AN1356" s="0" t="s">
        <v>9412</v>
      </c>
      <c r="AO1356" s="0" t="s">
        <v>780</v>
      </c>
      <c r="AP1356" s="0" t="s">
        <v>305</v>
      </c>
      <c r="AQ1356" s="0" t="s">
        <v>1096</v>
      </c>
      <c r="AR1356" s="0" t="s">
        <v>302</v>
      </c>
      <c r="AS1356" s="0">
        <v>18</v>
      </c>
      <c r="AT1356" s="0">
        <v>36</v>
      </c>
      <c r="AU1356" s="0">
        <v>44</v>
      </c>
      <c r="AV1356" s="0" t="s">
        <v>332</v>
      </c>
      <c r="AW1356" s="0" t="s">
        <v>332</v>
      </c>
      <c r="AX1356" s="0" t="s">
        <v>477</v>
      </c>
      <c r="AY1356" s="0" t="s">
        <v>7923</v>
      </c>
      <c r="AZ1356" s="0" t="s">
        <v>372</v>
      </c>
      <c r="BA1356" s="0">
        <v>562</v>
      </c>
      <c r="BB1356" s="0" t="s">
        <v>232</v>
      </c>
      <c r="BC1356" s="0">
        <v>2</v>
      </c>
      <c r="BD1356" s="0">
        <v>14</v>
      </c>
      <c r="BE1356" s="0">
        <v>58611</v>
      </c>
      <c r="BF1356" s="0">
        <v>4</v>
      </c>
      <c r="BG1356" s="0" t="s">
        <v>9413</v>
      </c>
      <c r="BI1356" s="0">
        <v>1967</v>
      </c>
      <c r="BK1356" s="0" t="s">
        <v>9414</v>
      </c>
    </row>
    <row r="1357">
      <c r="A1357" s="0">
        <v>6123</v>
      </c>
      <c r="B1357" s="0" t="s">
        <v>9415</v>
      </c>
      <c r="C1357" s="0" t="s">
        <v>945</v>
      </c>
      <c r="D1357" s="0" t="s">
        <v>9386</v>
      </c>
      <c r="E1357" s="0" t="s">
        <v>5397</v>
      </c>
      <c r="F1357" s="0">
        <v>1</v>
      </c>
      <c r="G1357" s="0" t="s">
        <v>319</v>
      </c>
      <c r="H1357" s="0" t="s">
        <v>398</v>
      </c>
      <c r="I1357" s="0" t="s">
        <v>471</v>
      </c>
      <c r="J1357" s="0" t="s">
        <v>594</v>
      </c>
      <c r="L1357" s="0" t="s">
        <v>3204</v>
      </c>
      <c r="P1357" s="0" t="s">
        <v>323</v>
      </c>
      <c r="Q1357" s="0" t="s">
        <v>323</v>
      </c>
      <c r="R1357" s="0" t="s">
        <v>2488</v>
      </c>
      <c r="T1357" s="0" t="s">
        <v>9416</v>
      </c>
      <c r="U1357" s="0" t="s">
        <v>9417</v>
      </c>
      <c r="W1357" s="0" t="s">
        <v>9386</v>
      </c>
      <c r="X1357" s="0" t="s">
        <v>347</v>
      </c>
      <c r="Y1357" s="0" t="s">
        <v>104</v>
      </c>
      <c r="Z1357" s="0" t="s">
        <v>2464</v>
      </c>
      <c r="AA1357" s="0" t="s">
        <v>103</v>
      </c>
      <c r="AB1357" s="0" t="s">
        <v>3740</v>
      </c>
      <c r="AF1357" s="0" t="s">
        <v>301</v>
      </c>
      <c r="AM1357" s="0" t="s">
        <v>707</v>
      </c>
      <c r="AN1357" s="0" t="s">
        <v>9418</v>
      </c>
      <c r="AO1357" s="0" t="s">
        <v>780</v>
      </c>
      <c r="AP1357" s="0" t="s">
        <v>305</v>
      </c>
      <c r="AQ1357" s="0" t="s">
        <v>818</v>
      </c>
      <c r="AR1357" s="0" t="s">
        <v>1105</v>
      </c>
      <c r="AS1357" s="0">
        <v>32</v>
      </c>
      <c r="AT1357" s="0">
        <v>68</v>
      </c>
      <c r="AU1357" s="0">
        <v>84</v>
      </c>
      <c r="AV1357" s="0" t="s">
        <v>332</v>
      </c>
      <c r="AW1357" s="0" t="s">
        <v>332</v>
      </c>
      <c r="AX1357" s="0" t="s">
        <v>477</v>
      </c>
      <c r="AY1357" s="0" t="s">
        <v>762</v>
      </c>
      <c r="AZ1357" s="0" t="s">
        <v>372</v>
      </c>
      <c r="BA1357" s="0">
        <v>562</v>
      </c>
      <c r="BB1357" s="0" t="s">
        <v>232</v>
      </c>
      <c r="BC1357" s="0">
        <v>2</v>
      </c>
      <c r="BD1357" s="0">
        <v>14</v>
      </c>
      <c r="BE1357" s="0">
        <v>58611</v>
      </c>
      <c r="BF1357" s="0">
        <v>4</v>
      </c>
      <c r="BG1357" s="0" t="s">
        <v>9419</v>
      </c>
      <c r="BI1357" s="0">
        <v>1724</v>
      </c>
      <c r="BK1357" s="0" t="s">
        <v>9420</v>
      </c>
    </row>
    <row r="1358">
      <c r="A1358" s="0">
        <v>6125</v>
      </c>
      <c r="B1358" s="0" t="s">
        <v>9421</v>
      </c>
      <c r="C1358" s="0" t="s">
        <v>945</v>
      </c>
      <c r="D1358" s="0" t="s">
        <v>9386</v>
      </c>
      <c r="E1358" s="0" t="s">
        <v>7932</v>
      </c>
      <c r="F1358" s="0">
        <v>1</v>
      </c>
      <c r="G1358" s="0" t="s">
        <v>319</v>
      </c>
      <c r="H1358" s="0" t="s">
        <v>398</v>
      </c>
      <c r="I1358" s="0" t="s">
        <v>471</v>
      </c>
      <c r="J1358" s="0" t="s">
        <v>508</v>
      </c>
      <c r="L1358" s="0" t="s">
        <v>3204</v>
      </c>
      <c r="P1358" s="0" t="s">
        <v>343</v>
      </c>
      <c r="Q1358" s="0" t="s">
        <v>343</v>
      </c>
      <c r="T1358" s="0" t="s">
        <v>9410</v>
      </c>
      <c r="U1358" s="0" t="s">
        <v>9422</v>
      </c>
      <c r="W1358" s="0" t="s">
        <v>9386</v>
      </c>
      <c r="X1358" s="0" t="s">
        <v>347</v>
      </c>
      <c r="Y1358" s="0" t="s">
        <v>104</v>
      </c>
      <c r="Z1358" s="0" t="s">
        <v>2464</v>
      </c>
      <c r="AA1358" s="0" t="s">
        <v>103</v>
      </c>
      <c r="AB1358" s="0" t="s">
        <v>3740</v>
      </c>
      <c r="AF1358" s="0" t="s">
        <v>301</v>
      </c>
      <c r="AM1358" s="0" t="s">
        <v>9423</v>
      </c>
      <c r="AN1358" s="0" t="s">
        <v>608</v>
      </c>
      <c r="AO1358" s="0" t="s">
        <v>442</v>
      </c>
      <c r="AP1358" s="0" t="s">
        <v>305</v>
      </c>
      <c r="AQ1358" s="0" t="s">
        <v>1106</v>
      </c>
      <c r="AR1358" s="0" t="s">
        <v>1432</v>
      </c>
      <c r="AS1358" s="0">
        <v>86</v>
      </c>
      <c r="AT1358" s="0">
        <v>181</v>
      </c>
      <c r="AU1358" s="0">
        <v>210</v>
      </c>
      <c r="AV1358" s="0" t="s">
        <v>332</v>
      </c>
      <c r="AW1358" s="0" t="s">
        <v>332</v>
      </c>
      <c r="AX1358" s="0" t="s">
        <v>3039</v>
      </c>
      <c r="AY1358" s="0" t="s">
        <v>912</v>
      </c>
      <c r="AZ1358" s="0" t="s">
        <v>809</v>
      </c>
      <c r="BA1358" s="0">
        <v>562</v>
      </c>
      <c r="BB1358" s="0" t="s">
        <v>232</v>
      </c>
      <c r="BC1358" s="0">
        <v>2</v>
      </c>
      <c r="BD1358" s="0">
        <v>14</v>
      </c>
      <c r="BE1358" s="0">
        <v>58611</v>
      </c>
      <c r="BF1358" s="0">
        <v>4</v>
      </c>
      <c r="BG1358" s="0" t="s">
        <v>9424</v>
      </c>
      <c r="BI1358" s="0">
        <v>2195</v>
      </c>
      <c r="BK1358" s="0" t="s">
        <v>9425</v>
      </c>
    </row>
    <row r="1359">
      <c r="A1359" s="0">
        <v>6139</v>
      </c>
      <c r="B1359" s="0" t="s">
        <v>9426</v>
      </c>
      <c r="D1359" s="0" t="s">
        <v>9370</v>
      </c>
      <c r="E1359" s="0" t="s">
        <v>9427</v>
      </c>
      <c r="F1359" s="0">
        <v>1</v>
      </c>
      <c r="G1359" s="0" t="s">
        <v>543</v>
      </c>
      <c r="H1359" s="0" t="s">
        <v>593</v>
      </c>
      <c r="I1359" s="0" t="s">
        <v>549</v>
      </c>
      <c r="J1359" s="0" t="s">
        <v>293</v>
      </c>
      <c r="K1359" s="0" t="s">
        <v>294</v>
      </c>
      <c r="L1359" s="0" t="s">
        <v>295</v>
      </c>
      <c r="M1359" s="0" t="s">
        <v>508</v>
      </c>
      <c r="P1359" s="0" t="s">
        <v>323</v>
      </c>
      <c r="Q1359" s="0" t="s">
        <v>323</v>
      </c>
      <c r="R1359" s="0" t="s">
        <v>9428</v>
      </c>
      <c r="W1359" s="0" t="s">
        <v>9370</v>
      </c>
      <c r="X1359" s="0" t="s">
        <v>1116</v>
      </c>
      <c r="Y1359" s="0" t="s">
        <v>42</v>
      </c>
      <c r="Z1359" s="0" t="s">
        <v>2384</v>
      </c>
      <c r="AA1359" s="0" t="s">
        <v>108</v>
      </c>
      <c r="AB1359" s="0" t="s">
        <v>531</v>
      </c>
      <c r="AC1359" s="0" t="s">
        <v>532</v>
      </c>
      <c r="AD1359" s="0" t="s">
        <v>9429</v>
      </c>
      <c r="AE1359" s="0" t="s">
        <v>9430</v>
      </c>
      <c r="AF1359" s="0" t="s">
        <v>1688</v>
      </c>
      <c r="AP1359" s="0" t="s">
        <v>305</v>
      </c>
      <c r="BA1359" s="0">
        <v>563</v>
      </c>
      <c r="BB1359" s="0" t="s">
        <v>232</v>
      </c>
      <c r="BC1359" s="0">
        <v>3</v>
      </c>
      <c r="BE1359" s="0">
        <v>70560</v>
      </c>
      <c r="BF1359" s="0">
        <v>1</v>
      </c>
      <c r="BG1359" s="0" t="s">
        <v>9431</v>
      </c>
      <c r="BI1359" s="0">
        <v>2946</v>
      </c>
      <c r="BK1359" s="0" t="s">
        <v>9432</v>
      </c>
    </row>
    <row r="1360">
      <c r="A1360" s="0">
        <v>6134</v>
      </c>
      <c r="B1360" s="0" t="s">
        <v>9433</v>
      </c>
      <c r="C1360" s="0" t="s">
        <v>9434</v>
      </c>
      <c r="D1360" s="0" t="s">
        <v>9370</v>
      </c>
      <c r="E1360" s="0" t="s">
        <v>9435</v>
      </c>
      <c r="F1360" s="0">
        <v>2</v>
      </c>
      <c r="G1360" s="0" t="s">
        <v>319</v>
      </c>
      <c r="H1360" s="0" t="s">
        <v>658</v>
      </c>
      <c r="I1360" s="0" t="s">
        <v>9436</v>
      </c>
      <c r="P1360" s="0" t="s">
        <v>323</v>
      </c>
      <c r="Q1360" s="0" t="s">
        <v>323</v>
      </c>
      <c r="R1360" s="0" t="s">
        <v>9436</v>
      </c>
      <c r="T1360" s="0" t="s">
        <v>9437</v>
      </c>
      <c r="W1360" s="0" t="s">
        <v>9370</v>
      </c>
      <c r="X1360" s="0" t="s">
        <v>529</v>
      </c>
      <c r="Y1360" s="0" t="s">
        <v>42</v>
      </c>
      <c r="Z1360" s="0" t="s">
        <v>2384</v>
      </c>
      <c r="AA1360" s="0" t="s">
        <v>108</v>
      </c>
      <c r="AB1360" s="0" t="s">
        <v>531</v>
      </c>
      <c r="AC1360" s="0" t="s">
        <v>532</v>
      </c>
      <c r="AD1360" s="0" t="s">
        <v>9429</v>
      </c>
      <c r="AE1360" s="0" t="s">
        <v>9430</v>
      </c>
      <c r="AF1360" s="0" t="s">
        <v>1688</v>
      </c>
      <c r="AP1360" s="0" t="s">
        <v>305</v>
      </c>
      <c r="BA1360" s="0">
        <v>563</v>
      </c>
      <c r="BB1360" s="0" t="s">
        <v>232</v>
      </c>
      <c r="BC1360" s="0">
        <v>3</v>
      </c>
      <c r="BD1360" s="0">
        <v>374076</v>
      </c>
      <c r="BE1360" s="0">
        <v>70560</v>
      </c>
      <c r="BF1360" s="0">
        <v>2</v>
      </c>
      <c r="BG1360" s="0" t="s">
        <v>9438</v>
      </c>
      <c r="BI1360" s="0">
        <v>1965</v>
      </c>
      <c r="BK1360" s="0" t="s">
        <v>9439</v>
      </c>
    </row>
    <row r="1361">
      <c r="A1361" s="0">
        <v>6136</v>
      </c>
      <c r="B1361" s="0" t="s">
        <v>9440</v>
      </c>
      <c r="C1361" s="0" t="s">
        <v>8139</v>
      </c>
      <c r="D1361" s="0" t="s">
        <v>9370</v>
      </c>
      <c r="E1361" s="0" t="s">
        <v>9441</v>
      </c>
      <c r="F1361" s="0">
        <v>4</v>
      </c>
      <c r="G1361" s="0" t="s">
        <v>319</v>
      </c>
      <c r="H1361" s="0" t="s">
        <v>1745</v>
      </c>
      <c r="I1361" s="0" t="s">
        <v>9436</v>
      </c>
      <c r="P1361" s="0" t="s">
        <v>323</v>
      </c>
      <c r="Q1361" s="0" t="s">
        <v>343</v>
      </c>
      <c r="R1361" s="0" t="s">
        <v>9442</v>
      </c>
      <c r="T1361" s="0" t="s">
        <v>9443</v>
      </c>
      <c r="W1361" s="0" t="s">
        <v>9370</v>
      </c>
      <c r="X1361" s="0" t="s">
        <v>529</v>
      </c>
      <c r="Y1361" s="0" t="s">
        <v>42</v>
      </c>
      <c r="Z1361" s="0" t="s">
        <v>2384</v>
      </c>
      <c r="AA1361" s="0" t="s">
        <v>108</v>
      </c>
      <c r="AB1361" s="0" t="s">
        <v>531</v>
      </c>
      <c r="AC1361" s="0" t="s">
        <v>532</v>
      </c>
      <c r="AD1361" s="0" t="s">
        <v>9429</v>
      </c>
      <c r="AE1361" s="0" t="s">
        <v>9430</v>
      </c>
      <c r="AF1361" s="0" t="s">
        <v>1688</v>
      </c>
      <c r="AP1361" s="0" t="s">
        <v>305</v>
      </c>
      <c r="BA1361" s="0">
        <v>563</v>
      </c>
      <c r="BB1361" s="0" t="s">
        <v>232</v>
      </c>
      <c r="BC1361" s="0">
        <v>3</v>
      </c>
      <c r="BD1361" s="0">
        <v>374088</v>
      </c>
      <c r="BE1361" s="0">
        <v>70560</v>
      </c>
      <c r="BF1361" s="0">
        <v>2</v>
      </c>
      <c r="BG1361" s="0" t="s">
        <v>9444</v>
      </c>
      <c r="BI1361" s="0">
        <v>2405</v>
      </c>
      <c r="BK1361" s="0" t="s">
        <v>9445</v>
      </c>
    </row>
    <row r="1362">
      <c r="A1362" s="0">
        <v>6131</v>
      </c>
      <c r="B1362" s="0" t="s">
        <v>9446</v>
      </c>
      <c r="C1362" s="0" t="s">
        <v>9447</v>
      </c>
      <c r="D1362" s="0" t="s">
        <v>9370</v>
      </c>
      <c r="E1362" s="0" t="s">
        <v>6447</v>
      </c>
      <c r="F1362" s="0">
        <v>4</v>
      </c>
      <c r="G1362" s="0" t="s">
        <v>319</v>
      </c>
      <c r="H1362" s="0" t="s">
        <v>1693</v>
      </c>
      <c r="I1362" s="0" t="s">
        <v>9448</v>
      </c>
      <c r="J1362" s="0" t="s">
        <v>508</v>
      </c>
      <c r="P1362" s="0" t="s">
        <v>323</v>
      </c>
      <c r="Q1362" s="0" t="s">
        <v>343</v>
      </c>
      <c r="R1362" s="0" t="s">
        <v>9449</v>
      </c>
      <c r="T1362" s="0" t="s">
        <v>9450</v>
      </c>
      <c r="U1362" s="0" t="s">
        <v>9451</v>
      </c>
      <c r="W1362" s="0" t="s">
        <v>9370</v>
      </c>
      <c r="X1362" s="0" t="s">
        <v>529</v>
      </c>
      <c r="Y1362" s="0" t="s">
        <v>42</v>
      </c>
      <c r="Z1362" s="0" t="s">
        <v>2384</v>
      </c>
      <c r="AA1362" s="0" t="s">
        <v>108</v>
      </c>
      <c r="AB1362" s="0" t="s">
        <v>531</v>
      </c>
      <c r="AC1362" s="0" t="s">
        <v>532</v>
      </c>
      <c r="AD1362" s="0" t="s">
        <v>9429</v>
      </c>
      <c r="AE1362" s="0" t="s">
        <v>9430</v>
      </c>
      <c r="AF1362" s="0" t="s">
        <v>1688</v>
      </c>
      <c r="AP1362" s="0" t="s">
        <v>305</v>
      </c>
      <c r="BA1362" s="0">
        <v>563</v>
      </c>
      <c r="BB1362" s="0" t="s">
        <v>232</v>
      </c>
      <c r="BC1362" s="0">
        <v>3</v>
      </c>
      <c r="BD1362" s="0">
        <v>374090</v>
      </c>
      <c r="BE1362" s="0">
        <v>70560</v>
      </c>
      <c r="BF1362" s="0">
        <v>2</v>
      </c>
      <c r="BG1362" s="0" t="s">
        <v>9452</v>
      </c>
      <c r="BI1362" s="0">
        <v>1152</v>
      </c>
      <c r="BK1362" s="0" t="s">
        <v>9453</v>
      </c>
    </row>
    <row r="1363">
      <c r="A1363" s="0">
        <v>6137</v>
      </c>
      <c r="B1363" s="0" t="s">
        <v>9454</v>
      </c>
      <c r="C1363" s="0" t="s">
        <v>9455</v>
      </c>
      <c r="D1363" s="0" t="s">
        <v>9370</v>
      </c>
      <c r="E1363" s="0" t="s">
        <v>9456</v>
      </c>
      <c r="F1363" s="0">
        <v>2</v>
      </c>
      <c r="G1363" s="0" t="s">
        <v>319</v>
      </c>
      <c r="H1363" s="0" t="s">
        <v>658</v>
      </c>
      <c r="I1363" s="0" t="s">
        <v>9436</v>
      </c>
      <c r="J1363" s="0" t="s">
        <v>508</v>
      </c>
      <c r="P1363" s="0" t="s">
        <v>323</v>
      </c>
      <c r="Q1363" s="0" t="s">
        <v>323</v>
      </c>
      <c r="R1363" s="0" t="s">
        <v>9436</v>
      </c>
      <c r="T1363" s="0" t="s">
        <v>9457</v>
      </c>
      <c r="W1363" s="0" t="s">
        <v>9370</v>
      </c>
      <c r="X1363" s="0" t="s">
        <v>529</v>
      </c>
      <c r="Y1363" s="0" t="s">
        <v>42</v>
      </c>
      <c r="Z1363" s="0" t="s">
        <v>2384</v>
      </c>
      <c r="AA1363" s="0" t="s">
        <v>108</v>
      </c>
      <c r="AB1363" s="0" t="s">
        <v>531</v>
      </c>
      <c r="AC1363" s="0" t="s">
        <v>532</v>
      </c>
      <c r="AD1363" s="0" t="s">
        <v>9429</v>
      </c>
      <c r="AE1363" s="0" t="s">
        <v>9430</v>
      </c>
      <c r="AF1363" s="0" t="s">
        <v>1688</v>
      </c>
      <c r="AP1363" s="0" t="s">
        <v>305</v>
      </c>
      <c r="BA1363" s="0">
        <v>563</v>
      </c>
      <c r="BB1363" s="0" t="s">
        <v>232</v>
      </c>
      <c r="BC1363" s="0">
        <v>3</v>
      </c>
      <c r="BD1363" s="0">
        <v>374102</v>
      </c>
      <c r="BE1363" s="0">
        <v>70560</v>
      </c>
      <c r="BF1363" s="0">
        <v>2</v>
      </c>
      <c r="BG1363" s="0" t="s">
        <v>9458</v>
      </c>
      <c r="BI1363" s="0">
        <v>2599</v>
      </c>
      <c r="BK1363" s="0" t="s">
        <v>9459</v>
      </c>
    </row>
    <row r="1364">
      <c r="A1364" s="0">
        <v>6140</v>
      </c>
      <c r="B1364" s="0" t="s">
        <v>9460</v>
      </c>
      <c r="D1364" s="0" t="s">
        <v>9370</v>
      </c>
      <c r="E1364" s="0" t="s">
        <v>9461</v>
      </c>
      <c r="F1364" s="0">
        <v>2</v>
      </c>
      <c r="G1364" s="0" t="s">
        <v>293</v>
      </c>
      <c r="H1364" s="0" t="s">
        <v>294</v>
      </c>
      <c r="I1364" s="0" t="s">
        <v>295</v>
      </c>
      <c r="P1364" s="0" t="s">
        <v>343</v>
      </c>
      <c r="Q1364" s="0" t="s">
        <v>343</v>
      </c>
      <c r="R1364" s="0" t="s">
        <v>343</v>
      </c>
      <c r="T1364" s="0" t="s">
        <v>9462</v>
      </c>
      <c r="W1364" s="0" t="s">
        <v>9370</v>
      </c>
      <c r="X1364" s="0" t="s">
        <v>1116</v>
      </c>
      <c r="Y1364" s="0" t="s">
        <v>42</v>
      </c>
      <c r="Z1364" s="0" t="s">
        <v>2384</v>
      </c>
      <c r="AA1364" s="0" t="s">
        <v>108</v>
      </c>
      <c r="AB1364" s="0" t="s">
        <v>531</v>
      </c>
      <c r="AC1364" s="0" t="s">
        <v>532</v>
      </c>
      <c r="AD1364" s="0" t="s">
        <v>9429</v>
      </c>
      <c r="AE1364" s="0" t="s">
        <v>9430</v>
      </c>
      <c r="AF1364" s="0" t="s">
        <v>1688</v>
      </c>
      <c r="AP1364" s="0" t="s">
        <v>305</v>
      </c>
      <c r="BA1364" s="0">
        <v>563</v>
      </c>
      <c r="BB1364" s="0" t="s">
        <v>232</v>
      </c>
      <c r="BC1364" s="0">
        <v>3</v>
      </c>
      <c r="BE1364" s="0">
        <v>70560</v>
      </c>
      <c r="BF1364" s="0">
        <v>1</v>
      </c>
      <c r="BG1364" s="0" t="s">
        <v>9463</v>
      </c>
      <c r="BI1364" s="0">
        <v>3112</v>
      </c>
      <c r="BK1364" s="0" t="s">
        <v>9464</v>
      </c>
    </row>
    <row r="1365">
      <c r="A1365" s="0">
        <v>6143</v>
      </c>
      <c r="B1365" s="0" t="s">
        <v>9465</v>
      </c>
      <c r="D1365" s="0" t="s">
        <v>9370</v>
      </c>
      <c r="E1365" s="0" t="s">
        <v>9466</v>
      </c>
      <c r="F1365" s="0">
        <v>2</v>
      </c>
      <c r="G1365" s="0" t="s">
        <v>293</v>
      </c>
      <c r="H1365" s="0" t="s">
        <v>294</v>
      </c>
      <c r="I1365" s="0" t="s">
        <v>918</v>
      </c>
      <c r="P1365" s="0" t="s">
        <v>343</v>
      </c>
      <c r="Q1365" s="0" t="s">
        <v>343</v>
      </c>
      <c r="T1365" s="0" t="s">
        <v>9467</v>
      </c>
      <c r="W1365" s="0" t="s">
        <v>9370</v>
      </c>
      <c r="X1365" s="0" t="s">
        <v>1116</v>
      </c>
      <c r="Y1365" s="0" t="s">
        <v>42</v>
      </c>
      <c r="Z1365" s="0" t="s">
        <v>2384</v>
      </c>
      <c r="AA1365" s="0" t="s">
        <v>108</v>
      </c>
      <c r="AB1365" s="0" t="s">
        <v>531</v>
      </c>
      <c r="AC1365" s="0" t="s">
        <v>532</v>
      </c>
      <c r="AD1365" s="0" t="s">
        <v>9429</v>
      </c>
      <c r="AE1365" s="0" t="s">
        <v>9430</v>
      </c>
      <c r="AF1365" s="0" t="s">
        <v>1688</v>
      </c>
      <c r="AP1365" s="0" t="s">
        <v>305</v>
      </c>
      <c r="BA1365" s="0">
        <v>563</v>
      </c>
      <c r="BB1365" s="0" t="s">
        <v>232</v>
      </c>
      <c r="BC1365" s="0">
        <v>3</v>
      </c>
      <c r="BE1365" s="0">
        <v>70560</v>
      </c>
      <c r="BF1365" s="0">
        <v>1</v>
      </c>
      <c r="BG1365" s="0" t="s">
        <v>9468</v>
      </c>
      <c r="BI1365" s="0">
        <v>3518</v>
      </c>
      <c r="BK1365" s="0" t="s">
        <v>9469</v>
      </c>
    </row>
    <row r="1366">
      <c r="A1366" s="0">
        <v>6135</v>
      </c>
      <c r="B1366" s="0" t="s">
        <v>9470</v>
      </c>
      <c r="C1366" s="0" t="s">
        <v>9434</v>
      </c>
      <c r="D1366" s="0" t="s">
        <v>9370</v>
      </c>
      <c r="E1366" s="0" t="s">
        <v>9471</v>
      </c>
      <c r="F1366" s="0">
        <v>2</v>
      </c>
      <c r="G1366" s="0" t="s">
        <v>319</v>
      </c>
      <c r="H1366" s="0" t="s">
        <v>483</v>
      </c>
      <c r="I1366" s="0" t="s">
        <v>1668</v>
      </c>
      <c r="P1366" s="0" t="s">
        <v>323</v>
      </c>
      <c r="Q1366" s="0" t="s">
        <v>323</v>
      </c>
      <c r="R1366" s="0" t="s">
        <v>9436</v>
      </c>
      <c r="T1366" s="0" t="s">
        <v>9472</v>
      </c>
      <c r="W1366" s="0" t="s">
        <v>9370</v>
      </c>
      <c r="X1366" s="0" t="s">
        <v>529</v>
      </c>
      <c r="Y1366" s="0" t="s">
        <v>42</v>
      </c>
      <c r="Z1366" s="0" t="s">
        <v>2384</v>
      </c>
      <c r="AA1366" s="0" t="s">
        <v>108</v>
      </c>
      <c r="AB1366" s="0" t="s">
        <v>531</v>
      </c>
      <c r="AC1366" s="0" t="s">
        <v>532</v>
      </c>
      <c r="AD1366" s="0" t="s">
        <v>9429</v>
      </c>
      <c r="AE1366" s="0" t="s">
        <v>9430</v>
      </c>
      <c r="AF1366" s="0" t="s">
        <v>1688</v>
      </c>
      <c r="AP1366" s="0" t="s">
        <v>305</v>
      </c>
      <c r="BA1366" s="0">
        <v>563</v>
      </c>
      <c r="BB1366" s="0" t="s">
        <v>232</v>
      </c>
      <c r="BC1366" s="0">
        <v>3</v>
      </c>
      <c r="BD1366" s="0">
        <v>374076</v>
      </c>
      <c r="BE1366" s="0">
        <v>70560</v>
      </c>
      <c r="BF1366" s="0">
        <v>2</v>
      </c>
      <c r="BG1366" s="0" t="s">
        <v>9473</v>
      </c>
      <c r="BI1366" s="0">
        <v>2194</v>
      </c>
      <c r="BK1366" s="0" t="s">
        <v>9474</v>
      </c>
    </row>
    <row r="1367">
      <c r="A1367" s="0">
        <v>6132</v>
      </c>
      <c r="B1367" s="0" t="s">
        <v>9475</v>
      </c>
      <c r="C1367" s="0" t="s">
        <v>9476</v>
      </c>
      <c r="D1367" s="0" t="s">
        <v>9370</v>
      </c>
      <c r="E1367" s="0" t="s">
        <v>9471</v>
      </c>
      <c r="F1367" s="0">
        <v>2</v>
      </c>
      <c r="G1367" s="0" t="s">
        <v>508</v>
      </c>
      <c r="H1367" s="0" t="s">
        <v>1190</v>
      </c>
      <c r="I1367" s="0" t="s">
        <v>497</v>
      </c>
      <c r="J1367" s="0" t="s">
        <v>293</v>
      </c>
      <c r="K1367" s="0" t="s">
        <v>294</v>
      </c>
      <c r="L1367" s="0" t="s">
        <v>918</v>
      </c>
      <c r="P1367" s="0" t="s">
        <v>323</v>
      </c>
      <c r="Q1367" s="0" t="s">
        <v>323</v>
      </c>
      <c r="R1367" s="0" t="s">
        <v>9477</v>
      </c>
      <c r="T1367" s="0" t="s">
        <v>9478</v>
      </c>
      <c r="W1367" s="0" t="s">
        <v>9370</v>
      </c>
      <c r="X1367" s="0" t="s">
        <v>529</v>
      </c>
      <c r="Y1367" s="0" t="s">
        <v>42</v>
      </c>
      <c r="Z1367" s="0" t="s">
        <v>2384</v>
      </c>
      <c r="AA1367" s="0" t="s">
        <v>108</v>
      </c>
      <c r="AB1367" s="0" t="s">
        <v>531</v>
      </c>
      <c r="AC1367" s="0" t="s">
        <v>532</v>
      </c>
      <c r="AD1367" s="0" t="s">
        <v>9429</v>
      </c>
      <c r="AE1367" s="0" t="s">
        <v>9430</v>
      </c>
      <c r="AF1367" s="0" t="s">
        <v>1688</v>
      </c>
      <c r="AP1367" s="0" t="s">
        <v>305</v>
      </c>
      <c r="BA1367" s="0">
        <v>563</v>
      </c>
      <c r="BB1367" s="0" t="s">
        <v>232</v>
      </c>
      <c r="BC1367" s="0">
        <v>3</v>
      </c>
      <c r="BD1367" s="0">
        <v>374087</v>
      </c>
      <c r="BE1367" s="0">
        <v>70560</v>
      </c>
      <c r="BF1367" s="0">
        <v>2</v>
      </c>
      <c r="BG1367" s="0" t="s">
        <v>9479</v>
      </c>
      <c r="BI1367" s="0">
        <v>1456</v>
      </c>
      <c r="BK1367" s="0" t="s">
        <v>9480</v>
      </c>
    </row>
    <row r="1368">
      <c r="A1368" s="0">
        <v>6142</v>
      </c>
      <c r="B1368" s="0" t="s">
        <v>9481</v>
      </c>
      <c r="D1368" s="0" t="s">
        <v>9370</v>
      </c>
      <c r="E1368" s="0" t="s">
        <v>9482</v>
      </c>
      <c r="F1368" s="0">
        <v>2</v>
      </c>
      <c r="G1368" s="0" t="s">
        <v>293</v>
      </c>
      <c r="H1368" s="0" t="s">
        <v>294</v>
      </c>
      <c r="I1368" s="0" t="s">
        <v>295</v>
      </c>
      <c r="P1368" s="0" t="s">
        <v>343</v>
      </c>
      <c r="Q1368" s="0" t="s">
        <v>343</v>
      </c>
      <c r="T1368" s="0" t="s">
        <v>9483</v>
      </c>
      <c r="W1368" s="0" t="s">
        <v>9370</v>
      </c>
      <c r="X1368" s="0" t="s">
        <v>1116</v>
      </c>
      <c r="Y1368" s="0" t="s">
        <v>42</v>
      </c>
      <c r="Z1368" s="0" t="s">
        <v>2384</v>
      </c>
      <c r="AA1368" s="0" t="s">
        <v>108</v>
      </c>
      <c r="AB1368" s="0" t="s">
        <v>531</v>
      </c>
      <c r="AC1368" s="0" t="s">
        <v>532</v>
      </c>
      <c r="AD1368" s="0" t="s">
        <v>9429</v>
      </c>
      <c r="AE1368" s="0" t="s">
        <v>9430</v>
      </c>
      <c r="AF1368" s="0" t="s">
        <v>1688</v>
      </c>
      <c r="AP1368" s="0" t="s">
        <v>305</v>
      </c>
      <c r="BA1368" s="0">
        <v>563</v>
      </c>
      <c r="BB1368" s="0" t="s">
        <v>232</v>
      </c>
      <c r="BC1368" s="0">
        <v>3</v>
      </c>
      <c r="BE1368" s="0">
        <v>70560</v>
      </c>
      <c r="BF1368" s="0">
        <v>1</v>
      </c>
      <c r="BG1368" s="0" t="s">
        <v>9484</v>
      </c>
      <c r="BI1368" s="0">
        <v>3396</v>
      </c>
      <c r="BK1368" s="0" t="s">
        <v>9485</v>
      </c>
    </row>
    <row r="1369">
      <c r="A1369" s="0">
        <v>6130</v>
      </c>
      <c r="B1369" s="0" t="s">
        <v>9486</v>
      </c>
      <c r="C1369" s="0" t="s">
        <v>9447</v>
      </c>
      <c r="D1369" s="0" t="s">
        <v>9370</v>
      </c>
      <c r="E1369" s="0" t="s">
        <v>9487</v>
      </c>
      <c r="F1369" s="0">
        <v>4</v>
      </c>
      <c r="G1369" s="0" t="s">
        <v>319</v>
      </c>
      <c r="H1369" s="0" t="s">
        <v>658</v>
      </c>
      <c r="I1369" s="0" t="s">
        <v>9488</v>
      </c>
      <c r="J1369" s="0" t="s">
        <v>508</v>
      </c>
      <c r="P1369" s="0" t="s">
        <v>323</v>
      </c>
      <c r="Q1369" s="0" t="s">
        <v>343</v>
      </c>
      <c r="R1369" s="0" t="s">
        <v>9489</v>
      </c>
      <c r="T1369" s="0" t="s">
        <v>9490</v>
      </c>
      <c r="W1369" s="0" t="s">
        <v>9370</v>
      </c>
      <c r="X1369" s="0" t="s">
        <v>529</v>
      </c>
      <c r="Y1369" s="0" t="s">
        <v>42</v>
      </c>
      <c r="Z1369" s="0" t="s">
        <v>2384</v>
      </c>
      <c r="AA1369" s="0" t="s">
        <v>108</v>
      </c>
      <c r="AB1369" s="0" t="s">
        <v>531</v>
      </c>
      <c r="AC1369" s="0" t="s">
        <v>532</v>
      </c>
      <c r="AD1369" s="0" t="s">
        <v>9429</v>
      </c>
      <c r="AE1369" s="0" t="s">
        <v>9430</v>
      </c>
      <c r="AF1369" s="0" t="s">
        <v>1688</v>
      </c>
      <c r="AP1369" s="0" t="s">
        <v>305</v>
      </c>
      <c r="BA1369" s="0">
        <v>563</v>
      </c>
      <c r="BB1369" s="0" t="s">
        <v>232</v>
      </c>
      <c r="BC1369" s="0">
        <v>3</v>
      </c>
      <c r="BD1369" s="0">
        <v>374090</v>
      </c>
      <c r="BE1369" s="0">
        <v>70560</v>
      </c>
      <c r="BF1369" s="0">
        <v>2</v>
      </c>
      <c r="BG1369" s="0" t="s">
        <v>9491</v>
      </c>
      <c r="BI1369" s="0">
        <v>823</v>
      </c>
      <c r="BK1369" s="0" t="s">
        <v>9492</v>
      </c>
    </row>
    <row r="1370">
      <c r="A1370" s="0">
        <v>6133</v>
      </c>
      <c r="B1370" s="0" t="s">
        <v>9493</v>
      </c>
      <c r="C1370" s="0" t="s">
        <v>9494</v>
      </c>
      <c r="D1370" s="0" t="s">
        <v>9370</v>
      </c>
      <c r="E1370" s="0" t="s">
        <v>9495</v>
      </c>
      <c r="F1370" s="0">
        <v>2</v>
      </c>
      <c r="G1370" s="0" t="s">
        <v>555</v>
      </c>
      <c r="H1370" s="0" t="s">
        <v>593</v>
      </c>
      <c r="I1370" s="0" t="s">
        <v>469</v>
      </c>
      <c r="J1370" s="0" t="s">
        <v>293</v>
      </c>
      <c r="K1370" s="0" t="s">
        <v>294</v>
      </c>
      <c r="L1370" s="0" t="s">
        <v>918</v>
      </c>
      <c r="P1370" s="0" t="s">
        <v>323</v>
      </c>
      <c r="Q1370" s="0" t="s">
        <v>323</v>
      </c>
      <c r="R1370" s="0" t="s">
        <v>9496</v>
      </c>
      <c r="T1370" s="0" t="s">
        <v>9497</v>
      </c>
      <c r="W1370" s="0" t="s">
        <v>9370</v>
      </c>
      <c r="X1370" s="0" t="s">
        <v>529</v>
      </c>
      <c r="Y1370" s="0" t="s">
        <v>42</v>
      </c>
      <c r="Z1370" s="0" t="s">
        <v>2384</v>
      </c>
      <c r="AA1370" s="0" t="s">
        <v>108</v>
      </c>
      <c r="AB1370" s="0" t="s">
        <v>531</v>
      </c>
      <c r="AC1370" s="0" t="s">
        <v>532</v>
      </c>
      <c r="AD1370" s="0" t="s">
        <v>9429</v>
      </c>
      <c r="AE1370" s="0" t="s">
        <v>9430</v>
      </c>
      <c r="AF1370" s="0" t="s">
        <v>1688</v>
      </c>
      <c r="AP1370" s="0" t="s">
        <v>305</v>
      </c>
      <c r="BA1370" s="0">
        <v>563</v>
      </c>
      <c r="BB1370" s="0" t="s">
        <v>232</v>
      </c>
      <c r="BC1370" s="0">
        <v>3</v>
      </c>
      <c r="BD1370" s="0">
        <v>374098</v>
      </c>
      <c r="BE1370" s="0">
        <v>70560</v>
      </c>
      <c r="BF1370" s="0">
        <v>2</v>
      </c>
      <c r="BG1370" s="0" t="s">
        <v>9498</v>
      </c>
      <c r="BI1370" s="0">
        <v>1722</v>
      </c>
      <c r="BK1370" s="0" t="s">
        <v>9499</v>
      </c>
    </row>
    <row r="1371">
      <c r="A1371" s="0">
        <v>6129</v>
      </c>
      <c r="B1371" s="0" t="s">
        <v>9500</v>
      </c>
      <c r="D1371" s="0" t="s">
        <v>9370</v>
      </c>
      <c r="E1371" s="0" t="s">
        <v>9501</v>
      </c>
      <c r="F1371" s="0">
        <v>2</v>
      </c>
      <c r="G1371" s="0" t="s">
        <v>319</v>
      </c>
      <c r="H1371" s="0" t="s">
        <v>523</v>
      </c>
      <c r="I1371" s="0" t="s">
        <v>9502</v>
      </c>
      <c r="J1371" s="0" t="s">
        <v>400</v>
      </c>
      <c r="K1371" s="0" t="s">
        <v>1190</v>
      </c>
      <c r="L1371" s="0" t="s">
        <v>469</v>
      </c>
      <c r="P1371" s="0" t="s">
        <v>343</v>
      </c>
      <c r="Q1371" s="0" t="s">
        <v>343</v>
      </c>
      <c r="R1371" s="0" t="s">
        <v>343</v>
      </c>
      <c r="W1371" s="0" t="s">
        <v>9370</v>
      </c>
      <c r="X1371" s="0" t="s">
        <v>1116</v>
      </c>
      <c r="Y1371" s="0" t="s">
        <v>42</v>
      </c>
      <c r="Z1371" s="0" t="s">
        <v>2384</v>
      </c>
      <c r="AA1371" s="0" t="s">
        <v>108</v>
      </c>
      <c r="AB1371" s="0" t="s">
        <v>531</v>
      </c>
      <c r="AC1371" s="0" t="s">
        <v>532</v>
      </c>
      <c r="AD1371" s="0" t="s">
        <v>9429</v>
      </c>
      <c r="AE1371" s="0" t="s">
        <v>9430</v>
      </c>
      <c r="AF1371" s="0" t="s">
        <v>1688</v>
      </c>
      <c r="AP1371" s="0" t="s">
        <v>305</v>
      </c>
      <c r="BA1371" s="0">
        <v>563</v>
      </c>
      <c r="BB1371" s="0" t="s">
        <v>232</v>
      </c>
      <c r="BC1371" s="0">
        <v>3</v>
      </c>
      <c r="BE1371" s="0">
        <v>70560</v>
      </c>
      <c r="BF1371" s="0">
        <v>1</v>
      </c>
      <c r="BG1371" s="0" t="s">
        <v>9503</v>
      </c>
      <c r="BI1371" s="0">
        <v>430</v>
      </c>
      <c r="BK1371" s="0" t="s">
        <v>9504</v>
      </c>
    </row>
    <row r="1372">
      <c r="A1372" s="0">
        <v>6138</v>
      </c>
      <c r="B1372" s="0" t="s">
        <v>9505</v>
      </c>
      <c r="C1372" s="0" t="s">
        <v>9455</v>
      </c>
      <c r="D1372" s="0" t="s">
        <v>9370</v>
      </c>
      <c r="E1372" s="0" t="s">
        <v>9506</v>
      </c>
      <c r="F1372" s="0">
        <v>2</v>
      </c>
      <c r="G1372" s="0" t="s">
        <v>319</v>
      </c>
      <c r="H1372" s="0" t="s">
        <v>658</v>
      </c>
      <c r="I1372" s="0" t="s">
        <v>9436</v>
      </c>
      <c r="J1372" s="0" t="s">
        <v>508</v>
      </c>
      <c r="P1372" s="0" t="s">
        <v>323</v>
      </c>
      <c r="Q1372" s="0" t="s">
        <v>4015</v>
      </c>
      <c r="R1372" s="0" t="s">
        <v>9436</v>
      </c>
      <c r="T1372" s="0" t="s">
        <v>9507</v>
      </c>
      <c r="W1372" s="0" t="s">
        <v>9370</v>
      </c>
      <c r="X1372" s="0" t="s">
        <v>529</v>
      </c>
      <c r="Y1372" s="0" t="s">
        <v>42</v>
      </c>
      <c r="Z1372" s="0" t="s">
        <v>2384</v>
      </c>
      <c r="AA1372" s="0" t="s">
        <v>108</v>
      </c>
      <c r="AB1372" s="0" t="s">
        <v>531</v>
      </c>
      <c r="AC1372" s="0" t="s">
        <v>532</v>
      </c>
      <c r="AD1372" s="0" t="s">
        <v>9429</v>
      </c>
      <c r="AE1372" s="0" t="s">
        <v>9430</v>
      </c>
      <c r="AF1372" s="0" t="s">
        <v>1688</v>
      </c>
      <c r="AP1372" s="0" t="s">
        <v>305</v>
      </c>
      <c r="BA1372" s="0">
        <v>563</v>
      </c>
      <c r="BB1372" s="0" t="s">
        <v>232</v>
      </c>
      <c r="BC1372" s="0">
        <v>3</v>
      </c>
      <c r="BD1372" s="0">
        <v>374102</v>
      </c>
      <c r="BE1372" s="0">
        <v>70560</v>
      </c>
      <c r="BF1372" s="0">
        <v>2</v>
      </c>
      <c r="BG1372" s="0" t="s">
        <v>9508</v>
      </c>
      <c r="BI1372" s="0">
        <v>2775</v>
      </c>
      <c r="BK1372" s="0" t="s">
        <v>9509</v>
      </c>
    </row>
    <row r="1373">
      <c r="A1373" s="0">
        <v>6141</v>
      </c>
      <c r="B1373" s="0" t="s">
        <v>9510</v>
      </c>
      <c r="D1373" s="0" t="s">
        <v>9370</v>
      </c>
      <c r="E1373" s="0" t="s">
        <v>9511</v>
      </c>
      <c r="F1373" s="0">
        <v>2</v>
      </c>
      <c r="G1373" s="0" t="s">
        <v>293</v>
      </c>
      <c r="H1373" s="0" t="s">
        <v>294</v>
      </c>
      <c r="I1373" s="0" t="s">
        <v>918</v>
      </c>
      <c r="J1373" s="0" t="s">
        <v>400</v>
      </c>
      <c r="L1373" s="0" t="s">
        <v>1916</v>
      </c>
      <c r="P1373" s="0" t="s">
        <v>343</v>
      </c>
      <c r="Q1373" s="0" t="s">
        <v>343</v>
      </c>
      <c r="R1373" s="0" t="s">
        <v>343</v>
      </c>
      <c r="T1373" s="0" t="s">
        <v>9512</v>
      </c>
      <c r="W1373" s="0" t="s">
        <v>9370</v>
      </c>
      <c r="X1373" s="0" t="s">
        <v>1116</v>
      </c>
      <c r="Y1373" s="0" t="s">
        <v>42</v>
      </c>
      <c r="Z1373" s="0" t="s">
        <v>2384</v>
      </c>
      <c r="AA1373" s="0" t="s">
        <v>108</v>
      </c>
      <c r="AB1373" s="0" t="s">
        <v>531</v>
      </c>
      <c r="AC1373" s="0" t="s">
        <v>532</v>
      </c>
      <c r="AD1373" s="0" t="s">
        <v>9429</v>
      </c>
      <c r="AE1373" s="0" t="s">
        <v>9430</v>
      </c>
      <c r="AF1373" s="0" t="s">
        <v>1688</v>
      </c>
      <c r="AP1373" s="0" t="s">
        <v>305</v>
      </c>
      <c r="BA1373" s="0">
        <v>563</v>
      </c>
      <c r="BB1373" s="0" t="s">
        <v>232</v>
      </c>
      <c r="BC1373" s="0">
        <v>3</v>
      </c>
      <c r="BE1373" s="0">
        <v>70560</v>
      </c>
      <c r="BF1373" s="0">
        <v>1</v>
      </c>
      <c r="BG1373" s="0" t="s">
        <v>9513</v>
      </c>
      <c r="BI1373" s="0">
        <v>3263</v>
      </c>
      <c r="BK1373" s="0" t="s">
        <v>9514</v>
      </c>
    </row>
    <row r="1374">
      <c r="A1374" s="0">
        <v>6148</v>
      </c>
      <c r="B1374" s="0" t="s">
        <v>9515</v>
      </c>
      <c r="C1374" s="0" t="s">
        <v>8139</v>
      </c>
      <c r="D1374" s="0" t="s">
        <v>9009</v>
      </c>
      <c r="E1374" s="0" t="s">
        <v>8140</v>
      </c>
      <c r="F1374" s="0">
        <v>1</v>
      </c>
      <c r="G1374" s="0" t="s">
        <v>525</v>
      </c>
      <c r="H1374" s="0" t="s">
        <v>400</v>
      </c>
      <c r="I1374" s="0" t="s">
        <v>1668</v>
      </c>
      <c r="J1374" s="0" t="s">
        <v>319</v>
      </c>
      <c r="K1374" s="0" t="s">
        <v>1745</v>
      </c>
      <c r="L1374" s="0" t="s">
        <v>1746</v>
      </c>
      <c r="P1374" s="0" t="s">
        <v>323</v>
      </c>
      <c r="Q1374" s="0" t="s">
        <v>323</v>
      </c>
      <c r="R1374" s="0" t="s">
        <v>903</v>
      </c>
      <c r="T1374" s="0" t="s">
        <v>9516</v>
      </c>
      <c r="U1374" s="0" t="s">
        <v>9517</v>
      </c>
      <c r="X1374" s="0" t="s">
        <v>841</v>
      </c>
      <c r="Y1374" s="0" t="s">
        <v>46</v>
      </c>
      <c r="Z1374" s="0" t="s">
        <v>8094</v>
      </c>
      <c r="AA1374" s="0" t="s">
        <v>102</v>
      </c>
      <c r="AB1374" s="0" t="s">
        <v>531</v>
      </c>
      <c r="AC1374" s="0" t="s">
        <v>571</v>
      </c>
      <c r="AD1374" s="0" t="s">
        <v>9518</v>
      </c>
      <c r="AF1374" s="0" t="s">
        <v>301</v>
      </c>
      <c r="AP1374" s="0" t="s">
        <v>305</v>
      </c>
      <c r="BA1374" s="0">
        <v>564</v>
      </c>
      <c r="BB1374" s="0" t="s">
        <v>232</v>
      </c>
      <c r="BC1374" s="0">
        <v>2</v>
      </c>
      <c r="BD1374" s="0">
        <v>374088</v>
      </c>
      <c r="BE1374" s="0">
        <v>413</v>
      </c>
      <c r="BF1374" s="0">
        <v>9</v>
      </c>
      <c r="BG1374" s="0" t="s">
        <v>9519</v>
      </c>
      <c r="BI1374" s="0">
        <v>432</v>
      </c>
      <c r="BK1374" s="0" t="s">
        <v>9520</v>
      </c>
    </row>
    <row r="1375">
      <c r="A1375" s="0">
        <v>6358</v>
      </c>
      <c r="B1375" s="0" t="s">
        <v>9521</v>
      </c>
      <c r="C1375" s="0" t="s">
        <v>315</v>
      </c>
      <c r="D1375" s="0" t="s">
        <v>9522</v>
      </c>
      <c r="E1375" s="0" t="s">
        <v>9523</v>
      </c>
      <c r="F1375" s="0">
        <v>1</v>
      </c>
      <c r="G1375" s="0" t="s">
        <v>319</v>
      </c>
      <c r="H1375" s="0" t="s">
        <v>398</v>
      </c>
      <c r="I1375" s="0" t="s">
        <v>9524</v>
      </c>
      <c r="J1375" s="0" t="s">
        <v>293</v>
      </c>
      <c r="K1375" s="0" t="s">
        <v>294</v>
      </c>
      <c r="L1375" s="0" t="s">
        <v>9525</v>
      </c>
      <c r="P1375" s="0" t="s">
        <v>323</v>
      </c>
      <c r="Q1375" s="0" t="s">
        <v>2766</v>
      </c>
      <c r="R1375" s="0" t="s">
        <v>2393</v>
      </c>
      <c r="S1375" s="0" t="s">
        <v>9526</v>
      </c>
      <c r="T1375" s="0" t="s">
        <v>9527</v>
      </c>
      <c r="U1375" s="0" t="s">
        <v>9528</v>
      </c>
      <c r="W1375" s="0" t="s">
        <v>9529</v>
      </c>
      <c r="X1375" s="0" t="s">
        <v>347</v>
      </c>
      <c r="Y1375" s="0" t="s">
        <v>36</v>
      </c>
      <c r="Z1375" s="0" t="s">
        <v>4002</v>
      </c>
      <c r="AA1375" s="0" t="s">
        <v>81</v>
      </c>
      <c r="AB1375" s="0" t="s">
        <v>300</v>
      </c>
      <c r="AC1375" s="0" t="s">
        <v>532</v>
      </c>
      <c r="AD1375" s="0" t="s">
        <v>2385</v>
      </c>
      <c r="AE1375" s="0" t="s">
        <v>9530</v>
      </c>
      <c r="AF1375" s="0" t="s">
        <v>301</v>
      </c>
      <c r="AP1375" s="0" t="s">
        <v>305</v>
      </c>
      <c r="BA1375" s="0">
        <v>565</v>
      </c>
      <c r="BB1375" s="0" t="s">
        <v>232</v>
      </c>
      <c r="BC1375" s="0">
        <v>2</v>
      </c>
      <c r="BD1375" s="0">
        <v>374043</v>
      </c>
      <c r="BE1375" s="0">
        <v>134783</v>
      </c>
      <c r="BF1375" s="0">
        <v>4</v>
      </c>
      <c r="BG1375" s="0" t="s">
        <v>9531</v>
      </c>
      <c r="BI1375" s="0">
        <v>4610</v>
      </c>
      <c r="BK1375" s="0" t="s">
        <v>9532</v>
      </c>
    </row>
    <row r="1376">
      <c r="A1376" s="0">
        <v>6357</v>
      </c>
      <c r="B1376" s="0" t="s">
        <v>9533</v>
      </c>
      <c r="C1376" s="0" t="s">
        <v>315</v>
      </c>
      <c r="D1376" s="0" t="s">
        <v>9522</v>
      </c>
      <c r="E1376" s="0" t="s">
        <v>9523</v>
      </c>
      <c r="F1376" s="0">
        <v>1</v>
      </c>
      <c r="G1376" s="0" t="s">
        <v>319</v>
      </c>
      <c r="H1376" s="0" t="s">
        <v>398</v>
      </c>
      <c r="I1376" s="0" t="s">
        <v>2166</v>
      </c>
      <c r="J1376" s="0" t="s">
        <v>293</v>
      </c>
      <c r="K1376" s="0" t="s">
        <v>294</v>
      </c>
      <c r="L1376" s="0" t="s">
        <v>9525</v>
      </c>
      <c r="P1376" s="0" t="s">
        <v>323</v>
      </c>
      <c r="Q1376" s="0" t="s">
        <v>2766</v>
      </c>
      <c r="R1376" s="0" t="s">
        <v>556</v>
      </c>
      <c r="T1376" s="0" t="s">
        <v>9534</v>
      </c>
      <c r="U1376" s="0" t="s">
        <v>9535</v>
      </c>
      <c r="W1376" s="0" t="s">
        <v>9529</v>
      </c>
      <c r="X1376" s="0" t="s">
        <v>347</v>
      </c>
      <c r="Y1376" s="0" t="s">
        <v>36</v>
      </c>
      <c r="Z1376" s="0" t="s">
        <v>4002</v>
      </c>
      <c r="AA1376" s="0" t="s">
        <v>81</v>
      </c>
      <c r="AB1376" s="0" t="s">
        <v>300</v>
      </c>
      <c r="AC1376" s="0" t="s">
        <v>532</v>
      </c>
      <c r="AD1376" s="0" t="s">
        <v>2385</v>
      </c>
      <c r="AE1376" s="0" t="s">
        <v>9530</v>
      </c>
      <c r="AF1376" s="0" t="s">
        <v>301</v>
      </c>
      <c r="AP1376" s="0" t="s">
        <v>305</v>
      </c>
      <c r="BA1376" s="0">
        <v>565</v>
      </c>
      <c r="BB1376" s="0" t="s">
        <v>232</v>
      </c>
      <c r="BC1376" s="0">
        <v>2</v>
      </c>
      <c r="BD1376" s="0">
        <v>374043</v>
      </c>
      <c r="BE1376" s="0">
        <v>134783</v>
      </c>
      <c r="BF1376" s="0">
        <v>4</v>
      </c>
      <c r="BG1376" s="0" t="s">
        <v>9536</v>
      </c>
      <c r="BI1376" s="0">
        <v>4567</v>
      </c>
      <c r="BK1376" s="0" t="s">
        <v>9537</v>
      </c>
    </row>
    <row r="1377">
      <c r="A1377" s="0">
        <v>6152</v>
      </c>
      <c r="B1377" s="0" t="s">
        <v>7374</v>
      </c>
      <c r="C1377" s="0" t="s">
        <v>945</v>
      </c>
      <c r="D1377" s="0" t="s">
        <v>9365</v>
      </c>
      <c r="E1377" s="0" t="s">
        <v>7376</v>
      </c>
      <c r="F1377" s="0">
        <v>2</v>
      </c>
      <c r="G1377" s="0" t="s">
        <v>555</v>
      </c>
      <c r="H1377" s="0" t="s">
        <v>1112</v>
      </c>
      <c r="I1377" s="0" t="s">
        <v>4748</v>
      </c>
      <c r="J1377" s="0" t="s">
        <v>525</v>
      </c>
      <c r="K1377" s="0" t="s">
        <v>400</v>
      </c>
      <c r="L1377" s="0" t="s">
        <v>1293</v>
      </c>
      <c r="P1377" s="0" t="s">
        <v>343</v>
      </c>
      <c r="Q1377" s="0" t="s">
        <v>343</v>
      </c>
      <c r="T1377" s="0" t="s">
        <v>9538</v>
      </c>
      <c r="U1377" s="0" t="s">
        <v>9539</v>
      </c>
      <c r="W1377" s="0" t="s">
        <v>9529</v>
      </c>
      <c r="X1377" s="0" t="s">
        <v>298</v>
      </c>
      <c r="Y1377" s="0" t="s">
        <v>36</v>
      </c>
      <c r="Z1377" s="0" t="s">
        <v>4002</v>
      </c>
      <c r="AA1377" s="0" t="s">
        <v>81</v>
      </c>
      <c r="AB1377" s="0" t="s">
        <v>300</v>
      </c>
      <c r="AC1377" s="0" t="s">
        <v>532</v>
      </c>
      <c r="AD1377" s="0" t="s">
        <v>2385</v>
      </c>
      <c r="AE1377" s="0" t="s">
        <v>9530</v>
      </c>
      <c r="AF1377" s="0" t="s">
        <v>301</v>
      </c>
      <c r="AM1377" s="0" t="s">
        <v>1473</v>
      </c>
      <c r="AN1377" s="0" t="s">
        <v>1473</v>
      </c>
      <c r="AO1377" s="0" t="s">
        <v>1108</v>
      </c>
      <c r="AP1377" s="0" t="s">
        <v>305</v>
      </c>
      <c r="AQ1377" s="0" t="s">
        <v>6380</v>
      </c>
      <c r="AR1377" s="0" t="s">
        <v>1077</v>
      </c>
      <c r="AS1377" s="0">
        <v>864</v>
      </c>
      <c r="AT1377" s="0">
        <v>1760</v>
      </c>
      <c r="AU1377" s="0">
        <v>2056</v>
      </c>
      <c r="AV1377" s="0" t="s">
        <v>332</v>
      </c>
      <c r="AX1377" s="0" t="s">
        <v>459</v>
      </c>
      <c r="AY1377" s="0" t="s">
        <v>924</v>
      </c>
      <c r="AZ1377" s="0" t="s">
        <v>1287</v>
      </c>
      <c r="BA1377" s="0">
        <v>565</v>
      </c>
      <c r="BB1377" s="0" t="s">
        <v>232</v>
      </c>
      <c r="BC1377" s="0">
        <v>2</v>
      </c>
      <c r="BD1377" s="0">
        <v>14</v>
      </c>
      <c r="BE1377" s="0">
        <v>134783</v>
      </c>
      <c r="BF1377" s="0">
        <v>5</v>
      </c>
      <c r="BG1377" s="0" t="s">
        <v>9540</v>
      </c>
      <c r="BI1377" s="0">
        <v>441</v>
      </c>
      <c r="BK1377" s="0" t="s">
        <v>9541</v>
      </c>
    </row>
    <row r="1378">
      <c r="A1378" s="0">
        <v>6153</v>
      </c>
      <c r="B1378" s="0" t="s">
        <v>7382</v>
      </c>
      <c r="C1378" s="0" t="s">
        <v>945</v>
      </c>
      <c r="D1378" s="0" t="s">
        <v>9365</v>
      </c>
      <c r="E1378" s="0" t="s">
        <v>7383</v>
      </c>
      <c r="F1378" s="0">
        <v>2</v>
      </c>
      <c r="G1378" s="0" t="s">
        <v>555</v>
      </c>
      <c r="H1378" s="0" t="s">
        <v>1112</v>
      </c>
      <c r="I1378" s="0" t="s">
        <v>4748</v>
      </c>
      <c r="J1378" s="0" t="s">
        <v>525</v>
      </c>
      <c r="K1378" s="0" t="s">
        <v>400</v>
      </c>
      <c r="L1378" s="0" t="s">
        <v>1293</v>
      </c>
      <c r="P1378" s="0" t="s">
        <v>343</v>
      </c>
      <c r="Q1378" s="0" t="s">
        <v>343</v>
      </c>
      <c r="T1378" s="0" t="s">
        <v>9542</v>
      </c>
      <c r="U1378" s="0" t="s">
        <v>9543</v>
      </c>
      <c r="W1378" s="0" t="s">
        <v>9529</v>
      </c>
      <c r="X1378" s="0" t="s">
        <v>298</v>
      </c>
      <c r="Y1378" s="0" t="s">
        <v>36</v>
      </c>
      <c r="Z1378" s="0" t="s">
        <v>4002</v>
      </c>
      <c r="AA1378" s="0" t="s">
        <v>81</v>
      </c>
      <c r="AB1378" s="0" t="s">
        <v>300</v>
      </c>
      <c r="AC1378" s="0" t="s">
        <v>532</v>
      </c>
      <c r="AD1378" s="0" t="s">
        <v>2385</v>
      </c>
      <c r="AE1378" s="0" t="s">
        <v>9530</v>
      </c>
      <c r="AF1378" s="0" t="s">
        <v>301</v>
      </c>
      <c r="AM1378" s="0" t="s">
        <v>816</v>
      </c>
      <c r="AN1378" s="0" t="s">
        <v>816</v>
      </c>
      <c r="AO1378" s="0" t="s">
        <v>459</v>
      </c>
      <c r="AP1378" s="0" t="s">
        <v>305</v>
      </c>
      <c r="AQ1378" s="0" t="s">
        <v>7386</v>
      </c>
      <c r="AR1378" s="0" t="s">
        <v>1415</v>
      </c>
      <c r="AS1378" s="0">
        <v>369</v>
      </c>
      <c r="AT1378" s="0">
        <v>816</v>
      </c>
      <c r="AU1378" s="0">
        <v>915</v>
      </c>
      <c r="AV1378" s="0" t="s">
        <v>332</v>
      </c>
      <c r="AX1378" s="0" t="s">
        <v>391</v>
      </c>
      <c r="AY1378" s="0" t="s">
        <v>1066</v>
      </c>
      <c r="AZ1378" s="0" t="s">
        <v>1287</v>
      </c>
      <c r="BA1378" s="0">
        <v>565</v>
      </c>
      <c r="BB1378" s="0" t="s">
        <v>232</v>
      </c>
      <c r="BC1378" s="0">
        <v>2</v>
      </c>
      <c r="BD1378" s="0">
        <v>14</v>
      </c>
      <c r="BE1378" s="0">
        <v>134783</v>
      </c>
      <c r="BF1378" s="0">
        <v>5</v>
      </c>
      <c r="BG1378" s="0" t="s">
        <v>9544</v>
      </c>
      <c r="BI1378" s="0">
        <v>830</v>
      </c>
      <c r="BK1378" s="0" t="s">
        <v>9545</v>
      </c>
    </row>
    <row r="1379">
      <c r="A1379" s="0">
        <v>6160</v>
      </c>
      <c r="B1379" s="0" t="s">
        <v>9546</v>
      </c>
      <c r="C1379" s="0" t="s">
        <v>945</v>
      </c>
      <c r="D1379" s="0" t="s">
        <v>9365</v>
      </c>
      <c r="E1379" s="0" t="s">
        <v>9547</v>
      </c>
      <c r="F1379" s="0">
        <v>1</v>
      </c>
      <c r="G1379" s="0" t="s">
        <v>319</v>
      </c>
      <c r="H1379" s="0" t="s">
        <v>9548</v>
      </c>
      <c r="I1379" s="0" t="s">
        <v>7389</v>
      </c>
      <c r="P1379" s="0" t="s">
        <v>323</v>
      </c>
      <c r="Q1379" s="0" t="s">
        <v>323</v>
      </c>
      <c r="R1379" s="0" t="s">
        <v>2393</v>
      </c>
      <c r="T1379" s="0" t="s">
        <v>9549</v>
      </c>
      <c r="U1379" s="0" t="s">
        <v>9550</v>
      </c>
      <c r="W1379" s="0" t="s">
        <v>9529</v>
      </c>
      <c r="X1379" s="0" t="s">
        <v>298</v>
      </c>
      <c r="Y1379" s="0" t="s">
        <v>36</v>
      </c>
      <c r="Z1379" s="0" t="s">
        <v>4002</v>
      </c>
      <c r="AA1379" s="0" t="s">
        <v>81</v>
      </c>
      <c r="AB1379" s="0" t="s">
        <v>300</v>
      </c>
      <c r="AC1379" s="0" t="s">
        <v>532</v>
      </c>
      <c r="AD1379" s="0" t="s">
        <v>2385</v>
      </c>
      <c r="AE1379" s="0" t="s">
        <v>9530</v>
      </c>
      <c r="AF1379" s="0" t="s">
        <v>301</v>
      </c>
      <c r="AM1379" s="0" t="s">
        <v>747</v>
      </c>
      <c r="AN1379" s="0" t="s">
        <v>747</v>
      </c>
      <c r="AO1379" s="0" t="s">
        <v>1482</v>
      </c>
      <c r="AP1379" s="0" t="s">
        <v>305</v>
      </c>
      <c r="AQ1379" s="0" t="s">
        <v>1012</v>
      </c>
      <c r="AR1379" s="0" t="s">
        <v>1182</v>
      </c>
      <c r="AS1379" s="0">
        <v>72</v>
      </c>
      <c r="AT1379" s="0">
        <v>156</v>
      </c>
      <c r="AU1379" s="0">
        <v>156</v>
      </c>
      <c r="AV1379" s="0" t="s">
        <v>332</v>
      </c>
      <c r="AX1379" s="0" t="s">
        <v>371</v>
      </c>
      <c r="AY1379" s="0" t="s">
        <v>371</v>
      </c>
      <c r="AZ1379" s="0" t="s">
        <v>2982</v>
      </c>
      <c r="BA1379" s="0">
        <v>565</v>
      </c>
      <c r="BB1379" s="0" t="s">
        <v>232</v>
      </c>
      <c r="BC1379" s="0">
        <v>2</v>
      </c>
      <c r="BD1379" s="0">
        <v>14</v>
      </c>
      <c r="BE1379" s="0">
        <v>134783</v>
      </c>
      <c r="BF1379" s="0">
        <v>5</v>
      </c>
      <c r="BG1379" s="0" t="s">
        <v>9551</v>
      </c>
      <c r="BI1379" s="0">
        <v>2199</v>
      </c>
      <c r="BK1379" s="0" t="s">
        <v>9552</v>
      </c>
    </row>
    <row r="1380">
      <c r="A1380" s="0">
        <v>6157</v>
      </c>
      <c r="B1380" s="0" t="s">
        <v>9553</v>
      </c>
      <c r="C1380" s="0" t="s">
        <v>945</v>
      </c>
      <c r="D1380" s="0" t="s">
        <v>9365</v>
      </c>
      <c r="E1380" s="0" t="s">
        <v>9554</v>
      </c>
      <c r="F1380" s="0">
        <v>1</v>
      </c>
      <c r="G1380" s="0" t="s">
        <v>319</v>
      </c>
      <c r="H1380" s="0" t="s">
        <v>9548</v>
      </c>
      <c r="I1380" s="0" t="s">
        <v>7389</v>
      </c>
      <c r="P1380" s="0" t="s">
        <v>323</v>
      </c>
      <c r="Q1380" s="0" t="s">
        <v>9555</v>
      </c>
      <c r="R1380" s="0" t="s">
        <v>2393</v>
      </c>
      <c r="T1380" s="0" t="s">
        <v>9556</v>
      </c>
      <c r="U1380" s="0" t="s">
        <v>9557</v>
      </c>
      <c r="W1380" s="0" t="s">
        <v>9529</v>
      </c>
      <c r="X1380" s="0" t="s">
        <v>298</v>
      </c>
      <c r="Y1380" s="0" t="s">
        <v>36</v>
      </c>
      <c r="Z1380" s="0" t="s">
        <v>4002</v>
      </c>
      <c r="AA1380" s="0" t="s">
        <v>81</v>
      </c>
      <c r="AB1380" s="0" t="s">
        <v>300</v>
      </c>
      <c r="AC1380" s="0" t="s">
        <v>532</v>
      </c>
      <c r="AD1380" s="0" t="s">
        <v>2385</v>
      </c>
      <c r="AE1380" s="0" t="s">
        <v>9530</v>
      </c>
      <c r="AF1380" s="0" t="s">
        <v>301</v>
      </c>
      <c r="AM1380" s="0" t="s">
        <v>747</v>
      </c>
      <c r="AN1380" s="0" t="s">
        <v>3267</v>
      </c>
      <c r="AO1380" s="0" t="s">
        <v>608</v>
      </c>
      <c r="AP1380" s="0" t="s">
        <v>305</v>
      </c>
      <c r="AQ1380" s="0" t="s">
        <v>9558</v>
      </c>
      <c r="AR1380" s="0" t="s">
        <v>442</v>
      </c>
      <c r="AS1380" s="0">
        <v>18</v>
      </c>
      <c r="AT1380" s="0">
        <v>39</v>
      </c>
      <c r="AU1380" s="0">
        <v>39</v>
      </c>
      <c r="AV1380" s="0" t="s">
        <v>332</v>
      </c>
      <c r="AX1380" s="0" t="s">
        <v>371</v>
      </c>
      <c r="AY1380" s="0" t="s">
        <v>9559</v>
      </c>
      <c r="AZ1380" s="0" t="s">
        <v>490</v>
      </c>
      <c r="BA1380" s="0">
        <v>565</v>
      </c>
      <c r="BB1380" s="0" t="s">
        <v>232</v>
      </c>
      <c r="BC1380" s="0">
        <v>2</v>
      </c>
      <c r="BD1380" s="0">
        <v>14</v>
      </c>
      <c r="BE1380" s="0">
        <v>134783</v>
      </c>
      <c r="BF1380" s="0">
        <v>5</v>
      </c>
      <c r="BG1380" s="0" t="s">
        <v>9560</v>
      </c>
      <c r="BI1380" s="0">
        <v>1971</v>
      </c>
      <c r="BK1380" s="0" t="s">
        <v>9561</v>
      </c>
    </row>
    <row r="1381">
      <c r="A1381" s="0">
        <v>6155</v>
      </c>
      <c r="B1381" s="0" t="s">
        <v>9562</v>
      </c>
      <c r="C1381" s="0" t="s">
        <v>945</v>
      </c>
      <c r="D1381" s="0" t="s">
        <v>9365</v>
      </c>
      <c r="E1381" s="0" t="s">
        <v>9563</v>
      </c>
      <c r="F1381" s="0">
        <v>1</v>
      </c>
      <c r="G1381" s="0" t="s">
        <v>319</v>
      </c>
      <c r="H1381" s="0" t="s">
        <v>9548</v>
      </c>
      <c r="I1381" s="0" t="s">
        <v>7389</v>
      </c>
      <c r="P1381" s="0" t="s">
        <v>323</v>
      </c>
      <c r="Q1381" s="0" t="s">
        <v>9555</v>
      </c>
      <c r="R1381" s="0" t="s">
        <v>2393</v>
      </c>
      <c r="T1381" s="0" t="s">
        <v>9564</v>
      </c>
      <c r="U1381" s="0" t="s">
        <v>9565</v>
      </c>
      <c r="W1381" s="0" t="s">
        <v>9529</v>
      </c>
      <c r="X1381" s="0" t="s">
        <v>298</v>
      </c>
      <c r="Y1381" s="0" t="s">
        <v>36</v>
      </c>
      <c r="Z1381" s="0" t="s">
        <v>4002</v>
      </c>
      <c r="AA1381" s="0" t="s">
        <v>81</v>
      </c>
      <c r="AB1381" s="0" t="s">
        <v>300</v>
      </c>
      <c r="AC1381" s="0" t="s">
        <v>532</v>
      </c>
      <c r="AD1381" s="0" t="s">
        <v>2385</v>
      </c>
      <c r="AE1381" s="0" t="s">
        <v>9530</v>
      </c>
      <c r="AF1381" s="0" t="s">
        <v>301</v>
      </c>
      <c r="AM1381" s="0" t="s">
        <v>747</v>
      </c>
      <c r="AN1381" s="0" t="s">
        <v>9566</v>
      </c>
      <c r="AO1381" s="0" t="s">
        <v>608</v>
      </c>
      <c r="AP1381" s="0" t="s">
        <v>305</v>
      </c>
      <c r="AQ1381" s="0" t="s">
        <v>1300</v>
      </c>
      <c r="AR1381" s="0" t="s">
        <v>7928</v>
      </c>
      <c r="AS1381" s="0">
        <v>18</v>
      </c>
      <c r="AT1381" s="0">
        <v>39</v>
      </c>
      <c r="AU1381" s="0">
        <v>39</v>
      </c>
      <c r="AV1381" s="0" t="s">
        <v>332</v>
      </c>
      <c r="AX1381" s="0" t="s">
        <v>371</v>
      </c>
      <c r="AY1381" s="0" t="s">
        <v>9567</v>
      </c>
      <c r="AZ1381" s="0" t="s">
        <v>490</v>
      </c>
      <c r="BA1381" s="0">
        <v>565</v>
      </c>
      <c r="BB1381" s="0" t="s">
        <v>232</v>
      </c>
      <c r="BC1381" s="0">
        <v>2</v>
      </c>
      <c r="BD1381" s="0">
        <v>14</v>
      </c>
      <c r="BE1381" s="0">
        <v>134783</v>
      </c>
      <c r="BF1381" s="0">
        <v>5</v>
      </c>
      <c r="BG1381" s="0" t="s">
        <v>9568</v>
      </c>
      <c r="BI1381" s="0">
        <v>1461</v>
      </c>
      <c r="BK1381" s="0" t="s">
        <v>9569</v>
      </c>
    </row>
    <row r="1382">
      <c r="A1382" s="0">
        <v>6156</v>
      </c>
      <c r="B1382" s="0" t="s">
        <v>9570</v>
      </c>
      <c r="C1382" s="0" t="s">
        <v>945</v>
      </c>
      <c r="D1382" s="0" t="s">
        <v>9365</v>
      </c>
      <c r="E1382" s="0" t="s">
        <v>9571</v>
      </c>
      <c r="F1382" s="0">
        <v>1</v>
      </c>
      <c r="G1382" s="0" t="s">
        <v>319</v>
      </c>
      <c r="H1382" s="0" t="s">
        <v>9548</v>
      </c>
      <c r="I1382" s="0" t="s">
        <v>7389</v>
      </c>
      <c r="P1382" s="0" t="s">
        <v>323</v>
      </c>
      <c r="Q1382" s="0" t="s">
        <v>9555</v>
      </c>
      <c r="R1382" s="0" t="s">
        <v>2393</v>
      </c>
      <c r="T1382" s="0" t="s">
        <v>9556</v>
      </c>
      <c r="U1382" s="0" t="s">
        <v>9572</v>
      </c>
      <c r="W1382" s="0" t="s">
        <v>9529</v>
      </c>
      <c r="X1382" s="0" t="s">
        <v>298</v>
      </c>
      <c r="Y1382" s="0" t="s">
        <v>36</v>
      </c>
      <c r="Z1382" s="0" t="s">
        <v>4002</v>
      </c>
      <c r="AA1382" s="0" t="s">
        <v>81</v>
      </c>
      <c r="AB1382" s="0" t="s">
        <v>300</v>
      </c>
      <c r="AC1382" s="0" t="s">
        <v>532</v>
      </c>
      <c r="AD1382" s="0" t="s">
        <v>2385</v>
      </c>
      <c r="AE1382" s="0" t="s">
        <v>9530</v>
      </c>
      <c r="AF1382" s="0" t="s">
        <v>301</v>
      </c>
      <c r="AM1382" s="0" t="s">
        <v>747</v>
      </c>
      <c r="AN1382" s="0" t="s">
        <v>9566</v>
      </c>
      <c r="AO1382" s="0" t="s">
        <v>608</v>
      </c>
      <c r="AP1382" s="0" t="s">
        <v>305</v>
      </c>
      <c r="AQ1382" s="0" t="s">
        <v>1300</v>
      </c>
      <c r="AR1382" s="0" t="s">
        <v>7928</v>
      </c>
      <c r="AS1382" s="0">
        <v>18</v>
      </c>
      <c r="AT1382" s="0">
        <v>39</v>
      </c>
      <c r="AU1382" s="0">
        <v>39</v>
      </c>
      <c r="AV1382" s="0" t="s">
        <v>332</v>
      </c>
      <c r="AX1382" s="0" t="s">
        <v>371</v>
      </c>
      <c r="AY1382" s="0" t="s">
        <v>9567</v>
      </c>
      <c r="AZ1382" s="0" t="s">
        <v>490</v>
      </c>
      <c r="BA1382" s="0">
        <v>565</v>
      </c>
      <c r="BB1382" s="0" t="s">
        <v>232</v>
      </c>
      <c r="BC1382" s="0">
        <v>2</v>
      </c>
      <c r="BD1382" s="0">
        <v>14</v>
      </c>
      <c r="BE1382" s="0">
        <v>134783</v>
      </c>
      <c r="BF1382" s="0">
        <v>5</v>
      </c>
      <c r="BG1382" s="0" t="s">
        <v>9573</v>
      </c>
      <c r="BI1382" s="0">
        <v>1728</v>
      </c>
      <c r="BK1382" s="0" t="s">
        <v>9574</v>
      </c>
    </row>
    <row r="1383">
      <c r="A1383" s="0">
        <v>6161</v>
      </c>
      <c r="B1383" s="0" t="s">
        <v>9575</v>
      </c>
      <c r="C1383" s="0" t="s">
        <v>945</v>
      </c>
      <c r="D1383" s="0" t="s">
        <v>9365</v>
      </c>
      <c r="E1383" s="0" t="s">
        <v>9576</v>
      </c>
      <c r="F1383" s="0">
        <v>2</v>
      </c>
      <c r="G1383" s="0" t="s">
        <v>319</v>
      </c>
      <c r="H1383" s="0" t="s">
        <v>9548</v>
      </c>
      <c r="I1383" s="0" t="s">
        <v>7389</v>
      </c>
      <c r="P1383" s="0" t="s">
        <v>323</v>
      </c>
      <c r="Q1383" s="0" t="s">
        <v>9555</v>
      </c>
      <c r="R1383" s="0" t="s">
        <v>2393</v>
      </c>
      <c r="T1383" s="0" t="s">
        <v>9577</v>
      </c>
      <c r="U1383" s="0" t="s">
        <v>9578</v>
      </c>
      <c r="W1383" s="0" t="s">
        <v>9529</v>
      </c>
      <c r="X1383" s="0" t="s">
        <v>298</v>
      </c>
      <c r="Y1383" s="0" t="s">
        <v>36</v>
      </c>
      <c r="Z1383" s="0" t="s">
        <v>4002</v>
      </c>
      <c r="AA1383" s="0" t="s">
        <v>81</v>
      </c>
      <c r="AB1383" s="0" t="s">
        <v>300</v>
      </c>
      <c r="AC1383" s="0" t="s">
        <v>532</v>
      </c>
      <c r="AD1383" s="0" t="s">
        <v>2385</v>
      </c>
      <c r="AE1383" s="0" t="s">
        <v>9530</v>
      </c>
      <c r="AF1383" s="0" t="s">
        <v>301</v>
      </c>
      <c r="AM1383" s="0" t="s">
        <v>747</v>
      </c>
      <c r="AN1383" s="0" t="s">
        <v>392</v>
      </c>
      <c r="AO1383" s="0" t="s">
        <v>608</v>
      </c>
      <c r="AP1383" s="0" t="s">
        <v>305</v>
      </c>
      <c r="AQ1383" s="0" t="s">
        <v>1287</v>
      </c>
      <c r="AR1383" s="0" t="s">
        <v>515</v>
      </c>
      <c r="AS1383" s="0">
        <v>40</v>
      </c>
      <c r="AT1383" s="0">
        <v>80</v>
      </c>
      <c r="AU1383" s="0">
        <v>88</v>
      </c>
      <c r="AV1383" s="0" t="s">
        <v>332</v>
      </c>
      <c r="AX1383" s="0" t="s">
        <v>371</v>
      </c>
      <c r="AY1383" s="0" t="s">
        <v>666</v>
      </c>
      <c r="AZ1383" s="0" t="s">
        <v>490</v>
      </c>
      <c r="BA1383" s="0">
        <v>565</v>
      </c>
      <c r="BB1383" s="0" t="s">
        <v>232</v>
      </c>
      <c r="BC1383" s="0">
        <v>2</v>
      </c>
      <c r="BD1383" s="0">
        <v>14</v>
      </c>
      <c r="BE1383" s="0">
        <v>134783</v>
      </c>
      <c r="BF1383" s="0">
        <v>5</v>
      </c>
      <c r="BG1383" s="0" t="s">
        <v>9579</v>
      </c>
      <c r="BI1383" s="0">
        <v>2409</v>
      </c>
      <c r="BK1383" s="0" t="s">
        <v>9580</v>
      </c>
    </row>
    <row r="1384">
      <c r="A1384" s="0">
        <v>6353</v>
      </c>
      <c r="B1384" s="0" t="s">
        <v>4644</v>
      </c>
      <c r="C1384" s="0" t="s">
        <v>945</v>
      </c>
      <c r="D1384" s="0" t="s">
        <v>9529</v>
      </c>
      <c r="E1384" s="0" t="s">
        <v>4645</v>
      </c>
      <c r="F1384" s="0">
        <v>1</v>
      </c>
      <c r="G1384" s="0" t="s">
        <v>319</v>
      </c>
      <c r="H1384" s="0" t="s">
        <v>9548</v>
      </c>
      <c r="I1384" s="0" t="s">
        <v>7389</v>
      </c>
      <c r="J1384" s="0" t="s">
        <v>594</v>
      </c>
      <c r="K1384" s="0" t="s">
        <v>508</v>
      </c>
      <c r="P1384" s="0" t="s">
        <v>323</v>
      </c>
      <c r="Q1384" s="0" t="s">
        <v>343</v>
      </c>
      <c r="R1384" s="0" t="s">
        <v>2393</v>
      </c>
      <c r="T1384" s="0" t="s">
        <v>9581</v>
      </c>
      <c r="U1384" s="0" t="s">
        <v>9582</v>
      </c>
      <c r="W1384" s="0" t="s">
        <v>9529</v>
      </c>
      <c r="X1384" s="0" t="s">
        <v>298</v>
      </c>
      <c r="Y1384" s="0" t="s">
        <v>36</v>
      </c>
      <c r="Z1384" s="0" t="s">
        <v>4002</v>
      </c>
      <c r="AA1384" s="0" t="s">
        <v>81</v>
      </c>
      <c r="AB1384" s="0" t="s">
        <v>300</v>
      </c>
      <c r="AC1384" s="0" t="s">
        <v>532</v>
      </c>
      <c r="AD1384" s="0" t="s">
        <v>2385</v>
      </c>
      <c r="AE1384" s="0" t="s">
        <v>9530</v>
      </c>
      <c r="AF1384" s="0" t="s">
        <v>301</v>
      </c>
      <c r="AP1384" s="0" t="s">
        <v>305</v>
      </c>
      <c r="BA1384" s="0">
        <v>565</v>
      </c>
      <c r="BB1384" s="0" t="s">
        <v>232</v>
      </c>
      <c r="BC1384" s="0">
        <v>2</v>
      </c>
      <c r="BD1384" s="0">
        <v>14</v>
      </c>
      <c r="BE1384" s="0">
        <v>134783</v>
      </c>
      <c r="BF1384" s="0">
        <v>5</v>
      </c>
      <c r="BG1384" s="0" t="s">
        <v>9583</v>
      </c>
      <c r="BI1384" s="0">
        <v>4420</v>
      </c>
      <c r="BK1384" s="0" t="s">
        <v>9584</v>
      </c>
    </row>
    <row r="1385">
      <c r="A1385" s="0">
        <v>6165</v>
      </c>
      <c r="B1385" s="0" t="s">
        <v>9585</v>
      </c>
      <c r="C1385" s="0" t="s">
        <v>945</v>
      </c>
      <c r="D1385" s="0" t="s">
        <v>9365</v>
      </c>
      <c r="E1385" s="0" t="s">
        <v>9586</v>
      </c>
      <c r="F1385" s="0">
        <v>1</v>
      </c>
      <c r="G1385" s="0" t="s">
        <v>319</v>
      </c>
      <c r="H1385" s="0" t="s">
        <v>3996</v>
      </c>
      <c r="I1385" s="0" t="s">
        <v>3997</v>
      </c>
      <c r="P1385" s="0" t="s">
        <v>323</v>
      </c>
      <c r="Q1385" s="0" t="s">
        <v>343</v>
      </c>
      <c r="R1385" s="0" t="s">
        <v>3998</v>
      </c>
      <c r="T1385" s="0" t="s">
        <v>9587</v>
      </c>
      <c r="U1385" s="0" t="s">
        <v>9588</v>
      </c>
      <c r="W1385" s="0" t="s">
        <v>9529</v>
      </c>
      <c r="X1385" s="0" t="s">
        <v>298</v>
      </c>
      <c r="Y1385" s="0" t="s">
        <v>36</v>
      </c>
      <c r="Z1385" s="0" t="s">
        <v>4002</v>
      </c>
      <c r="AA1385" s="0" t="s">
        <v>81</v>
      </c>
      <c r="AB1385" s="0" t="s">
        <v>300</v>
      </c>
      <c r="AC1385" s="0" t="s">
        <v>532</v>
      </c>
      <c r="AD1385" s="0" t="s">
        <v>2385</v>
      </c>
      <c r="AE1385" s="0" t="s">
        <v>9530</v>
      </c>
      <c r="AF1385" s="0" t="s">
        <v>301</v>
      </c>
      <c r="AM1385" s="0" t="s">
        <v>912</v>
      </c>
      <c r="AN1385" s="0" t="s">
        <v>1472</v>
      </c>
      <c r="AO1385" s="0" t="s">
        <v>474</v>
      </c>
      <c r="AP1385" s="0" t="s">
        <v>305</v>
      </c>
      <c r="AQ1385" s="0" t="s">
        <v>502</v>
      </c>
      <c r="AR1385" s="0" t="s">
        <v>1012</v>
      </c>
      <c r="AS1385" s="0">
        <v>88</v>
      </c>
      <c r="AT1385" s="0">
        <v>176</v>
      </c>
      <c r="AU1385" s="0">
        <v>208</v>
      </c>
      <c r="AV1385" s="0" t="s">
        <v>332</v>
      </c>
      <c r="AX1385" s="0" t="s">
        <v>490</v>
      </c>
      <c r="AY1385" s="0" t="s">
        <v>372</v>
      </c>
      <c r="AZ1385" s="0" t="s">
        <v>311</v>
      </c>
      <c r="BA1385" s="0">
        <v>565</v>
      </c>
      <c r="BB1385" s="0" t="s">
        <v>232</v>
      </c>
      <c r="BC1385" s="0">
        <v>2</v>
      </c>
      <c r="BD1385" s="0">
        <v>14</v>
      </c>
      <c r="BE1385" s="0">
        <v>134783</v>
      </c>
      <c r="BF1385" s="0">
        <v>5</v>
      </c>
      <c r="BG1385" s="0" t="s">
        <v>9589</v>
      </c>
      <c r="BI1385" s="0">
        <v>3399</v>
      </c>
      <c r="BK1385" s="0" t="s">
        <v>9590</v>
      </c>
    </row>
    <row r="1386">
      <c r="A1386" s="0">
        <v>6233</v>
      </c>
      <c r="B1386" s="0" t="s">
        <v>7414</v>
      </c>
      <c r="C1386" s="0" t="s">
        <v>315</v>
      </c>
      <c r="D1386" s="0" t="s">
        <v>9365</v>
      </c>
      <c r="E1386" s="0" t="s">
        <v>7416</v>
      </c>
      <c r="F1386" s="0">
        <v>1</v>
      </c>
      <c r="G1386" s="0" t="s">
        <v>319</v>
      </c>
      <c r="H1386" s="0" t="s">
        <v>398</v>
      </c>
      <c r="I1386" s="0" t="s">
        <v>2166</v>
      </c>
      <c r="J1386" s="0" t="s">
        <v>594</v>
      </c>
      <c r="K1386" s="0" t="s">
        <v>1190</v>
      </c>
      <c r="L1386" s="0" t="s">
        <v>4749</v>
      </c>
      <c r="P1386" s="0" t="s">
        <v>323</v>
      </c>
      <c r="Q1386" s="0" t="s">
        <v>323</v>
      </c>
      <c r="R1386" s="0" t="s">
        <v>556</v>
      </c>
      <c r="T1386" s="0" t="s">
        <v>9591</v>
      </c>
      <c r="U1386" s="0" t="s">
        <v>9592</v>
      </c>
      <c r="W1386" s="0" t="s">
        <v>9529</v>
      </c>
      <c r="X1386" s="0" t="s">
        <v>347</v>
      </c>
      <c r="Y1386" s="0" t="s">
        <v>36</v>
      </c>
      <c r="Z1386" s="0" t="s">
        <v>4002</v>
      </c>
      <c r="AA1386" s="0" t="s">
        <v>81</v>
      </c>
      <c r="AB1386" s="0" t="s">
        <v>300</v>
      </c>
      <c r="AC1386" s="0" t="s">
        <v>532</v>
      </c>
      <c r="AD1386" s="0" t="s">
        <v>2385</v>
      </c>
      <c r="AE1386" s="0" t="s">
        <v>9530</v>
      </c>
      <c r="AF1386" s="0" t="s">
        <v>301</v>
      </c>
      <c r="AP1386" s="0" t="s">
        <v>305</v>
      </c>
      <c r="BA1386" s="0">
        <v>565</v>
      </c>
      <c r="BB1386" s="0" t="s">
        <v>232</v>
      </c>
      <c r="BC1386" s="0">
        <v>2</v>
      </c>
      <c r="BD1386" s="0">
        <v>374043</v>
      </c>
      <c r="BE1386" s="0">
        <v>134783</v>
      </c>
      <c r="BF1386" s="0">
        <v>4</v>
      </c>
      <c r="BG1386" s="0" t="s">
        <v>9593</v>
      </c>
      <c r="BI1386" s="0">
        <v>4169</v>
      </c>
      <c r="BK1386" s="0" t="s">
        <v>9594</v>
      </c>
    </row>
    <row r="1387">
      <c r="A1387" s="0">
        <v>6232</v>
      </c>
      <c r="B1387" s="0" t="s">
        <v>7317</v>
      </c>
      <c r="C1387" s="0" t="s">
        <v>315</v>
      </c>
      <c r="D1387" s="0" t="s">
        <v>9365</v>
      </c>
      <c r="E1387" s="0" t="s">
        <v>7318</v>
      </c>
      <c r="F1387" s="0">
        <v>1</v>
      </c>
      <c r="G1387" s="0" t="s">
        <v>319</v>
      </c>
      <c r="H1387" s="0" t="s">
        <v>398</v>
      </c>
      <c r="I1387" s="0" t="s">
        <v>2166</v>
      </c>
      <c r="J1387" s="0" t="s">
        <v>594</v>
      </c>
      <c r="K1387" s="0" t="s">
        <v>1190</v>
      </c>
      <c r="L1387" s="0" t="s">
        <v>7417</v>
      </c>
      <c r="P1387" s="0" t="s">
        <v>323</v>
      </c>
      <c r="Q1387" s="0" t="s">
        <v>323</v>
      </c>
      <c r="R1387" s="0" t="s">
        <v>556</v>
      </c>
      <c r="T1387" s="0" t="s">
        <v>9595</v>
      </c>
      <c r="U1387" s="0" t="s">
        <v>9596</v>
      </c>
      <c r="W1387" s="0" t="s">
        <v>9529</v>
      </c>
      <c r="X1387" s="0" t="s">
        <v>298</v>
      </c>
      <c r="Y1387" s="0" t="s">
        <v>36</v>
      </c>
      <c r="Z1387" s="0" t="s">
        <v>4002</v>
      </c>
      <c r="AA1387" s="0" t="s">
        <v>81</v>
      </c>
      <c r="AB1387" s="0" t="s">
        <v>300</v>
      </c>
      <c r="AC1387" s="0" t="s">
        <v>532</v>
      </c>
      <c r="AD1387" s="0" t="s">
        <v>2385</v>
      </c>
      <c r="AE1387" s="0" t="s">
        <v>9530</v>
      </c>
      <c r="AF1387" s="0" t="s">
        <v>301</v>
      </c>
      <c r="AP1387" s="0" t="s">
        <v>305</v>
      </c>
      <c r="BA1387" s="0">
        <v>565</v>
      </c>
      <c r="BB1387" s="0" t="s">
        <v>232</v>
      </c>
      <c r="BC1387" s="0">
        <v>2</v>
      </c>
      <c r="BD1387" s="0">
        <v>374043</v>
      </c>
      <c r="BE1387" s="0">
        <v>134783</v>
      </c>
      <c r="BF1387" s="0">
        <v>5</v>
      </c>
      <c r="BG1387" s="0" t="s">
        <v>9597</v>
      </c>
      <c r="BI1387" s="0">
        <v>4168</v>
      </c>
      <c r="BK1387" s="0" t="s">
        <v>9598</v>
      </c>
    </row>
    <row r="1388">
      <c r="A1388" s="0">
        <v>6231</v>
      </c>
      <c r="B1388" s="0" t="s">
        <v>7322</v>
      </c>
      <c r="C1388" s="0" t="s">
        <v>315</v>
      </c>
      <c r="D1388" s="0" t="s">
        <v>9365</v>
      </c>
      <c r="E1388" s="0" t="s">
        <v>7323</v>
      </c>
      <c r="F1388" s="0">
        <v>2</v>
      </c>
      <c r="G1388" s="0" t="s">
        <v>319</v>
      </c>
      <c r="H1388" s="0" t="s">
        <v>398</v>
      </c>
      <c r="I1388" s="0" t="s">
        <v>2166</v>
      </c>
      <c r="J1388" s="0" t="s">
        <v>594</v>
      </c>
      <c r="K1388" s="0" t="s">
        <v>1190</v>
      </c>
      <c r="L1388" s="0" t="s">
        <v>7417</v>
      </c>
      <c r="P1388" s="0" t="s">
        <v>323</v>
      </c>
      <c r="Q1388" s="0" t="s">
        <v>343</v>
      </c>
      <c r="R1388" s="0" t="s">
        <v>556</v>
      </c>
      <c r="U1388" s="0" t="s">
        <v>9599</v>
      </c>
      <c r="W1388" s="0" t="s">
        <v>9529</v>
      </c>
      <c r="X1388" s="0" t="s">
        <v>298</v>
      </c>
      <c r="Y1388" s="0" t="s">
        <v>36</v>
      </c>
      <c r="Z1388" s="0" t="s">
        <v>4002</v>
      </c>
      <c r="AA1388" s="0" t="s">
        <v>81</v>
      </c>
      <c r="AB1388" s="0" t="s">
        <v>300</v>
      </c>
      <c r="AC1388" s="0" t="s">
        <v>532</v>
      </c>
      <c r="AD1388" s="0" t="s">
        <v>2385</v>
      </c>
      <c r="AE1388" s="0" t="s">
        <v>9530</v>
      </c>
      <c r="AF1388" s="0" t="s">
        <v>301</v>
      </c>
      <c r="AP1388" s="0" t="s">
        <v>305</v>
      </c>
      <c r="BA1388" s="0">
        <v>565</v>
      </c>
      <c r="BB1388" s="0" t="s">
        <v>232</v>
      </c>
      <c r="BC1388" s="0">
        <v>2</v>
      </c>
      <c r="BD1388" s="0">
        <v>374043</v>
      </c>
      <c r="BE1388" s="0">
        <v>134783</v>
      </c>
      <c r="BF1388" s="0">
        <v>5</v>
      </c>
      <c r="BG1388" s="0" t="s">
        <v>9600</v>
      </c>
      <c r="BI1388" s="0">
        <v>4097</v>
      </c>
      <c r="BK1388" s="0" t="s">
        <v>9601</v>
      </c>
    </row>
    <row r="1389">
      <c r="A1389" s="0">
        <v>6354</v>
      </c>
      <c r="C1389" s="0" t="s">
        <v>579</v>
      </c>
      <c r="D1389" s="0" t="s">
        <v>9529</v>
      </c>
      <c r="E1389" s="0" t="s">
        <v>9602</v>
      </c>
      <c r="F1389" s="0">
        <v>1</v>
      </c>
      <c r="G1389" s="0" t="s">
        <v>581</v>
      </c>
      <c r="H1389" s="0" t="s">
        <v>581</v>
      </c>
      <c r="I1389" s="0" t="s">
        <v>583</v>
      </c>
      <c r="J1389" s="0" t="s">
        <v>594</v>
      </c>
      <c r="K1389" s="0" t="s">
        <v>1190</v>
      </c>
      <c r="L1389" s="0" t="s">
        <v>4749</v>
      </c>
      <c r="P1389" s="0" t="s">
        <v>343</v>
      </c>
      <c r="Q1389" s="0" t="s">
        <v>343</v>
      </c>
      <c r="T1389" s="0" t="s">
        <v>9603</v>
      </c>
      <c r="U1389" s="0" t="s">
        <v>9604</v>
      </c>
      <c r="W1389" s="0" t="s">
        <v>9529</v>
      </c>
      <c r="X1389" s="0" t="s">
        <v>298</v>
      </c>
      <c r="Y1389" s="0" t="s">
        <v>36</v>
      </c>
      <c r="Z1389" s="0" t="s">
        <v>4002</v>
      </c>
      <c r="AA1389" s="0" t="s">
        <v>81</v>
      </c>
      <c r="AB1389" s="0" t="s">
        <v>300</v>
      </c>
      <c r="AC1389" s="0" t="s">
        <v>532</v>
      </c>
      <c r="AD1389" s="0" t="s">
        <v>2385</v>
      </c>
      <c r="AE1389" s="0" t="s">
        <v>9530</v>
      </c>
      <c r="AF1389" s="0" t="s">
        <v>301</v>
      </c>
      <c r="AP1389" s="0" t="s">
        <v>305</v>
      </c>
      <c r="BA1389" s="0">
        <v>565</v>
      </c>
      <c r="BB1389" s="0" t="s">
        <v>232</v>
      </c>
      <c r="BC1389" s="0">
        <v>2</v>
      </c>
      <c r="BD1389" s="0">
        <v>374046</v>
      </c>
      <c r="BE1389" s="0">
        <v>134783</v>
      </c>
      <c r="BF1389" s="0">
        <v>5</v>
      </c>
      <c r="BG1389" s="0" t="s">
        <v>9605</v>
      </c>
      <c r="BI1389" s="0">
        <v>4468</v>
      </c>
      <c r="BK1389" s="0" t="s">
        <v>9606</v>
      </c>
    </row>
    <row r="1390">
      <c r="A1390" s="0">
        <v>6351</v>
      </c>
      <c r="B1390" s="0" t="s">
        <v>9607</v>
      </c>
      <c r="C1390" s="0" t="s">
        <v>315</v>
      </c>
      <c r="D1390" s="0" t="s">
        <v>9529</v>
      </c>
      <c r="E1390" s="0" t="s">
        <v>7433</v>
      </c>
      <c r="F1390" s="0">
        <v>1</v>
      </c>
      <c r="G1390" s="0" t="s">
        <v>543</v>
      </c>
      <c r="H1390" s="0" t="s">
        <v>1112</v>
      </c>
      <c r="I1390" s="0" t="s">
        <v>9608</v>
      </c>
      <c r="J1390" s="0" t="s">
        <v>293</v>
      </c>
      <c r="K1390" s="0" t="s">
        <v>294</v>
      </c>
      <c r="L1390" s="0" t="s">
        <v>9609</v>
      </c>
      <c r="P1390" s="0" t="s">
        <v>323</v>
      </c>
      <c r="Q1390" s="0" t="s">
        <v>9610</v>
      </c>
      <c r="R1390" s="0" t="s">
        <v>2393</v>
      </c>
      <c r="T1390" s="0" t="s">
        <v>9611</v>
      </c>
      <c r="U1390" s="0" t="s">
        <v>9612</v>
      </c>
      <c r="W1390" s="0" t="s">
        <v>9529</v>
      </c>
      <c r="X1390" s="0" t="s">
        <v>298</v>
      </c>
      <c r="Y1390" s="0" t="s">
        <v>36</v>
      </c>
      <c r="Z1390" s="0" t="s">
        <v>4002</v>
      </c>
      <c r="AA1390" s="0" t="s">
        <v>81</v>
      </c>
      <c r="AB1390" s="0" t="s">
        <v>300</v>
      </c>
      <c r="AC1390" s="0" t="s">
        <v>532</v>
      </c>
      <c r="AD1390" s="0" t="s">
        <v>2385</v>
      </c>
      <c r="AE1390" s="0" t="s">
        <v>9530</v>
      </c>
      <c r="AF1390" s="0" t="s">
        <v>301</v>
      </c>
      <c r="AP1390" s="0" t="s">
        <v>305</v>
      </c>
      <c r="BA1390" s="0">
        <v>565</v>
      </c>
      <c r="BB1390" s="0" t="s">
        <v>232</v>
      </c>
      <c r="BC1390" s="0">
        <v>2</v>
      </c>
      <c r="BD1390" s="0">
        <v>374043</v>
      </c>
      <c r="BE1390" s="0">
        <v>134783</v>
      </c>
      <c r="BF1390" s="0">
        <v>5</v>
      </c>
      <c r="BG1390" s="0" t="s">
        <v>9613</v>
      </c>
      <c r="BI1390" s="0">
        <v>4302</v>
      </c>
      <c r="BK1390" s="0" t="s">
        <v>9614</v>
      </c>
    </row>
    <row r="1391">
      <c r="A1391" s="0">
        <v>6159</v>
      </c>
      <c r="B1391" s="0" t="s">
        <v>9615</v>
      </c>
      <c r="C1391" s="0" t="s">
        <v>315</v>
      </c>
      <c r="D1391" s="0" t="s">
        <v>9365</v>
      </c>
      <c r="E1391" s="0" t="s">
        <v>9616</v>
      </c>
      <c r="F1391" s="0">
        <v>1</v>
      </c>
      <c r="G1391" s="0" t="s">
        <v>319</v>
      </c>
      <c r="H1391" s="0" t="s">
        <v>398</v>
      </c>
      <c r="I1391" s="0" t="s">
        <v>471</v>
      </c>
      <c r="J1391" s="0" t="s">
        <v>594</v>
      </c>
      <c r="K1391" s="0" t="s">
        <v>1190</v>
      </c>
      <c r="L1391" s="0" t="s">
        <v>7417</v>
      </c>
      <c r="P1391" s="0" t="s">
        <v>323</v>
      </c>
      <c r="Q1391" s="0" t="s">
        <v>323</v>
      </c>
      <c r="R1391" s="0" t="s">
        <v>2488</v>
      </c>
      <c r="T1391" s="0" t="s">
        <v>9617</v>
      </c>
      <c r="U1391" s="0" t="s">
        <v>9618</v>
      </c>
      <c r="W1391" s="0" t="s">
        <v>9529</v>
      </c>
      <c r="X1391" s="0" t="s">
        <v>298</v>
      </c>
      <c r="Y1391" s="0" t="s">
        <v>36</v>
      </c>
      <c r="Z1391" s="0" t="s">
        <v>4002</v>
      </c>
      <c r="AA1391" s="0" t="s">
        <v>81</v>
      </c>
      <c r="AB1391" s="0" t="s">
        <v>300</v>
      </c>
      <c r="AC1391" s="0" t="s">
        <v>532</v>
      </c>
      <c r="AD1391" s="0" t="s">
        <v>2385</v>
      </c>
      <c r="AE1391" s="0" t="s">
        <v>9530</v>
      </c>
      <c r="AF1391" s="0" t="s">
        <v>301</v>
      </c>
      <c r="AP1391" s="0" t="s">
        <v>305</v>
      </c>
      <c r="BA1391" s="0">
        <v>565</v>
      </c>
      <c r="BB1391" s="0" t="s">
        <v>232</v>
      </c>
      <c r="BC1391" s="0">
        <v>2</v>
      </c>
      <c r="BD1391" s="0">
        <v>374043</v>
      </c>
      <c r="BE1391" s="0">
        <v>134783</v>
      </c>
      <c r="BF1391" s="0">
        <v>5</v>
      </c>
      <c r="BG1391" s="0" t="s">
        <v>9619</v>
      </c>
      <c r="BI1391" s="0">
        <v>2779</v>
      </c>
      <c r="BK1391" s="0" t="s">
        <v>9620</v>
      </c>
    </row>
    <row r="1392">
      <c r="A1392" s="0">
        <v>6158</v>
      </c>
      <c r="B1392" s="0" t="s">
        <v>9621</v>
      </c>
      <c r="C1392" s="0" t="s">
        <v>315</v>
      </c>
      <c r="D1392" s="0" t="s">
        <v>9365</v>
      </c>
      <c r="E1392" s="0" t="s">
        <v>7451</v>
      </c>
      <c r="F1392" s="0">
        <v>1</v>
      </c>
      <c r="G1392" s="0" t="s">
        <v>319</v>
      </c>
      <c r="H1392" s="0" t="s">
        <v>398</v>
      </c>
      <c r="I1392" s="0" t="s">
        <v>471</v>
      </c>
      <c r="J1392" s="0" t="s">
        <v>594</v>
      </c>
      <c r="K1392" s="0" t="s">
        <v>1190</v>
      </c>
      <c r="L1392" s="0" t="s">
        <v>1293</v>
      </c>
      <c r="P1392" s="0" t="s">
        <v>323</v>
      </c>
      <c r="Q1392" s="0" t="s">
        <v>323</v>
      </c>
      <c r="R1392" s="0" t="s">
        <v>2488</v>
      </c>
      <c r="T1392" s="0" t="s">
        <v>9622</v>
      </c>
      <c r="U1392" s="0" t="s">
        <v>9623</v>
      </c>
      <c r="W1392" s="0" t="s">
        <v>9529</v>
      </c>
      <c r="X1392" s="0" t="s">
        <v>298</v>
      </c>
      <c r="Y1392" s="0" t="s">
        <v>36</v>
      </c>
      <c r="Z1392" s="0" t="s">
        <v>4002</v>
      </c>
      <c r="AA1392" s="0" t="s">
        <v>81</v>
      </c>
      <c r="AB1392" s="0" t="s">
        <v>300</v>
      </c>
      <c r="AC1392" s="0" t="s">
        <v>532</v>
      </c>
      <c r="AD1392" s="0" t="s">
        <v>2385</v>
      </c>
      <c r="AE1392" s="0" t="s">
        <v>9530</v>
      </c>
      <c r="AF1392" s="0" t="s">
        <v>301</v>
      </c>
      <c r="AP1392" s="0" t="s">
        <v>305</v>
      </c>
      <c r="BA1392" s="0">
        <v>565</v>
      </c>
      <c r="BB1392" s="0" t="s">
        <v>232</v>
      </c>
      <c r="BC1392" s="0">
        <v>2</v>
      </c>
      <c r="BD1392" s="0">
        <v>374043</v>
      </c>
      <c r="BE1392" s="0">
        <v>134783</v>
      </c>
      <c r="BF1392" s="0">
        <v>5</v>
      </c>
      <c r="BG1392" s="0" t="s">
        <v>9624</v>
      </c>
      <c r="BI1392" s="0">
        <v>2602</v>
      </c>
      <c r="BK1392" s="0" t="s">
        <v>9625</v>
      </c>
    </row>
    <row r="1393">
      <c r="A1393" s="0">
        <v>6163</v>
      </c>
      <c r="B1393" s="0" t="s">
        <v>9626</v>
      </c>
      <c r="C1393" s="0" t="s">
        <v>315</v>
      </c>
      <c r="D1393" s="0" t="s">
        <v>9365</v>
      </c>
      <c r="E1393" s="0" t="s">
        <v>7457</v>
      </c>
      <c r="F1393" s="0">
        <v>1</v>
      </c>
      <c r="G1393" s="0" t="s">
        <v>543</v>
      </c>
      <c r="H1393" s="0" t="s">
        <v>9627</v>
      </c>
      <c r="I1393" s="0" t="s">
        <v>2166</v>
      </c>
      <c r="P1393" s="0" t="s">
        <v>323</v>
      </c>
      <c r="Q1393" s="0" t="s">
        <v>4015</v>
      </c>
      <c r="R1393" s="0" t="s">
        <v>556</v>
      </c>
      <c r="T1393" s="0" t="s">
        <v>9628</v>
      </c>
      <c r="U1393" s="0" t="s">
        <v>9629</v>
      </c>
      <c r="W1393" s="0" t="s">
        <v>9529</v>
      </c>
      <c r="X1393" s="0" t="s">
        <v>347</v>
      </c>
      <c r="Y1393" s="0" t="s">
        <v>36</v>
      </c>
      <c r="Z1393" s="0" t="s">
        <v>4002</v>
      </c>
      <c r="AA1393" s="0" t="s">
        <v>81</v>
      </c>
      <c r="AB1393" s="0" t="s">
        <v>300</v>
      </c>
      <c r="AC1393" s="0" t="s">
        <v>532</v>
      </c>
      <c r="AD1393" s="0" t="s">
        <v>2385</v>
      </c>
      <c r="AE1393" s="0" t="s">
        <v>9530</v>
      </c>
      <c r="AF1393" s="0" t="s">
        <v>301</v>
      </c>
      <c r="AP1393" s="0" t="s">
        <v>305</v>
      </c>
      <c r="BA1393" s="0">
        <v>565</v>
      </c>
      <c r="BB1393" s="0" t="s">
        <v>232</v>
      </c>
      <c r="BC1393" s="0">
        <v>2</v>
      </c>
      <c r="BD1393" s="0">
        <v>374043</v>
      </c>
      <c r="BE1393" s="0">
        <v>134783</v>
      </c>
      <c r="BF1393" s="0">
        <v>4</v>
      </c>
      <c r="BG1393" s="0" t="s">
        <v>9630</v>
      </c>
      <c r="BI1393" s="0">
        <v>2948</v>
      </c>
      <c r="BK1393" s="0" t="s">
        <v>9631</v>
      </c>
    </row>
    <row r="1394">
      <c r="A1394" s="0">
        <v>6352</v>
      </c>
      <c r="B1394" s="0" t="s">
        <v>9632</v>
      </c>
      <c r="C1394" s="0" t="s">
        <v>315</v>
      </c>
      <c r="D1394" s="0" t="s">
        <v>9529</v>
      </c>
      <c r="E1394" s="0" t="s">
        <v>467</v>
      </c>
      <c r="F1394" s="0">
        <v>1</v>
      </c>
      <c r="G1394" s="0" t="s">
        <v>319</v>
      </c>
      <c r="H1394" s="0" t="s">
        <v>470</v>
      </c>
      <c r="I1394" s="0" t="s">
        <v>471</v>
      </c>
      <c r="J1394" s="0" t="s">
        <v>594</v>
      </c>
      <c r="K1394" s="0" t="s">
        <v>1190</v>
      </c>
      <c r="L1394" s="0" t="s">
        <v>7417</v>
      </c>
      <c r="M1394" s="0" t="s">
        <v>594</v>
      </c>
      <c r="N1394" s="0" t="s">
        <v>1190</v>
      </c>
      <c r="O1394" s="0" t="s">
        <v>7417</v>
      </c>
      <c r="P1394" s="0" t="s">
        <v>343</v>
      </c>
      <c r="Q1394" s="0" t="s">
        <v>343</v>
      </c>
      <c r="T1394" s="0" t="s">
        <v>9633</v>
      </c>
      <c r="U1394" s="0" t="s">
        <v>9634</v>
      </c>
      <c r="W1394" s="0" t="s">
        <v>9529</v>
      </c>
      <c r="X1394" s="0" t="s">
        <v>298</v>
      </c>
      <c r="Y1394" s="0" t="s">
        <v>36</v>
      </c>
      <c r="Z1394" s="0" t="s">
        <v>4002</v>
      </c>
      <c r="AA1394" s="0" t="s">
        <v>81</v>
      </c>
      <c r="AB1394" s="0" t="s">
        <v>300</v>
      </c>
      <c r="AC1394" s="0" t="s">
        <v>532</v>
      </c>
      <c r="AD1394" s="0" t="s">
        <v>2385</v>
      </c>
      <c r="AE1394" s="0" t="s">
        <v>9530</v>
      </c>
      <c r="AF1394" s="0" t="s">
        <v>301</v>
      </c>
      <c r="AP1394" s="0" t="s">
        <v>305</v>
      </c>
      <c r="BA1394" s="0">
        <v>565</v>
      </c>
      <c r="BB1394" s="0" t="s">
        <v>232</v>
      </c>
      <c r="BC1394" s="0">
        <v>2</v>
      </c>
      <c r="BD1394" s="0">
        <v>374043</v>
      </c>
      <c r="BE1394" s="0">
        <v>134783</v>
      </c>
      <c r="BF1394" s="0">
        <v>5</v>
      </c>
      <c r="BG1394" s="0" t="s">
        <v>9635</v>
      </c>
      <c r="BI1394" s="0">
        <v>4362</v>
      </c>
      <c r="BK1394" s="0" t="s">
        <v>9636</v>
      </c>
    </row>
    <row r="1395">
      <c r="A1395" s="0">
        <v>6230</v>
      </c>
      <c r="B1395" s="0" t="s">
        <v>9637</v>
      </c>
      <c r="C1395" s="0" t="s">
        <v>315</v>
      </c>
      <c r="D1395" s="0" t="s">
        <v>9365</v>
      </c>
      <c r="E1395" s="0" t="s">
        <v>9638</v>
      </c>
      <c r="F1395" s="0">
        <v>1</v>
      </c>
      <c r="G1395" s="0" t="s">
        <v>319</v>
      </c>
      <c r="H1395" s="0" t="s">
        <v>398</v>
      </c>
      <c r="I1395" s="0" t="s">
        <v>9639</v>
      </c>
      <c r="J1395" s="0" t="s">
        <v>293</v>
      </c>
      <c r="K1395" s="0" t="s">
        <v>294</v>
      </c>
      <c r="L1395" s="0" t="s">
        <v>9525</v>
      </c>
      <c r="P1395" s="0" t="s">
        <v>323</v>
      </c>
      <c r="Q1395" s="0" t="s">
        <v>323</v>
      </c>
      <c r="R1395" s="0" t="s">
        <v>2393</v>
      </c>
      <c r="T1395" s="0" t="s">
        <v>9640</v>
      </c>
      <c r="U1395" s="0" t="s">
        <v>9641</v>
      </c>
      <c r="W1395" s="0" t="s">
        <v>9529</v>
      </c>
      <c r="X1395" s="0" t="s">
        <v>298</v>
      </c>
      <c r="Y1395" s="0" t="s">
        <v>36</v>
      </c>
      <c r="Z1395" s="0" t="s">
        <v>4002</v>
      </c>
      <c r="AA1395" s="0" t="s">
        <v>81</v>
      </c>
      <c r="AB1395" s="0" t="s">
        <v>300</v>
      </c>
      <c r="AC1395" s="0" t="s">
        <v>532</v>
      </c>
      <c r="AD1395" s="0" t="s">
        <v>2385</v>
      </c>
      <c r="AE1395" s="0" t="s">
        <v>9530</v>
      </c>
      <c r="AF1395" s="0" t="s">
        <v>301</v>
      </c>
      <c r="AP1395" s="0" t="s">
        <v>305</v>
      </c>
      <c r="BA1395" s="0">
        <v>565</v>
      </c>
      <c r="BB1395" s="0" t="s">
        <v>232</v>
      </c>
      <c r="BC1395" s="0">
        <v>2</v>
      </c>
      <c r="BD1395" s="0">
        <v>374043</v>
      </c>
      <c r="BE1395" s="0">
        <v>134783</v>
      </c>
      <c r="BF1395" s="0">
        <v>5</v>
      </c>
      <c r="BG1395" s="0" t="s">
        <v>9642</v>
      </c>
      <c r="BI1395" s="0">
        <v>4014</v>
      </c>
      <c r="BK1395" s="0" t="s">
        <v>9643</v>
      </c>
    </row>
    <row r="1396">
      <c r="A1396" s="0">
        <v>6227</v>
      </c>
      <c r="B1396" s="0" t="s">
        <v>9637</v>
      </c>
      <c r="C1396" s="0" t="s">
        <v>315</v>
      </c>
      <c r="D1396" s="0" t="s">
        <v>9365</v>
      </c>
      <c r="E1396" s="0" t="s">
        <v>9638</v>
      </c>
      <c r="F1396" s="0">
        <v>1</v>
      </c>
      <c r="G1396" s="0" t="s">
        <v>319</v>
      </c>
      <c r="H1396" s="0" t="s">
        <v>398</v>
      </c>
      <c r="I1396" s="0" t="s">
        <v>2166</v>
      </c>
      <c r="J1396" s="0" t="s">
        <v>293</v>
      </c>
      <c r="K1396" s="0" t="s">
        <v>294</v>
      </c>
      <c r="L1396" s="0" t="s">
        <v>9525</v>
      </c>
      <c r="P1396" s="0" t="s">
        <v>323</v>
      </c>
      <c r="Q1396" s="0" t="s">
        <v>323</v>
      </c>
      <c r="R1396" s="0" t="s">
        <v>556</v>
      </c>
      <c r="T1396" s="0" t="s">
        <v>9644</v>
      </c>
      <c r="U1396" s="0" t="s">
        <v>9645</v>
      </c>
      <c r="W1396" s="0" t="s">
        <v>9529</v>
      </c>
      <c r="X1396" s="0" t="s">
        <v>298</v>
      </c>
      <c r="Y1396" s="0" t="s">
        <v>36</v>
      </c>
      <c r="Z1396" s="0" t="s">
        <v>4002</v>
      </c>
      <c r="AA1396" s="0" t="s">
        <v>81</v>
      </c>
      <c r="AB1396" s="0" t="s">
        <v>300</v>
      </c>
      <c r="AC1396" s="0" t="s">
        <v>532</v>
      </c>
      <c r="AD1396" s="0" t="s">
        <v>2385</v>
      </c>
      <c r="AE1396" s="0" t="s">
        <v>9530</v>
      </c>
      <c r="AF1396" s="0" t="s">
        <v>301</v>
      </c>
      <c r="AP1396" s="0" t="s">
        <v>305</v>
      </c>
      <c r="BA1396" s="0">
        <v>565</v>
      </c>
      <c r="BB1396" s="0" t="s">
        <v>232</v>
      </c>
      <c r="BC1396" s="0">
        <v>2</v>
      </c>
      <c r="BD1396" s="0">
        <v>374043</v>
      </c>
      <c r="BE1396" s="0">
        <v>134783</v>
      </c>
      <c r="BF1396" s="0">
        <v>5</v>
      </c>
      <c r="BG1396" s="0" t="s">
        <v>9646</v>
      </c>
      <c r="BI1396" s="0">
        <v>3743</v>
      </c>
      <c r="BK1396" s="0" t="s">
        <v>9647</v>
      </c>
    </row>
    <row r="1397">
      <c r="A1397" s="0">
        <v>6228</v>
      </c>
      <c r="B1397" s="0" t="s">
        <v>7327</v>
      </c>
      <c r="C1397" s="0" t="s">
        <v>315</v>
      </c>
      <c r="D1397" s="0" t="s">
        <v>9365</v>
      </c>
      <c r="E1397" s="0" t="s">
        <v>7328</v>
      </c>
      <c r="F1397" s="0">
        <v>2</v>
      </c>
      <c r="G1397" s="0" t="s">
        <v>319</v>
      </c>
      <c r="H1397" s="0" t="s">
        <v>398</v>
      </c>
      <c r="I1397" s="0" t="s">
        <v>9639</v>
      </c>
      <c r="J1397" s="0" t="s">
        <v>293</v>
      </c>
      <c r="K1397" s="0" t="s">
        <v>294</v>
      </c>
      <c r="L1397" s="0" t="s">
        <v>9525</v>
      </c>
      <c r="P1397" s="0" t="s">
        <v>323</v>
      </c>
      <c r="Q1397" s="0" t="s">
        <v>323</v>
      </c>
      <c r="R1397" s="0" t="s">
        <v>2393</v>
      </c>
      <c r="T1397" s="0" t="s">
        <v>9640</v>
      </c>
      <c r="U1397" s="0" t="s">
        <v>9648</v>
      </c>
      <c r="W1397" s="0" t="s">
        <v>9529</v>
      </c>
      <c r="X1397" s="0" t="s">
        <v>298</v>
      </c>
      <c r="Y1397" s="0" t="s">
        <v>36</v>
      </c>
      <c r="Z1397" s="0" t="s">
        <v>4002</v>
      </c>
      <c r="AA1397" s="0" t="s">
        <v>81</v>
      </c>
      <c r="AB1397" s="0" t="s">
        <v>300</v>
      </c>
      <c r="AC1397" s="0" t="s">
        <v>532</v>
      </c>
      <c r="AD1397" s="0" t="s">
        <v>2385</v>
      </c>
      <c r="AE1397" s="0" t="s">
        <v>9530</v>
      </c>
      <c r="AF1397" s="0" t="s">
        <v>301</v>
      </c>
      <c r="AP1397" s="0" t="s">
        <v>305</v>
      </c>
      <c r="BA1397" s="0">
        <v>565</v>
      </c>
      <c r="BB1397" s="0" t="s">
        <v>232</v>
      </c>
      <c r="BC1397" s="0">
        <v>2</v>
      </c>
      <c r="BD1397" s="0">
        <v>374043</v>
      </c>
      <c r="BE1397" s="0">
        <v>134783</v>
      </c>
      <c r="BF1397" s="0">
        <v>5</v>
      </c>
      <c r="BG1397" s="0" t="s">
        <v>9649</v>
      </c>
      <c r="BI1397" s="0">
        <v>3839</v>
      </c>
      <c r="BK1397" s="0" t="s">
        <v>9650</v>
      </c>
    </row>
    <row r="1398">
      <c r="A1398" s="0">
        <v>6226</v>
      </c>
      <c r="B1398" s="0" t="s">
        <v>7327</v>
      </c>
      <c r="C1398" s="0" t="s">
        <v>315</v>
      </c>
      <c r="D1398" s="0" t="s">
        <v>9365</v>
      </c>
      <c r="E1398" s="0" t="s">
        <v>7328</v>
      </c>
      <c r="F1398" s="0">
        <v>2</v>
      </c>
      <c r="G1398" s="0" t="s">
        <v>319</v>
      </c>
      <c r="H1398" s="0" t="s">
        <v>398</v>
      </c>
      <c r="I1398" s="0" t="s">
        <v>2166</v>
      </c>
      <c r="J1398" s="0" t="s">
        <v>293</v>
      </c>
      <c r="K1398" s="0" t="s">
        <v>294</v>
      </c>
      <c r="L1398" s="0" t="s">
        <v>9525</v>
      </c>
      <c r="P1398" s="0" t="s">
        <v>323</v>
      </c>
      <c r="Q1398" s="0" t="s">
        <v>323</v>
      </c>
      <c r="R1398" s="0" t="s">
        <v>556</v>
      </c>
      <c r="T1398" s="0" t="s">
        <v>9644</v>
      </c>
      <c r="U1398" s="0" t="s">
        <v>9651</v>
      </c>
      <c r="W1398" s="0" t="s">
        <v>9529</v>
      </c>
      <c r="X1398" s="0" t="s">
        <v>298</v>
      </c>
      <c r="Y1398" s="0" t="s">
        <v>36</v>
      </c>
      <c r="Z1398" s="0" t="s">
        <v>4002</v>
      </c>
      <c r="AA1398" s="0" t="s">
        <v>81</v>
      </c>
      <c r="AB1398" s="0" t="s">
        <v>300</v>
      </c>
      <c r="AC1398" s="0" t="s">
        <v>532</v>
      </c>
      <c r="AD1398" s="0" t="s">
        <v>2385</v>
      </c>
      <c r="AE1398" s="0" t="s">
        <v>9530</v>
      </c>
      <c r="AF1398" s="0" t="s">
        <v>301</v>
      </c>
      <c r="AP1398" s="0" t="s">
        <v>305</v>
      </c>
      <c r="BA1398" s="0">
        <v>565</v>
      </c>
      <c r="BB1398" s="0" t="s">
        <v>232</v>
      </c>
      <c r="BC1398" s="0">
        <v>2</v>
      </c>
      <c r="BD1398" s="0">
        <v>374043</v>
      </c>
      <c r="BE1398" s="0">
        <v>134783</v>
      </c>
      <c r="BF1398" s="0">
        <v>5</v>
      </c>
      <c r="BG1398" s="0" t="s">
        <v>9652</v>
      </c>
      <c r="BI1398" s="0">
        <v>3638</v>
      </c>
      <c r="BK1398" s="0" t="s">
        <v>9653</v>
      </c>
    </row>
    <row r="1399">
      <c r="A1399" s="0">
        <v>6154</v>
      </c>
      <c r="B1399" s="0" t="s">
        <v>9654</v>
      </c>
      <c r="C1399" s="0" t="s">
        <v>315</v>
      </c>
      <c r="D1399" s="0" t="s">
        <v>9365</v>
      </c>
      <c r="E1399" s="0" t="s">
        <v>9655</v>
      </c>
      <c r="F1399" s="0">
        <v>1</v>
      </c>
      <c r="G1399" s="0" t="s">
        <v>319</v>
      </c>
      <c r="H1399" s="0" t="s">
        <v>398</v>
      </c>
      <c r="I1399" s="0" t="s">
        <v>9639</v>
      </c>
      <c r="J1399" s="0" t="s">
        <v>293</v>
      </c>
      <c r="K1399" s="0" t="s">
        <v>294</v>
      </c>
      <c r="L1399" s="0" t="s">
        <v>9525</v>
      </c>
      <c r="O1399" s="0" t="s">
        <v>9656</v>
      </c>
      <c r="P1399" s="0" t="s">
        <v>343</v>
      </c>
      <c r="Q1399" s="0" t="s">
        <v>343</v>
      </c>
      <c r="T1399" s="0" t="s">
        <v>9657</v>
      </c>
      <c r="U1399" s="0" t="s">
        <v>9658</v>
      </c>
      <c r="W1399" s="0" t="s">
        <v>9529</v>
      </c>
      <c r="X1399" s="0" t="s">
        <v>298</v>
      </c>
      <c r="Y1399" s="0" t="s">
        <v>36</v>
      </c>
      <c r="Z1399" s="0" t="s">
        <v>4002</v>
      </c>
      <c r="AA1399" s="0" t="s">
        <v>81</v>
      </c>
      <c r="AB1399" s="0" t="s">
        <v>300</v>
      </c>
      <c r="AC1399" s="0" t="s">
        <v>532</v>
      </c>
      <c r="AD1399" s="0" t="s">
        <v>2385</v>
      </c>
      <c r="AE1399" s="0" t="s">
        <v>9530</v>
      </c>
      <c r="AF1399" s="0" t="s">
        <v>301</v>
      </c>
      <c r="AP1399" s="0" t="s">
        <v>305</v>
      </c>
      <c r="BA1399" s="0">
        <v>565</v>
      </c>
      <c r="BB1399" s="0" t="s">
        <v>232</v>
      </c>
      <c r="BC1399" s="0">
        <v>2</v>
      </c>
      <c r="BD1399" s="0">
        <v>374043</v>
      </c>
      <c r="BE1399" s="0">
        <v>134783</v>
      </c>
      <c r="BF1399" s="0">
        <v>5</v>
      </c>
      <c r="BG1399" s="0" t="s">
        <v>9659</v>
      </c>
      <c r="BI1399" s="0">
        <v>1158</v>
      </c>
      <c r="BK1399" s="0" t="s">
        <v>9660</v>
      </c>
    </row>
    <row r="1400">
      <c r="A1400" s="0">
        <v>6234</v>
      </c>
      <c r="B1400" s="0" t="s">
        <v>9654</v>
      </c>
      <c r="C1400" s="0" t="s">
        <v>315</v>
      </c>
      <c r="D1400" s="0" t="s">
        <v>9365</v>
      </c>
      <c r="E1400" s="0" t="s">
        <v>9655</v>
      </c>
      <c r="F1400" s="0">
        <v>1</v>
      </c>
      <c r="G1400" s="0" t="s">
        <v>319</v>
      </c>
      <c r="H1400" s="0" t="s">
        <v>398</v>
      </c>
      <c r="I1400" s="0" t="s">
        <v>2166</v>
      </c>
      <c r="J1400" s="0" t="s">
        <v>293</v>
      </c>
      <c r="K1400" s="0" t="s">
        <v>294</v>
      </c>
      <c r="L1400" s="0" t="s">
        <v>9525</v>
      </c>
      <c r="N1400" s="0" t="s">
        <v>9661</v>
      </c>
      <c r="P1400" s="0" t="s">
        <v>343</v>
      </c>
      <c r="Q1400" s="0" t="s">
        <v>343</v>
      </c>
      <c r="R1400" s="0" t="s">
        <v>6181</v>
      </c>
      <c r="T1400" s="0" t="s">
        <v>9662</v>
      </c>
      <c r="U1400" s="0" t="s">
        <v>9663</v>
      </c>
      <c r="W1400" s="0" t="s">
        <v>9529</v>
      </c>
      <c r="X1400" s="0" t="s">
        <v>298</v>
      </c>
      <c r="Y1400" s="0" t="s">
        <v>36</v>
      </c>
      <c r="Z1400" s="0" t="s">
        <v>4002</v>
      </c>
      <c r="AA1400" s="0" t="s">
        <v>81</v>
      </c>
      <c r="AB1400" s="0" t="s">
        <v>300</v>
      </c>
      <c r="AC1400" s="0" t="s">
        <v>532</v>
      </c>
      <c r="AD1400" s="0" t="s">
        <v>2385</v>
      </c>
      <c r="AE1400" s="0" t="s">
        <v>9530</v>
      </c>
      <c r="AF1400" s="0" t="s">
        <v>301</v>
      </c>
      <c r="AP1400" s="0" t="s">
        <v>305</v>
      </c>
      <c r="BA1400" s="0">
        <v>565</v>
      </c>
      <c r="BB1400" s="0" t="s">
        <v>232</v>
      </c>
      <c r="BC1400" s="0">
        <v>2</v>
      </c>
      <c r="BD1400" s="0">
        <v>374043</v>
      </c>
      <c r="BE1400" s="0">
        <v>134783</v>
      </c>
      <c r="BF1400" s="0">
        <v>5</v>
      </c>
      <c r="BG1400" s="0" t="s">
        <v>9664</v>
      </c>
      <c r="BI1400" s="0">
        <v>4236</v>
      </c>
      <c r="BK1400" s="0" t="s">
        <v>9665</v>
      </c>
    </row>
    <row r="1401">
      <c r="A1401" s="0">
        <v>6422</v>
      </c>
      <c r="B1401" s="0" t="s">
        <v>9666</v>
      </c>
      <c r="C1401" s="0" t="s">
        <v>945</v>
      </c>
      <c r="D1401" s="0" t="s">
        <v>9667</v>
      </c>
      <c r="E1401" s="0" t="s">
        <v>9668</v>
      </c>
      <c r="F1401" s="0">
        <v>1</v>
      </c>
      <c r="G1401" s="0" t="s">
        <v>543</v>
      </c>
      <c r="H1401" s="0" t="s">
        <v>9627</v>
      </c>
      <c r="I1401" s="0" t="s">
        <v>2166</v>
      </c>
      <c r="P1401" s="0" t="s">
        <v>323</v>
      </c>
      <c r="Q1401" s="0" t="s">
        <v>343</v>
      </c>
      <c r="R1401" s="0" t="s">
        <v>8000</v>
      </c>
      <c r="T1401" s="0" t="s">
        <v>9669</v>
      </c>
      <c r="W1401" s="0" t="s">
        <v>9529</v>
      </c>
      <c r="X1401" s="0" t="s">
        <v>529</v>
      </c>
      <c r="Y1401" s="0" t="s">
        <v>36</v>
      </c>
      <c r="Z1401" s="0" t="s">
        <v>4002</v>
      </c>
      <c r="AA1401" s="0" t="s">
        <v>81</v>
      </c>
      <c r="AB1401" s="0" t="s">
        <v>300</v>
      </c>
      <c r="AC1401" s="0" t="s">
        <v>532</v>
      </c>
      <c r="AD1401" s="0" t="s">
        <v>2385</v>
      </c>
      <c r="AE1401" s="0" t="s">
        <v>9530</v>
      </c>
      <c r="AF1401" s="0" t="s">
        <v>301</v>
      </c>
      <c r="AP1401" s="0" t="s">
        <v>305</v>
      </c>
      <c r="BA1401" s="0">
        <v>565</v>
      </c>
      <c r="BB1401" s="0" t="s">
        <v>232</v>
      </c>
      <c r="BC1401" s="0">
        <v>2</v>
      </c>
      <c r="BD1401" s="0">
        <v>14</v>
      </c>
      <c r="BE1401" s="0">
        <v>134783</v>
      </c>
      <c r="BF1401" s="0">
        <v>2</v>
      </c>
      <c r="BG1401" s="0" t="s">
        <v>9670</v>
      </c>
      <c r="BI1401" s="0">
        <v>4647</v>
      </c>
      <c r="BK1401" s="0" t="s">
        <v>9671</v>
      </c>
    </row>
    <row r="1402">
      <c r="A1402" s="0">
        <v>6164</v>
      </c>
      <c r="B1402" s="0" t="s">
        <v>9666</v>
      </c>
      <c r="C1402" s="0" t="s">
        <v>945</v>
      </c>
      <c r="D1402" s="0" t="s">
        <v>9667</v>
      </c>
      <c r="E1402" s="0" t="s">
        <v>9668</v>
      </c>
      <c r="F1402" s="0">
        <v>1</v>
      </c>
      <c r="G1402" s="0" t="s">
        <v>543</v>
      </c>
      <c r="H1402" s="0" t="s">
        <v>9627</v>
      </c>
      <c r="I1402" s="0" t="s">
        <v>524</v>
      </c>
      <c r="P1402" s="0" t="s">
        <v>323</v>
      </c>
      <c r="Q1402" s="0" t="s">
        <v>343</v>
      </c>
      <c r="R1402" s="0" t="s">
        <v>9672</v>
      </c>
      <c r="T1402" s="0" t="s">
        <v>9673</v>
      </c>
      <c r="W1402" s="0" t="s">
        <v>9529</v>
      </c>
      <c r="X1402" s="0" t="s">
        <v>529</v>
      </c>
      <c r="Y1402" s="0" t="s">
        <v>36</v>
      </c>
      <c r="Z1402" s="0" t="s">
        <v>4002</v>
      </c>
      <c r="AA1402" s="0" t="s">
        <v>81</v>
      </c>
      <c r="AB1402" s="0" t="s">
        <v>300</v>
      </c>
      <c r="AC1402" s="0" t="s">
        <v>532</v>
      </c>
      <c r="AD1402" s="0" t="s">
        <v>2385</v>
      </c>
      <c r="AE1402" s="0" t="s">
        <v>9530</v>
      </c>
      <c r="AF1402" s="0" t="s">
        <v>301</v>
      </c>
      <c r="AP1402" s="0" t="s">
        <v>305</v>
      </c>
      <c r="BA1402" s="0">
        <v>565</v>
      </c>
      <c r="BB1402" s="0" t="s">
        <v>232</v>
      </c>
      <c r="BC1402" s="0">
        <v>2</v>
      </c>
      <c r="BD1402" s="0">
        <v>14</v>
      </c>
      <c r="BE1402" s="0">
        <v>134783</v>
      </c>
      <c r="BF1402" s="0">
        <v>2</v>
      </c>
      <c r="BG1402" s="0" t="s">
        <v>9674</v>
      </c>
      <c r="BI1402" s="0">
        <v>3119</v>
      </c>
      <c r="BK1402" s="0" t="s">
        <v>9675</v>
      </c>
    </row>
    <row r="1403">
      <c r="A1403" s="0">
        <v>6224</v>
      </c>
      <c r="B1403" s="0" t="s">
        <v>9676</v>
      </c>
      <c r="C1403" s="0" t="s">
        <v>945</v>
      </c>
      <c r="D1403" s="0" t="s">
        <v>9365</v>
      </c>
      <c r="E1403" s="0" t="s">
        <v>9677</v>
      </c>
      <c r="F1403" s="0">
        <v>1</v>
      </c>
      <c r="G1403" s="0" t="s">
        <v>319</v>
      </c>
      <c r="H1403" s="0" t="s">
        <v>9678</v>
      </c>
      <c r="I1403" s="0" t="s">
        <v>7123</v>
      </c>
      <c r="J1403" s="0" t="s">
        <v>594</v>
      </c>
      <c r="K1403" s="0" t="s">
        <v>1190</v>
      </c>
      <c r="L1403" s="0" t="s">
        <v>4749</v>
      </c>
      <c r="P1403" s="0" t="s">
        <v>323</v>
      </c>
      <c r="Q1403" s="0" t="s">
        <v>343</v>
      </c>
      <c r="R1403" s="0" t="s">
        <v>568</v>
      </c>
      <c r="T1403" s="0" t="s">
        <v>9679</v>
      </c>
      <c r="U1403" s="0" t="s">
        <v>9680</v>
      </c>
      <c r="W1403" s="0" t="s">
        <v>9529</v>
      </c>
      <c r="X1403" s="0" t="s">
        <v>347</v>
      </c>
      <c r="Y1403" s="0" t="s">
        <v>36</v>
      </c>
      <c r="Z1403" s="0" t="s">
        <v>4002</v>
      </c>
      <c r="AA1403" s="0" t="s">
        <v>81</v>
      </c>
      <c r="AB1403" s="0" t="s">
        <v>300</v>
      </c>
      <c r="AC1403" s="0" t="s">
        <v>532</v>
      </c>
      <c r="AD1403" s="0" t="s">
        <v>2385</v>
      </c>
      <c r="AE1403" s="0" t="s">
        <v>9530</v>
      </c>
      <c r="AF1403" s="0" t="s">
        <v>301</v>
      </c>
      <c r="AM1403" s="0" t="s">
        <v>1472</v>
      </c>
      <c r="AN1403" s="0" t="s">
        <v>310</v>
      </c>
      <c r="AO1403" s="0" t="s">
        <v>491</v>
      </c>
      <c r="AP1403" s="0" t="s">
        <v>305</v>
      </c>
      <c r="AQ1403" s="0" t="s">
        <v>6380</v>
      </c>
      <c r="AR1403" s="0" t="s">
        <v>1415</v>
      </c>
      <c r="AS1403" s="0">
        <v>117</v>
      </c>
      <c r="AT1403" s="0">
        <v>249</v>
      </c>
      <c r="AU1403" s="0">
        <v>312</v>
      </c>
      <c r="AV1403" s="0" t="s">
        <v>332</v>
      </c>
      <c r="AX1403" s="0" t="s">
        <v>372</v>
      </c>
      <c r="AY1403" s="0" t="s">
        <v>1472</v>
      </c>
      <c r="AZ1403" s="0" t="s">
        <v>303</v>
      </c>
      <c r="BA1403" s="0">
        <v>565</v>
      </c>
      <c r="BB1403" s="0" t="s">
        <v>232</v>
      </c>
      <c r="BC1403" s="0">
        <v>2</v>
      </c>
      <c r="BD1403" s="0">
        <v>14</v>
      </c>
      <c r="BE1403" s="0">
        <v>134783</v>
      </c>
      <c r="BF1403" s="0">
        <v>4</v>
      </c>
      <c r="BG1403" s="0" t="s">
        <v>9681</v>
      </c>
      <c r="BI1403" s="0">
        <v>3639</v>
      </c>
      <c r="BK1403" s="0" t="s">
        <v>9682</v>
      </c>
    </row>
    <row r="1404">
      <c r="A1404" s="0">
        <v>6355</v>
      </c>
      <c r="C1404" s="0" t="s">
        <v>945</v>
      </c>
      <c r="D1404" s="0" t="s">
        <v>9529</v>
      </c>
      <c r="E1404" s="0" t="s">
        <v>9683</v>
      </c>
      <c r="F1404" s="0">
        <v>1</v>
      </c>
      <c r="G1404" s="0" t="s">
        <v>319</v>
      </c>
      <c r="H1404" s="0" t="s">
        <v>9684</v>
      </c>
      <c r="I1404" s="0" t="s">
        <v>9685</v>
      </c>
      <c r="J1404" s="0" t="s">
        <v>594</v>
      </c>
      <c r="K1404" s="0" t="s">
        <v>1190</v>
      </c>
      <c r="L1404" s="0" t="s">
        <v>7417</v>
      </c>
      <c r="P1404" s="0" t="s">
        <v>323</v>
      </c>
      <c r="Q1404" s="0" t="s">
        <v>343</v>
      </c>
      <c r="R1404" s="0" t="s">
        <v>3998</v>
      </c>
      <c r="T1404" s="0" t="s">
        <v>9686</v>
      </c>
      <c r="U1404" s="0" t="s">
        <v>9687</v>
      </c>
      <c r="W1404" s="0" t="s">
        <v>9529</v>
      </c>
      <c r="X1404" s="0" t="s">
        <v>347</v>
      </c>
      <c r="Y1404" s="0" t="s">
        <v>36</v>
      </c>
      <c r="Z1404" s="0" t="s">
        <v>4002</v>
      </c>
      <c r="AA1404" s="0" t="s">
        <v>81</v>
      </c>
      <c r="AB1404" s="0" t="s">
        <v>300</v>
      </c>
      <c r="AC1404" s="0" t="s">
        <v>532</v>
      </c>
      <c r="AD1404" s="0" t="s">
        <v>2385</v>
      </c>
      <c r="AE1404" s="0" t="s">
        <v>9530</v>
      </c>
      <c r="AF1404" s="0" t="s">
        <v>301</v>
      </c>
      <c r="AP1404" s="0" t="s">
        <v>305</v>
      </c>
      <c r="BA1404" s="0">
        <v>565</v>
      </c>
      <c r="BB1404" s="0" t="s">
        <v>232</v>
      </c>
      <c r="BC1404" s="0">
        <v>2</v>
      </c>
      <c r="BD1404" s="0">
        <v>14</v>
      </c>
      <c r="BE1404" s="0">
        <v>134783</v>
      </c>
      <c r="BF1404" s="0">
        <v>4</v>
      </c>
      <c r="BG1404" s="0" t="s">
        <v>9688</v>
      </c>
      <c r="BI1404" s="0">
        <v>4518</v>
      </c>
      <c r="BK1404" s="0" t="s">
        <v>9689</v>
      </c>
    </row>
    <row r="1405">
      <c r="A1405" s="0">
        <v>6162</v>
      </c>
      <c r="C1405" s="0" t="s">
        <v>945</v>
      </c>
      <c r="D1405" s="0" t="s">
        <v>9365</v>
      </c>
      <c r="E1405" s="0" t="s">
        <v>9690</v>
      </c>
      <c r="F1405" s="0">
        <v>1</v>
      </c>
      <c r="G1405" s="0" t="s">
        <v>319</v>
      </c>
      <c r="H1405" s="0" t="s">
        <v>9678</v>
      </c>
      <c r="I1405" s="0" t="s">
        <v>9691</v>
      </c>
      <c r="J1405" s="0" t="s">
        <v>594</v>
      </c>
      <c r="K1405" s="0" t="s">
        <v>1190</v>
      </c>
      <c r="L1405" s="0" t="s">
        <v>4749</v>
      </c>
      <c r="P1405" s="0" t="s">
        <v>323</v>
      </c>
      <c r="Q1405" s="0" t="s">
        <v>343</v>
      </c>
      <c r="R1405" s="0" t="s">
        <v>3998</v>
      </c>
      <c r="T1405" s="0" t="s">
        <v>9692</v>
      </c>
      <c r="W1405" s="0" t="s">
        <v>9529</v>
      </c>
      <c r="X1405" s="0" t="s">
        <v>529</v>
      </c>
      <c r="Y1405" s="0" t="s">
        <v>36</v>
      </c>
      <c r="Z1405" s="0" t="s">
        <v>4002</v>
      </c>
      <c r="AA1405" s="0" t="s">
        <v>81</v>
      </c>
      <c r="AB1405" s="0" t="s">
        <v>300</v>
      </c>
      <c r="AC1405" s="0" t="s">
        <v>532</v>
      </c>
      <c r="AD1405" s="0" t="s">
        <v>2385</v>
      </c>
      <c r="AE1405" s="0" t="s">
        <v>9530</v>
      </c>
      <c r="AF1405" s="0" t="s">
        <v>301</v>
      </c>
      <c r="AP1405" s="0" t="s">
        <v>305</v>
      </c>
      <c r="BA1405" s="0">
        <v>565</v>
      </c>
      <c r="BB1405" s="0" t="s">
        <v>232</v>
      </c>
      <c r="BC1405" s="0">
        <v>2</v>
      </c>
      <c r="BD1405" s="0">
        <v>14</v>
      </c>
      <c r="BE1405" s="0">
        <v>134783</v>
      </c>
      <c r="BF1405" s="0">
        <v>2</v>
      </c>
      <c r="BG1405" s="0" t="s">
        <v>9693</v>
      </c>
      <c r="BI1405" s="0">
        <v>3266</v>
      </c>
      <c r="BK1405" s="0" t="s">
        <v>9694</v>
      </c>
    </row>
    <row r="1406">
      <c r="A1406" s="0">
        <v>6268</v>
      </c>
      <c r="B1406" s="0" t="s">
        <v>9695</v>
      </c>
      <c r="C1406" s="0" t="s">
        <v>315</v>
      </c>
      <c r="D1406" s="0" t="s">
        <v>9696</v>
      </c>
      <c r="E1406" s="0" t="s">
        <v>9697</v>
      </c>
      <c r="F1406" s="0">
        <v>2</v>
      </c>
      <c r="G1406" s="0" t="s">
        <v>319</v>
      </c>
      <c r="H1406" s="0" t="s">
        <v>483</v>
      </c>
      <c r="I1406" s="0" t="s">
        <v>524</v>
      </c>
      <c r="P1406" s="0" t="s">
        <v>343</v>
      </c>
      <c r="Q1406" s="0" t="s">
        <v>343</v>
      </c>
      <c r="S1406" s="0" t="s">
        <v>9698</v>
      </c>
      <c r="T1406" s="0" t="s">
        <v>9699</v>
      </c>
      <c r="U1406" s="0" t="s">
        <v>9700</v>
      </c>
      <c r="X1406" s="0" t="s">
        <v>347</v>
      </c>
      <c r="Y1406" s="0" t="s">
        <v>224</v>
      </c>
      <c r="Z1406" s="0" t="s">
        <v>9701</v>
      </c>
      <c r="AA1406" s="0" t="s">
        <v>223</v>
      </c>
      <c r="AB1406" s="0" t="s">
        <v>531</v>
      </c>
      <c r="AC1406" s="0" t="s">
        <v>571</v>
      </c>
      <c r="AF1406" s="0" t="s">
        <v>301</v>
      </c>
      <c r="AP1406" s="0" t="s">
        <v>305</v>
      </c>
      <c r="BA1406" s="0">
        <v>566</v>
      </c>
      <c r="BB1406" s="0" t="s">
        <v>232</v>
      </c>
      <c r="BC1406" s="0">
        <v>2</v>
      </c>
      <c r="BD1406" s="0">
        <v>374043</v>
      </c>
      <c r="BE1406" s="0">
        <v>232</v>
      </c>
      <c r="BF1406" s="0">
        <v>4</v>
      </c>
      <c r="BG1406" s="0" t="s">
        <v>9702</v>
      </c>
      <c r="BI1406" s="0">
        <v>1163</v>
      </c>
      <c r="BK1406" s="0" t="s">
        <v>9703</v>
      </c>
    </row>
    <row r="1407">
      <c r="A1407" s="0">
        <v>6186</v>
      </c>
      <c r="B1407" s="0" t="s">
        <v>9704</v>
      </c>
      <c r="C1407" s="0" t="s">
        <v>290</v>
      </c>
      <c r="D1407" s="0" t="s">
        <v>9696</v>
      </c>
      <c r="E1407" s="0" t="s">
        <v>9705</v>
      </c>
      <c r="F1407" s="0">
        <v>1</v>
      </c>
      <c r="G1407" s="0" t="s">
        <v>293</v>
      </c>
      <c r="H1407" s="0" t="s">
        <v>294</v>
      </c>
      <c r="I1407" s="0" t="s">
        <v>9706</v>
      </c>
      <c r="P1407" s="0" t="s">
        <v>343</v>
      </c>
      <c r="Q1407" s="0" t="s">
        <v>343</v>
      </c>
      <c r="T1407" s="0" t="s">
        <v>9707</v>
      </c>
      <c r="U1407" s="0" t="s">
        <v>9708</v>
      </c>
      <c r="X1407" s="0" t="s">
        <v>347</v>
      </c>
      <c r="Y1407" s="0" t="s">
        <v>224</v>
      </c>
      <c r="Z1407" s="0" t="s">
        <v>9701</v>
      </c>
      <c r="AA1407" s="0" t="s">
        <v>223</v>
      </c>
      <c r="AB1407" s="0" t="s">
        <v>531</v>
      </c>
      <c r="AC1407" s="0" t="s">
        <v>571</v>
      </c>
      <c r="AF1407" s="0" t="s">
        <v>301</v>
      </c>
      <c r="AP1407" s="0" t="s">
        <v>305</v>
      </c>
      <c r="BA1407" s="0">
        <v>566</v>
      </c>
      <c r="BB1407" s="0" t="s">
        <v>232</v>
      </c>
      <c r="BC1407" s="0">
        <v>2</v>
      </c>
      <c r="BD1407" s="0">
        <v>374053</v>
      </c>
      <c r="BE1407" s="0">
        <v>232</v>
      </c>
      <c r="BF1407" s="0">
        <v>4</v>
      </c>
      <c r="BG1407" s="0" t="s">
        <v>9709</v>
      </c>
      <c r="BI1407" s="0">
        <v>445</v>
      </c>
      <c r="BK1407" s="0" t="s">
        <v>9710</v>
      </c>
    </row>
    <row r="1408">
      <c r="A1408" s="0">
        <v>6187</v>
      </c>
      <c r="B1408" s="0" t="s">
        <v>9711</v>
      </c>
      <c r="C1408" s="0" t="s">
        <v>656</v>
      </c>
      <c r="D1408" s="0" t="s">
        <v>9696</v>
      </c>
      <c r="E1408" s="0" t="s">
        <v>9712</v>
      </c>
      <c r="F1408" s="0">
        <v>1</v>
      </c>
      <c r="G1408" s="0" t="s">
        <v>293</v>
      </c>
      <c r="H1408" s="0" t="s">
        <v>294</v>
      </c>
      <c r="I1408" s="0" t="s">
        <v>9706</v>
      </c>
      <c r="J1408" s="0" t="s">
        <v>525</v>
      </c>
      <c r="K1408" s="0" t="s">
        <v>508</v>
      </c>
      <c r="L1408" s="0" t="s">
        <v>9713</v>
      </c>
      <c r="P1408" s="0" t="s">
        <v>343</v>
      </c>
      <c r="Q1408" s="0" t="s">
        <v>343</v>
      </c>
      <c r="T1408" s="0" t="s">
        <v>9714</v>
      </c>
      <c r="U1408" s="0" t="s">
        <v>9715</v>
      </c>
      <c r="X1408" s="0" t="s">
        <v>347</v>
      </c>
      <c r="Y1408" s="0" t="s">
        <v>224</v>
      </c>
      <c r="Z1408" s="0" t="s">
        <v>9701</v>
      </c>
      <c r="AA1408" s="0" t="s">
        <v>223</v>
      </c>
      <c r="AB1408" s="0" t="s">
        <v>531</v>
      </c>
      <c r="AC1408" s="0" t="s">
        <v>571</v>
      </c>
      <c r="AF1408" s="0" t="s">
        <v>301</v>
      </c>
      <c r="AP1408" s="0" t="s">
        <v>305</v>
      </c>
      <c r="BA1408" s="0">
        <v>566</v>
      </c>
      <c r="BB1408" s="0" t="s">
        <v>232</v>
      </c>
      <c r="BC1408" s="0">
        <v>2</v>
      </c>
      <c r="BD1408" s="0">
        <v>10</v>
      </c>
      <c r="BE1408" s="0">
        <v>232</v>
      </c>
      <c r="BF1408" s="0">
        <v>4</v>
      </c>
      <c r="BG1408" s="0" t="s">
        <v>9716</v>
      </c>
      <c r="BI1408" s="0">
        <v>835</v>
      </c>
      <c r="BK1408" s="0" t="s">
        <v>9717</v>
      </c>
    </row>
    <row r="1409">
      <c r="A1409" s="0">
        <v>6188</v>
      </c>
      <c r="B1409" s="0" t="s">
        <v>9718</v>
      </c>
      <c r="C1409" s="0" t="s">
        <v>339</v>
      </c>
      <c r="D1409" s="0" t="s">
        <v>9125</v>
      </c>
      <c r="E1409" s="0" t="s">
        <v>9719</v>
      </c>
      <c r="F1409" s="0">
        <v>3</v>
      </c>
      <c r="G1409" s="0" t="s">
        <v>525</v>
      </c>
      <c r="H1409" s="0" t="s">
        <v>508</v>
      </c>
      <c r="I1409" s="0" t="s">
        <v>1683</v>
      </c>
      <c r="J1409" s="0" t="s">
        <v>319</v>
      </c>
      <c r="K1409" s="0" t="s">
        <v>9720</v>
      </c>
      <c r="L1409" s="0" t="s">
        <v>948</v>
      </c>
      <c r="P1409" s="0" t="s">
        <v>323</v>
      </c>
      <c r="Q1409" s="0" t="s">
        <v>9721</v>
      </c>
      <c r="R1409" s="0" t="s">
        <v>661</v>
      </c>
      <c r="U1409" s="0" t="s">
        <v>9722</v>
      </c>
      <c r="X1409" s="0" t="s">
        <v>347</v>
      </c>
      <c r="Y1409" s="0" t="s">
        <v>50</v>
      </c>
      <c r="Z1409" s="0" t="s">
        <v>9723</v>
      </c>
      <c r="AA1409" s="0" t="s">
        <v>96</v>
      </c>
      <c r="AB1409" s="0" t="s">
        <v>531</v>
      </c>
      <c r="AC1409" s="0" t="s">
        <v>532</v>
      </c>
      <c r="AE1409" s="0" t="s">
        <v>9724</v>
      </c>
      <c r="AF1409" s="0" t="s">
        <v>301</v>
      </c>
      <c r="AP1409" s="0" t="s">
        <v>305</v>
      </c>
      <c r="BA1409" s="0">
        <v>567</v>
      </c>
      <c r="BB1409" s="0" t="s">
        <v>232</v>
      </c>
      <c r="BC1409" s="0">
        <v>2</v>
      </c>
      <c r="BD1409" s="0">
        <v>8</v>
      </c>
      <c r="BE1409" s="0">
        <v>519208</v>
      </c>
      <c r="BF1409" s="0">
        <v>4</v>
      </c>
      <c r="BG1409" s="0" t="s">
        <v>9725</v>
      </c>
      <c r="BI1409" s="0">
        <v>439</v>
      </c>
      <c r="BK1409" s="0" t="s">
        <v>9726</v>
      </c>
    </row>
    <row r="1410">
      <c r="A1410" s="0">
        <v>6192</v>
      </c>
      <c r="B1410" s="0" t="s">
        <v>9727</v>
      </c>
      <c r="C1410" s="0" t="s">
        <v>1139</v>
      </c>
      <c r="D1410" s="0" t="s">
        <v>9728</v>
      </c>
      <c r="E1410" s="0" t="s">
        <v>9729</v>
      </c>
      <c r="F1410" s="0">
        <v>1</v>
      </c>
      <c r="G1410" s="0" t="s">
        <v>293</v>
      </c>
      <c r="H1410" s="0" t="s">
        <v>294</v>
      </c>
      <c r="I1410" s="0" t="s">
        <v>8647</v>
      </c>
      <c r="P1410" s="0" t="s">
        <v>343</v>
      </c>
      <c r="Q1410" s="0" t="s">
        <v>343</v>
      </c>
      <c r="U1410" s="0" t="s">
        <v>9730</v>
      </c>
      <c r="W1410" s="0" t="s">
        <v>9731</v>
      </c>
      <c r="X1410" s="0" t="s">
        <v>347</v>
      </c>
      <c r="Y1410" s="0" t="s">
        <v>91</v>
      </c>
      <c r="Z1410" s="0" t="s">
        <v>2718</v>
      </c>
      <c r="AA1410" s="0" t="s">
        <v>90</v>
      </c>
      <c r="AB1410" s="0" t="s">
        <v>531</v>
      </c>
      <c r="AC1410" s="0" t="s">
        <v>532</v>
      </c>
      <c r="AD1410" s="0" t="s">
        <v>9732</v>
      </c>
      <c r="AE1410" s="0" t="s">
        <v>9733</v>
      </c>
      <c r="AF1410" s="0" t="s">
        <v>301</v>
      </c>
      <c r="AM1410" s="0" t="s">
        <v>1482</v>
      </c>
      <c r="AN1410" s="0" t="s">
        <v>746</v>
      </c>
      <c r="AO1410" s="0" t="s">
        <v>2213</v>
      </c>
      <c r="AP1410" s="0" t="s">
        <v>305</v>
      </c>
      <c r="AQ1410" s="0" t="s">
        <v>9734</v>
      </c>
      <c r="AR1410" s="0" t="s">
        <v>9735</v>
      </c>
      <c r="AS1410" s="0">
        <v>389</v>
      </c>
      <c r="AT1410" s="0">
        <v>782</v>
      </c>
      <c r="AU1410" s="0">
        <v>909</v>
      </c>
      <c r="AV1410" s="0" t="s">
        <v>332</v>
      </c>
      <c r="AX1410" s="0" t="s">
        <v>9736</v>
      </c>
      <c r="AY1410" s="0" t="s">
        <v>2740</v>
      </c>
      <c r="AZ1410" s="0" t="s">
        <v>489</v>
      </c>
      <c r="BA1410" s="0">
        <v>568</v>
      </c>
      <c r="BB1410" s="0" t="s">
        <v>232</v>
      </c>
      <c r="BC1410" s="0">
        <v>2</v>
      </c>
      <c r="BD1410" s="0">
        <v>38030</v>
      </c>
      <c r="BE1410" s="0">
        <v>332</v>
      </c>
      <c r="BF1410" s="0">
        <v>4</v>
      </c>
      <c r="BG1410" s="0" t="s">
        <v>9737</v>
      </c>
      <c r="BI1410" s="0">
        <v>1162</v>
      </c>
      <c r="BK1410" s="0" t="s">
        <v>9738</v>
      </c>
    </row>
    <row r="1411">
      <c r="A1411" s="0">
        <v>6194</v>
      </c>
      <c r="B1411" s="0" t="s">
        <v>9739</v>
      </c>
      <c r="C1411" s="0" t="s">
        <v>1139</v>
      </c>
      <c r="D1411" s="0" t="s">
        <v>9728</v>
      </c>
      <c r="E1411" s="0" t="s">
        <v>9740</v>
      </c>
      <c r="F1411" s="0">
        <v>1</v>
      </c>
      <c r="G1411" s="0" t="s">
        <v>293</v>
      </c>
      <c r="H1411" s="0" t="s">
        <v>294</v>
      </c>
      <c r="I1411" s="0" t="s">
        <v>8647</v>
      </c>
      <c r="U1411" s="0" t="s">
        <v>9741</v>
      </c>
      <c r="W1411" s="0" t="s">
        <v>9731</v>
      </c>
      <c r="X1411" s="0" t="s">
        <v>347</v>
      </c>
      <c r="Y1411" s="0" t="s">
        <v>91</v>
      </c>
      <c r="Z1411" s="0" t="s">
        <v>2718</v>
      </c>
      <c r="AA1411" s="0" t="s">
        <v>90</v>
      </c>
      <c r="AB1411" s="0" t="s">
        <v>531</v>
      </c>
      <c r="AC1411" s="0" t="s">
        <v>532</v>
      </c>
      <c r="AD1411" s="0" t="s">
        <v>9732</v>
      </c>
      <c r="AE1411" s="0" t="s">
        <v>9733</v>
      </c>
      <c r="AF1411" s="0" t="s">
        <v>301</v>
      </c>
      <c r="AM1411" s="0" t="s">
        <v>599</v>
      </c>
      <c r="AN1411" s="0" t="s">
        <v>842</v>
      </c>
      <c r="AO1411" s="0" t="s">
        <v>391</v>
      </c>
      <c r="AP1411" s="0" t="s">
        <v>305</v>
      </c>
      <c r="AQ1411" s="0" t="s">
        <v>763</v>
      </c>
      <c r="AR1411" s="0" t="s">
        <v>9742</v>
      </c>
      <c r="AS1411" s="0">
        <v>101</v>
      </c>
      <c r="AT1411" s="0">
        <v>212</v>
      </c>
      <c r="AU1411" s="0">
        <v>240</v>
      </c>
      <c r="AV1411" s="0" t="s">
        <v>332</v>
      </c>
      <c r="AX1411" s="0" t="s">
        <v>9743</v>
      </c>
      <c r="AY1411" s="0" t="s">
        <v>9744</v>
      </c>
      <c r="AZ1411" s="0" t="s">
        <v>475</v>
      </c>
      <c r="BA1411" s="0">
        <v>568</v>
      </c>
      <c r="BB1411" s="0" t="s">
        <v>232</v>
      </c>
      <c r="BC1411" s="0">
        <v>2</v>
      </c>
      <c r="BD1411" s="0">
        <v>38030</v>
      </c>
      <c r="BE1411" s="0">
        <v>332</v>
      </c>
      <c r="BF1411" s="0">
        <v>4</v>
      </c>
      <c r="BG1411" s="0" t="s">
        <v>9745</v>
      </c>
      <c r="BI1411" s="0">
        <v>1731</v>
      </c>
      <c r="BK1411" s="0" t="s">
        <v>9746</v>
      </c>
    </row>
    <row r="1412">
      <c r="A1412" s="0">
        <v>6193</v>
      </c>
      <c r="B1412" s="0" t="s">
        <v>9747</v>
      </c>
      <c r="C1412" s="0" t="s">
        <v>1139</v>
      </c>
      <c r="D1412" s="0" t="s">
        <v>9728</v>
      </c>
      <c r="E1412" s="0" t="s">
        <v>9748</v>
      </c>
      <c r="F1412" s="0">
        <v>1</v>
      </c>
      <c r="G1412" s="0" t="s">
        <v>293</v>
      </c>
      <c r="H1412" s="0" t="s">
        <v>294</v>
      </c>
      <c r="I1412" s="0" t="s">
        <v>8647</v>
      </c>
      <c r="U1412" s="0" t="s">
        <v>9749</v>
      </c>
      <c r="W1412" s="0" t="s">
        <v>9731</v>
      </c>
      <c r="X1412" s="0" t="s">
        <v>347</v>
      </c>
      <c r="Y1412" s="0" t="s">
        <v>91</v>
      </c>
      <c r="Z1412" s="0" t="s">
        <v>2718</v>
      </c>
      <c r="AA1412" s="0" t="s">
        <v>90</v>
      </c>
      <c r="AB1412" s="0" t="s">
        <v>531</v>
      </c>
      <c r="AC1412" s="0" t="s">
        <v>532</v>
      </c>
      <c r="AD1412" s="0" t="s">
        <v>9732</v>
      </c>
      <c r="AE1412" s="0" t="s">
        <v>9733</v>
      </c>
      <c r="AF1412" s="0" t="s">
        <v>301</v>
      </c>
      <c r="AM1412" s="0" t="s">
        <v>599</v>
      </c>
      <c r="AN1412" s="0" t="s">
        <v>626</v>
      </c>
      <c r="AO1412" s="0" t="s">
        <v>391</v>
      </c>
      <c r="AP1412" s="0" t="s">
        <v>305</v>
      </c>
      <c r="AQ1412" s="0" t="s">
        <v>808</v>
      </c>
      <c r="AR1412" s="0" t="s">
        <v>2982</v>
      </c>
      <c r="AS1412" s="0">
        <v>76</v>
      </c>
      <c r="AT1412" s="0">
        <v>152</v>
      </c>
      <c r="AU1412" s="0">
        <v>208</v>
      </c>
      <c r="AV1412" s="0" t="s">
        <v>332</v>
      </c>
      <c r="AX1412" s="0" t="s">
        <v>9750</v>
      </c>
      <c r="AY1412" s="0" t="s">
        <v>9744</v>
      </c>
      <c r="AZ1412" s="0" t="s">
        <v>475</v>
      </c>
      <c r="BA1412" s="0">
        <v>568</v>
      </c>
      <c r="BB1412" s="0" t="s">
        <v>232</v>
      </c>
      <c r="BC1412" s="0">
        <v>2</v>
      </c>
      <c r="BD1412" s="0">
        <v>38030</v>
      </c>
      <c r="BE1412" s="0">
        <v>332</v>
      </c>
      <c r="BF1412" s="0">
        <v>4</v>
      </c>
      <c r="BG1412" s="0" t="s">
        <v>9751</v>
      </c>
      <c r="BI1412" s="0">
        <v>1463</v>
      </c>
      <c r="BK1412" s="0" t="s">
        <v>9752</v>
      </c>
    </row>
    <row r="1413">
      <c r="A1413" s="0">
        <v>6191</v>
      </c>
      <c r="B1413" s="0" t="s">
        <v>9753</v>
      </c>
      <c r="C1413" s="0" t="s">
        <v>1139</v>
      </c>
      <c r="D1413" s="0" t="s">
        <v>9728</v>
      </c>
      <c r="E1413" s="0" t="s">
        <v>9754</v>
      </c>
      <c r="F1413" s="0">
        <v>6</v>
      </c>
      <c r="G1413" s="0" t="s">
        <v>293</v>
      </c>
      <c r="H1413" s="0" t="s">
        <v>294</v>
      </c>
      <c r="I1413" s="0" t="s">
        <v>295</v>
      </c>
      <c r="P1413" s="0" t="s">
        <v>343</v>
      </c>
      <c r="Q1413" s="0" t="s">
        <v>343</v>
      </c>
      <c r="U1413" s="0" t="s">
        <v>9755</v>
      </c>
      <c r="W1413" s="0" t="s">
        <v>9731</v>
      </c>
      <c r="X1413" s="0" t="s">
        <v>347</v>
      </c>
      <c r="Y1413" s="0" t="s">
        <v>91</v>
      </c>
      <c r="Z1413" s="0" t="s">
        <v>2718</v>
      </c>
      <c r="AA1413" s="0" t="s">
        <v>90</v>
      </c>
      <c r="AB1413" s="0" t="s">
        <v>531</v>
      </c>
      <c r="AC1413" s="0" t="s">
        <v>532</v>
      </c>
      <c r="AD1413" s="0" t="s">
        <v>9732</v>
      </c>
      <c r="AE1413" s="0" t="s">
        <v>9733</v>
      </c>
      <c r="AF1413" s="0" t="s">
        <v>301</v>
      </c>
      <c r="AM1413" s="0" t="s">
        <v>2726</v>
      </c>
      <c r="AN1413" s="0" t="s">
        <v>517</v>
      </c>
      <c r="AO1413" s="0" t="s">
        <v>514</v>
      </c>
      <c r="AP1413" s="0" t="s">
        <v>305</v>
      </c>
      <c r="AQ1413" s="0" t="s">
        <v>9756</v>
      </c>
      <c r="AR1413" s="0" t="s">
        <v>1012</v>
      </c>
      <c r="AS1413" s="0">
        <v>324</v>
      </c>
      <c r="AT1413" s="0">
        <v>716</v>
      </c>
      <c r="AU1413" s="0">
        <v>773</v>
      </c>
      <c r="AV1413" s="0" t="s">
        <v>332</v>
      </c>
      <c r="AX1413" s="0" t="s">
        <v>747</v>
      </c>
      <c r="AY1413" s="0" t="s">
        <v>366</v>
      </c>
      <c r="AZ1413" s="0" t="s">
        <v>307</v>
      </c>
      <c r="BA1413" s="0">
        <v>568</v>
      </c>
      <c r="BB1413" s="0" t="s">
        <v>232</v>
      </c>
      <c r="BC1413" s="0">
        <v>2</v>
      </c>
      <c r="BD1413" s="0">
        <v>38030</v>
      </c>
      <c r="BE1413" s="0">
        <v>332</v>
      </c>
      <c r="BF1413" s="0">
        <v>4</v>
      </c>
      <c r="BG1413" s="0" t="s">
        <v>9757</v>
      </c>
      <c r="BI1413" s="0">
        <v>834</v>
      </c>
      <c r="BK1413" s="0" t="s">
        <v>9758</v>
      </c>
    </row>
    <row r="1414">
      <c r="A1414" s="0">
        <v>6195</v>
      </c>
      <c r="B1414" s="0" t="s">
        <v>9759</v>
      </c>
      <c r="C1414" s="0" t="s">
        <v>1139</v>
      </c>
      <c r="D1414" s="0" t="s">
        <v>9728</v>
      </c>
      <c r="E1414" s="0" t="s">
        <v>9760</v>
      </c>
      <c r="F1414" s="0">
        <v>3</v>
      </c>
      <c r="G1414" s="0" t="s">
        <v>293</v>
      </c>
      <c r="H1414" s="0" t="s">
        <v>294</v>
      </c>
      <c r="I1414" s="0" t="s">
        <v>295</v>
      </c>
      <c r="P1414" s="0" t="s">
        <v>323</v>
      </c>
      <c r="Q1414" s="0" t="s">
        <v>343</v>
      </c>
      <c r="R1414" s="0" t="s">
        <v>1783</v>
      </c>
      <c r="T1414" s="0" t="s">
        <v>9761</v>
      </c>
      <c r="U1414" s="0" t="s">
        <v>9762</v>
      </c>
      <c r="W1414" s="0" t="s">
        <v>9731</v>
      </c>
      <c r="X1414" s="0" t="s">
        <v>347</v>
      </c>
      <c r="Y1414" s="0" t="s">
        <v>91</v>
      </c>
      <c r="Z1414" s="0" t="s">
        <v>2718</v>
      </c>
      <c r="AA1414" s="0" t="s">
        <v>90</v>
      </c>
      <c r="AB1414" s="0" t="s">
        <v>531</v>
      </c>
      <c r="AC1414" s="0" t="s">
        <v>532</v>
      </c>
      <c r="AD1414" s="0" t="s">
        <v>9732</v>
      </c>
      <c r="AE1414" s="0" t="s">
        <v>9733</v>
      </c>
      <c r="AF1414" s="0" t="s">
        <v>301</v>
      </c>
      <c r="AM1414" s="0" t="s">
        <v>2726</v>
      </c>
      <c r="AN1414" s="0" t="s">
        <v>517</v>
      </c>
      <c r="AO1414" s="0" t="s">
        <v>514</v>
      </c>
      <c r="AP1414" s="0" t="s">
        <v>305</v>
      </c>
      <c r="AQ1414" s="0" t="s">
        <v>9763</v>
      </c>
      <c r="AR1414" s="0" t="s">
        <v>1012</v>
      </c>
      <c r="AS1414" s="0">
        <v>344</v>
      </c>
      <c r="AT1414" s="0">
        <v>716</v>
      </c>
      <c r="AU1414" s="0">
        <v>773</v>
      </c>
      <c r="AV1414" s="0" t="s">
        <v>332</v>
      </c>
      <c r="AX1414" s="0" t="s">
        <v>747</v>
      </c>
      <c r="AY1414" s="0" t="s">
        <v>366</v>
      </c>
      <c r="AZ1414" s="0" t="s">
        <v>307</v>
      </c>
      <c r="BA1414" s="0">
        <v>568</v>
      </c>
      <c r="BB1414" s="0" t="s">
        <v>232</v>
      </c>
      <c r="BC1414" s="0">
        <v>2</v>
      </c>
      <c r="BD1414" s="0">
        <v>38030</v>
      </c>
      <c r="BE1414" s="0">
        <v>332</v>
      </c>
      <c r="BF1414" s="0">
        <v>4</v>
      </c>
      <c r="BG1414" s="0" t="s">
        <v>9764</v>
      </c>
      <c r="BI1414" s="0">
        <v>1973</v>
      </c>
      <c r="BK1414" s="0" t="s">
        <v>9765</v>
      </c>
    </row>
    <row r="1415">
      <c r="A1415" s="0">
        <v>6190</v>
      </c>
      <c r="B1415" s="0" t="s">
        <v>9766</v>
      </c>
      <c r="C1415" s="0" t="s">
        <v>1139</v>
      </c>
      <c r="D1415" s="0" t="s">
        <v>9728</v>
      </c>
      <c r="E1415" s="0" t="s">
        <v>9767</v>
      </c>
      <c r="F1415" s="0">
        <v>1</v>
      </c>
      <c r="G1415" s="0" t="s">
        <v>293</v>
      </c>
      <c r="H1415" s="0" t="s">
        <v>294</v>
      </c>
      <c r="I1415" s="0" t="s">
        <v>295</v>
      </c>
      <c r="S1415" s="0" t="s">
        <v>9768</v>
      </c>
      <c r="T1415" s="0" t="s">
        <v>9769</v>
      </c>
      <c r="U1415" s="0" t="s">
        <v>9770</v>
      </c>
      <c r="W1415" s="0" t="s">
        <v>9731</v>
      </c>
      <c r="X1415" s="0" t="s">
        <v>347</v>
      </c>
      <c r="Y1415" s="0" t="s">
        <v>91</v>
      </c>
      <c r="Z1415" s="0" t="s">
        <v>2718</v>
      </c>
      <c r="AA1415" s="0" t="s">
        <v>90</v>
      </c>
      <c r="AB1415" s="0" t="s">
        <v>531</v>
      </c>
      <c r="AC1415" s="0" t="s">
        <v>532</v>
      </c>
      <c r="AD1415" s="0" t="s">
        <v>9732</v>
      </c>
      <c r="AE1415" s="0" t="s">
        <v>9733</v>
      </c>
      <c r="AF1415" s="0" t="s">
        <v>301</v>
      </c>
      <c r="AM1415" s="0" t="s">
        <v>2733</v>
      </c>
      <c r="AN1415" s="0" t="s">
        <v>2733</v>
      </c>
      <c r="AO1415" s="0" t="s">
        <v>650</v>
      </c>
      <c r="AP1415" s="0" t="s">
        <v>305</v>
      </c>
      <c r="AQ1415" s="0" t="s">
        <v>1771</v>
      </c>
      <c r="AR1415" s="0" t="s">
        <v>817</v>
      </c>
      <c r="AS1415" s="0">
        <v>77</v>
      </c>
      <c r="AT1415" s="0">
        <v>155</v>
      </c>
      <c r="AU1415" s="0">
        <v>171</v>
      </c>
      <c r="AV1415" s="0" t="s">
        <v>332</v>
      </c>
      <c r="AW1415" s="0" t="s">
        <v>332</v>
      </c>
      <c r="AX1415" s="0" t="s">
        <v>2734</v>
      </c>
      <c r="AY1415" s="0" t="s">
        <v>2734</v>
      </c>
      <c r="AZ1415" s="0" t="s">
        <v>2742</v>
      </c>
      <c r="BA1415" s="0">
        <v>568</v>
      </c>
      <c r="BB1415" s="0" t="s">
        <v>232</v>
      </c>
      <c r="BC1415" s="0">
        <v>2</v>
      </c>
      <c r="BD1415" s="0">
        <v>38030</v>
      </c>
      <c r="BE1415" s="0">
        <v>332</v>
      </c>
      <c r="BF1415" s="0">
        <v>4</v>
      </c>
      <c r="BG1415" s="0" t="s">
        <v>9771</v>
      </c>
      <c r="BI1415" s="0">
        <v>443</v>
      </c>
      <c r="BK1415" s="0" t="s">
        <v>9772</v>
      </c>
    </row>
    <row r="1416">
      <c r="A1416" s="0">
        <v>6196</v>
      </c>
      <c r="B1416" s="0" t="s">
        <v>9773</v>
      </c>
      <c r="C1416" s="0" t="s">
        <v>315</v>
      </c>
      <c r="D1416" s="0" t="s">
        <v>9728</v>
      </c>
      <c r="E1416" s="0" t="s">
        <v>9774</v>
      </c>
      <c r="F1416" s="0">
        <v>1</v>
      </c>
      <c r="G1416" s="0" t="s">
        <v>319</v>
      </c>
      <c r="H1416" s="0" t="s">
        <v>523</v>
      </c>
      <c r="I1416" s="0" t="s">
        <v>1268</v>
      </c>
      <c r="J1416" s="0" t="s">
        <v>400</v>
      </c>
      <c r="L1416" s="0" t="s">
        <v>469</v>
      </c>
      <c r="P1416" s="0" t="s">
        <v>323</v>
      </c>
      <c r="Q1416" s="0" t="s">
        <v>343</v>
      </c>
      <c r="R1416" s="0" t="s">
        <v>1783</v>
      </c>
      <c r="T1416" s="0" t="s">
        <v>9775</v>
      </c>
      <c r="U1416" s="0" t="s">
        <v>9776</v>
      </c>
      <c r="W1416" s="0" t="s">
        <v>9728</v>
      </c>
      <c r="X1416" s="0" t="s">
        <v>841</v>
      </c>
      <c r="Y1416" s="0" t="s">
        <v>46</v>
      </c>
      <c r="Z1416" s="0" t="s">
        <v>8094</v>
      </c>
      <c r="AA1416" s="0" t="s">
        <v>92</v>
      </c>
      <c r="AB1416" s="0" t="s">
        <v>531</v>
      </c>
      <c r="AC1416" s="0" t="s">
        <v>571</v>
      </c>
      <c r="AF1416" s="0" t="s">
        <v>301</v>
      </c>
      <c r="AP1416" s="0" t="s">
        <v>305</v>
      </c>
      <c r="BA1416" s="0">
        <v>569</v>
      </c>
      <c r="BB1416" s="0" t="s">
        <v>232</v>
      </c>
      <c r="BC1416" s="0">
        <v>2</v>
      </c>
      <c r="BD1416" s="0">
        <v>374043</v>
      </c>
      <c r="BE1416" s="0">
        <v>413</v>
      </c>
      <c r="BF1416" s="0">
        <v>9</v>
      </c>
      <c r="BG1416" s="0" t="s">
        <v>9777</v>
      </c>
      <c r="BI1416" s="0">
        <v>444</v>
      </c>
      <c r="BK1416" s="0" t="s">
        <v>9778</v>
      </c>
    </row>
    <row r="1417">
      <c r="A1417" s="0">
        <v>6197</v>
      </c>
      <c r="B1417" s="0" t="s">
        <v>9779</v>
      </c>
      <c r="C1417" s="0" t="s">
        <v>315</v>
      </c>
      <c r="D1417" s="0" t="s">
        <v>9728</v>
      </c>
      <c r="E1417" s="0" t="s">
        <v>8158</v>
      </c>
      <c r="F1417" s="0">
        <v>1</v>
      </c>
      <c r="G1417" s="0" t="s">
        <v>319</v>
      </c>
      <c r="H1417" s="0" t="s">
        <v>523</v>
      </c>
      <c r="I1417" s="0" t="s">
        <v>1268</v>
      </c>
      <c r="J1417" s="0" t="s">
        <v>400</v>
      </c>
      <c r="L1417" s="0" t="s">
        <v>469</v>
      </c>
      <c r="P1417" s="0" t="s">
        <v>343</v>
      </c>
      <c r="Q1417" s="0" t="s">
        <v>343</v>
      </c>
      <c r="T1417" s="0" t="s">
        <v>9780</v>
      </c>
      <c r="U1417" s="0" t="s">
        <v>9781</v>
      </c>
      <c r="W1417" s="0" t="s">
        <v>9728</v>
      </c>
      <c r="X1417" s="0" t="s">
        <v>841</v>
      </c>
      <c r="Y1417" s="0" t="s">
        <v>46</v>
      </c>
      <c r="Z1417" s="0" t="s">
        <v>8094</v>
      </c>
      <c r="AA1417" s="0" t="s">
        <v>92</v>
      </c>
      <c r="AB1417" s="0" t="s">
        <v>531</v>
      </c>
      <c r="AC1417" s="0" t="s">
        <v>571</v>
      </c>
      <c r="AF1417" s="0" t="s">
        <v>301</v>
      </c>
      <c r="AP1417" s="0" t="s">
        <v>305</v>
      </c>
      <c r="BA1417" s="0">
        <v>569</v>
      </c>
      <c r="BB1417" s="0" t="s">
        <v>232</v>
      </c>
      <c r="BC1417" s="0">
        <v>2</v>
      </c>
      <c r="BD1417" s="0">
        <v>374043</v>
      </c>
      <c r="BE1417" s="0">
        <v>413</v>
      </c>
      <c r="BF1417" s="0">
        <v>9</v>
      </c>
      <c r="BG1417" s="0" t="s">
        <v>9782</v>
      </c>
      <c r="BI1417" s="0">
        <v>833</v>
      </c>
      <c r="BK1417" s="0" t="s">
        <v>9783</v>
      </c>
    </row>
    <row r="1418">
      <c r="A1418" s="0">
        <v>6198</v>
      </c>
      <c r="B1418" s="0" t="s">
        <v>9784</v>
      </c>
      <c r="C1418" s="0" t="s">
        <v>315</v>
      </c>
      <c r="D1418" s="0" t="s">
        <v>9728</v>
      </c>
      <c r="E1418" s="0" t="s">
        <v>8736</v>
      </c>
      <c r="F1418" s="0">
        <v>1</v>
      </c>
      <c r="G1418" s="0" t="s">
        <v>319</v>
      </c>
      <c r="H1418" s="0" t="s">
        <v>523</v>
      </c>
      <c r="I1418" s="0" t="s">
        <v>1268</v>
      </c>
      <c r="J1418" s="0" t="s">
        <v>400</v>
      </c>
      <c r="L1418" s="0" t="s">
        <v>469</v>
      </c>
      <c r="T1418" s="0" t="s">
        <v>9785</v>
      </c>
      <c r="U1418" s="0" t="s">
        <v>9786</v>
      </c>
      <c r="W1418" s="0" t="s">
        <v>9728</v>
      </c>
      <c r="X1418" s="0" t="s">
        <v>841</v>
      </c>
      <c r="Y1418" s="0" t="s">
        <v>46</v>
      </c>
      <c r="Z1418" s="0" t="s">
        <v>8094</v>
      </c>
      <c r="AA1418" s="0" t="s">
        <v>92</v>
      </c>
      <c r="AB1418" s="0" t="s">
        <v>531</v>
      </c>
      <c r="AC1418" s="0" t="s">
        <v>571</v>
      </c>
      <c r="AF1418" s="0" t="s">
        <v>301</v>
      </c>
      <c r="AP1418" s="0" t="s">
        <v>305</v>
      </c>
      <c r="BA1418" s="0">
        <v>569</v>
      </c>
      <c r="BB1418" s="0" t="s">
        <v>232</v>
      </c>
      <c r="BC1418" s="0">
        <v>2</v>
      </c>
      <c r="BD1418" s="0">
        <v>374043</v>
      </c>
      <c r="BE1418" s="0">
        <v>413</v>
      </c>
      <c r="BF1418" s="0">
        <v>9</v>
      </c>
      <c r="BG1418" s="0" t="s">
        <v>9787</v>
      </c>
      <c r="BI1418" s="0">
        <v>1161</v>
      </c>
      <c r="BK1418" s="0" t="s">
        <v>9788</v>
      </c>
    </row>
    <row r="1419">
      <c r="A1419" s="0">
        <v>6200</v>
      </c>
      <c r="B1419" s="0" t="s">
        <v>9789</v>
      </c>
      <c r="C1419" s="0" t="s">
        <v>315</v>
      </c>
      <c r="D1419" s="0" t="s">
        <v>8073</v>
      </c>
      <c r="E1419" s="0" t="s">
        <v>6645</v>
      </c>
      <c r="F1419" s="0">
        <v>1</v>
      </c>
      <c r="G1419" s="0" t="s">
        <v>555</v>
      </c>
      <c r="H1419" s="0" t="s">
        <v>1112</v>
      </c>
      <c r="I1419" s="0" t="s">
        <v>4748</v>
      </c>
      <c r="J1419" s="0" t="s">
        <v>293</v>
      </c>
      <c r="K1419" s="0" t="s">
        <v>294</v>
      </c>
      <c r="L1419" s="0" t="s">
        <v>295</v>
      </c>
      <c r="M1419" s="0" t="s">
        <v>594</v>
      </c>
      <c r="O1419" s="0" t="s">
        <v>1932</v>
      </c>
      <c r="P1419" s="0" t="s">
        <v>323</v>
      </c>
      <c r="Q1419" s="0" t="s">
        <v>9790</v>
      </c>
      <c r="R1419" s="0" t="s">
        <v>1541</v>
      </c>
      <c r="T1419" s="0" t="s">
        <v>9791</v>
      </c>
      <c r="W1419" s="0" t="s">
        <v>9792</v>
      </c>
      <c r="X1419" s="0" t="s">
        <v>529</v>
      </c>
      <c r="Y1419" s="0" t="s">
        <v>75</v>
      </c>
      <c r="Z1419" s="0" t="s">
        <v>1195</v>
      </c>
      <c r="AA1419" s="0" t="s">
        <v>95</v>
      </c>
      <c r="AB1419" s="0" t="s">
        <v>531</v>
      </c>
      <c r="AD1419" s="0" t="s">
        <v>2465</v>
      </c>
      <c r="AE1419" s="0" t="s">
        <v>9793</v>
      </c>
      <c r="AF1419" s="0" t="s">
        <v>301</v>
      </c>
      <c r="AP1419" s="0" t="s">
        <v>305</v>
      </c>
      <c r="BA1419" s="0">
        <v>570</v>
      </c>
      <c r="BB1419" s="0" t="s">
        <v>232</v>
      </c>
      <c r="BC1419" s="0">
        <v>2</v>
      </c>
      <c r="BD1419" s="0">
        <v>374043</v>
      </c>
      <c r="BE1419" s="0">
        <v>90875</v>
      </c>
      <c r="BF1419" s="0">
        <v>2</v>
      </c>
      <c r="BG1419" s="0" t="s">
        <v>9794</v>
      </c>
      <c r="BI1419" s="0">
        <v>829</v>
      </c>
      <c r="BK1419" s="0" t="s">
        <v>9795</v>
      </c>
    </row>
    <row r="1420">
      <c r="A1420" s="0">
        <v>6199</v>
      </c>
      <c r="B1420" s="0" t="s">
        <v>9796</v>
      </c>
      <c r="C1420" s="0" t="s">
        <v>315</v>
      </c>
      <c r="D1420" s="0" t="s">
        <v>8073</v>
      </c>
      <c r="E1420" s="0" t="s">
        <v>6651</v>
      </c>
      <c r="F1420" s="0">
        <v>2</v>
      </c>
      <c r="G1420" s="0" t="s">
        <v>555</v>
      </c>
      <c r="H1420" s="0" t="s">
        <v>1112</v>
      </c>
      <c r="I1420" s="0" t="s">
        <v>4748</v>
      </c>
      <c r="J1420" s="0" t="s">
        <v>293</v>
      </c>
      <c r="K1420" s="0" t="s">
        <v>294</v>
      </c>
      <c r="L1420" s="0" t="s">
        <v>295</v>
      </c>
      <c r="M1420" s="0" t="s">
        <v>594</v>
      </c>
      <c r="O1420" s="0" t="s">
        <v>1932</v>
      </c>
      <c r="P1420" s="0" t="s">
        <v>323</v>
      </c>
      <c r="Q1420" s="0" t="s">
        <v>9797</v>
      </c>
      <c r="R1420" s="0" t="s">
        <v>1541</v>
      </c>
      <c r="T1420" s="0" t="s">
        <v>9798</v>
      </c>
      <c r="W1420" s="0" t="s">
        <v>9792</v>
      </c>
      <c r="X1420" s="0" t="s">
        <v>529</v>
      </c>
      <c r="Y1420" s="0" t="s">
        <v>75</v>
      </c>
      <c r="Z1420" s="0" t="s">
        <v>1195</v>
      </c>
      <c r="AA1420" s="0" t="s">
        <v>95</v>
      </c>
      <c r="AB1420" s="0" t="s">
        <v>531</v>
      </c>
      <c r="AD1420" s="0" t="s">
        <v>2465</v>
      </c>
      <c r="AE1420" s="0" t="s">
        <v>9793</v>
      </c>
      <c r="AF1420" s="0" t="s">
        <v>301</v>
      </c>
      <c r="AP1420" s="0" t="s">
        <v>305</v>
      </c>
      <c r="BA1420" s="0">
        <v>570</v>
      </c>
      <c r="BB1420" s="0" t="s">
        <v>232</v>
      </c>
      <c r="BC1420" s="0">
        <v>2</v>
      </c>
      <c r="BD1420" s="0">
        <v>374043</v>
      </c>
      <c r="BE1420" s="0">
        <v>90875</v>
      </c>
      <c r="BF1420" s="0">
        <v>2</v>
      </c>
      <c r="BG1420" s="0" t="s">
        <v>9799</v>
      </c>
      <c r="BI1420" s="0">
        <v>436</v>
      </c>
      <c r="BK1420" s="0" t="s">
        <v>9800</v>
      </c>
    </row>
    <row r="1421">
      <c r="A1421" s="0">
        <v>6201</v>
      </c>
      <c r="B1421" s="0" t="s">
        <v>6656</v>
      </c>
      <c r="C1421" s="0" t="s">
        <v>315</v>
      </c>
      <c r="D1421" s="0" t="s">
        <v>8073</v>
      </c>
      <c r="E1421" s="0" t="s">
        <v>6657</v>
      </c>
      <c r="F1421" s="0">
        <v>1</v>
      </c>
      <c r="G1421" s="0" t="s">
        <v>555</v>
      </c>
      <c r="H1421" s="0" t="s">
        <v>1112</v>
      </c>
      <c r="I1421" s="0" t="s">
        <v>4748</v>
      </c>
      <c r="J1421" s="0" t="s">
        <v>293</v>
      </c>
      <c r="K1421" s="0" t="s">
        <v>294</v>
      </c>
      <c r="L1421" s="0" t="s">
        <v>295</v>
      </c>
      <c r="M1421" s="0" t="s">
        <v>594</v>
      </c>
      <c r="O1421" s="0" t="s">
        <v>1932</v>
      </c>
      <c r="P1421" s="0" t="s">
        <v>323</v>
      </c>
      <c r="Q1421" s="0" t="s">
        <v>9801</v>
      </c>
      <c r="R1421" s="0" t="s">
        <v>1541</v>
      </c>
      <c r="T1421" s="0" t="s">
        <v>9802</v>
      </c>
      <c r="W1421" s="0" t="s">
        <v>9792</v>
      </c>
      <c r="X1421" s="0" t="s">
        <v>529</v>
      </c>
      <c r="Y1421" s="0" t="s">
        <v>75</v>
      </c>
      <c r="Z1421" s="0" t="s">
        <v>1195</v>
      </c>
      <c r="AA1421" s="0" t="s">
        <v>95</v>
      </c>
      <c r="AB1421" s="0" t="s">
        <v>531</v>
      </c>
      <c r="AD1421" s="0" t="s">
        <v>2465</v>
      </c>
      <c r="AE1421" s="0" t="s">
        <v>9793</v>
      </c>
      <c r="AF1421" s="0" t="s">
        <v>301</v>
      </c>
      <c r="AP1421" s="0" t="s">
        <v>305</v>
      </c>
      <c r="BA1421" s="0">
        <v>570</v>
      </c>
      <c r="BB1421" s="0" t="s">
        <v>232</v>
      </c>
      <c r="BC1421" s="0">
        <v>2</v>
      </c>
      <c r="BD1421" s="0">
        <v>374043</v>
      </c>
      <c r="BE1421" s="0">
        <v>90875</v>
      </c>
      <c r="BF1421" s="0">
        <v>2</v>
      </c>
      <c r="BG1421" s="0" t="s">
        <v>9803</v>
      </c>
      <c r="BI1421" s="0">
        <v>1157</v>
      </c>
      <c r="BK1421" s="0" t="s">
        <v>9804</v>
      </c>
    </row>
    <row r="1422">
      <c r="A1422" s="0">
        <v>6203</v>
      </c>
      <c r="B1422" s="0" t="s">
        <v>9805</v>
      </c>
      <c r="C1422" s="0" t="s">
        <v>656</v>
      </c>
      <c r="D1422" s="0" t="s">
        <v>8073</v>
      </c>
      <c r="E1422" s="0" t="s">
        <v>6691</v>
      </c>
      <c r="F1422" s="0">
        <v>1</v>
      </c>
      <c r="G1422" s="0" t="s">
        <v>555</v>
      </c>
      <c r="H1422" s="0" t="s">
        <v>1112</v>
      </c>
      <c r="I1422" s="0" t="s">
        <v>1204</v>
      </c>
      <c r="J1422" s="0" t="s">
        <v>293</v>
      </c>
      <c r="K1422" s="0" t="s">
        <v>294</v>
      </c>
      <c r="L1422" s="0" t="s">
        <v>918</v>
      </c>
      <c r="P1422" s="0" t="s">
        <v>323</v>
      </c>
      <c r="Q1422" s="0" t="s">
        <v>343</v>
      </c>
      <c r="R1422" s="0" t="s">
        <v>6612</v>
      </c>
      <c r="T1422" s="0" t="s">
        <v>9806</v>
      </c>
      <c r="W1422" s="0" t="s">
        <v>9792</v>
      </c>
      <c r="X1422" s="0" t="s">
        <v>529</v>
      </c>
      <c r="Y1422" s="0" t="s">
        <v>75</v>
      </c>
      <c r="Z1422" s="0" t="s">
        <v>1195</v>
      </c>
      <c r="AA1422" s="0" t="s">
        <v>95</v>
      </c>
      <c r="AB1422" s="0" t="s">
        <v>531</v>
      </c>
      <c r="AD1422" s="0" t="s">
        <v>2465</v>
      </c>
      <c r="AE1422" s="0" t="s">
        <v>9793</v>
      </c>
      <c r="AF1422" s="0" t="s">
        <v>301</v>
      </c>
      <c r="AP1422" s="0" t="s">
        <v>305</v>
      </c>
      <c r="BA1422" s="0">
        <v>570</v>
      </c>
      <c r="BB1422" s="0" t="s">
        <v>232</v>
      </c>
      <c r="BC1422" s="0">
        <v>2</v>
      </c>
      <c r="BD1422" s="0">
        <v>10</v>
      </c>
      <c r="BE1422" s="0">
        <v>90875</v>
      </c>
      <c r="BF1422" s="0">
        <v>2</v>
      </c>
      <c r="BG1422" s="0" t="s">
        <v>9807</v>
      </c>
      <c r="BI1422" s="0">
        <v>1727</v>
      </c>
      <c r="BK1422" s="0" t="s">
        <v>9808</v>
      </c>
    </row>
    <row r="1423">
      <c r="A1423" s="0">
        <v>6202</v>
      </c>
      <c r="B1423" s="0" t="s">
        <v>6695</v>
      </c>
      <c r="C1423" s="0" t="s">
        <v>656</v>
      </c>
      <c r="D1423" s="0" t="s">
        <v>8073</v>
      </c>
      <c r="E1423" s="0" t="s">
        <v>6696</v>
      </c>
      <c r="F1423" s="0">
        <v>2</v>
      </c>
      <c r="G1423" s="0" t="s">
        <v>555</v>
      </c>
      <c r="H1423" s="0" t="s">
        <v>1112</v>
      </c>
      <c r="I1423" s="0" t="s">
        <v>1204</v>
      </c>
      <c r="J1423" s="0" t="s">
        <v>293</v>
      </c>
      <c r="K1423" s="0" t="s">
        <v>294</v>
      </c>
      <c r="L1423" s="0" t="s">
        <v>918</v>
      </c>
      <c r="P1423" s="0" t="s">
        <v>323</v>
      </c>
      <c r="Q1423" s="0" t="s">
        <v>343</v>
      </c>
      <c r="R1423" s="0" t="s">
        <v>6612</v>
      </c>
      <c r="T1423" s="0" t="s">
        <v>9809</v>
      </c>
      <c r="W1423" s="0" t="s">
        <v>9792</v>
      </c>
      <c r="X1423" s="0" t="s">
        <v>529</v>
      </c>
      <c r="Y1423" s="0" t="s">
        <v>75</v>
      </c>
      <c r="Z1423" s="0" t="s">
        <v>1195</v>
      </c>
      <c r="AA1423" s="0" t="s">
        <v>95</v>
      </c>
      <c r="AB1423" s="0" t="s">
        <v>531</v>
      </c>
      <c r="AD1423" s="0" t="s">
        <v>2465</v>
      </c>
      <c r="AE1423" s="0" t="s">
        <v>9793</v>
      </c>
      <c r="AF1423" s="0" t="s">
        <v>301</v>
      </c>
      <c r="AP1423" s="0" t="s">
        <v>305</v>
      </c>
      <c r="BA1423" s="0">
        <v>570</v>
      </c>
      <c r="BB1423" s="0" t="s">
        <v>232</v>
      </c>
      <c r="BC1423" s="0">
        <v>2</v>
      </c>
      <c r="BD1423" s="0">
        <v>10</v>
      </c>
      <c r="BE1423" s="0">
        <v>90875</v>
      </c>
      <c r="BF1423" s="0">
        <v>2</v>
      </c>
      <c r="BG1423" s="0" t="s">
        <v>9810</v>
      </c>
      <c r="BI1423" s="0">
        <v>1460</v>
      </c>
      <c r="BK1423" s="0" t="s">
        <v>9811</v>
      </c>
    </row>
    <row r="1424">
      <c r="A1424" s="0">
        <v>6205</v>
      </c>
      <c r="B1424" s="0" t="s">
        <v>9812</v>
      </c>
      <c r="C1424" s="0" t="s">
        <v>656</v>
      </c>
      <c r="D1424" s="0" t="s">
        <v>9144</v>
      </c>
      <c r="E1424" s="0" t="s">
        <v>9813</v>
      </c>
      <c r="F1424" s="0">
        <v>1</v>
      </c>
      <c r="G1424" s="0" t="s">
        <v>293</v>
      </c>
      <c r="H1424" s="0" t="s">
        <v>294</v>
      </c>
      <c r="I1424" s="0" t="s">
        <v>295</v>
      </c>
      <c r="T1424" s="0" t="s">
        <v>9814</v>
      </c>
      <c r="X1424" s="0" t="s">
        <v>1116</v>
      </c>
      <c r="Y1424" s="0" t="s">
        <v>77</v>
      </c>
      <c r="Z1424" s="0" t="s">
        <v>3973</v>
      </c>
      <c r="AA1424" s="0" t="s">
        <v>97</v>
      </c>
      <c r="AB1424" s="0" t="s">
        <v>300</v>
      </c>
      <c r="AE1424" s="0" t="s">
        <v>9815</v>
      </c>
      <c r="AF1424" s="0" t="s">
        <v>301</v>
      </c>
      <c r="AM1424" s="0" t="s">
        <v>762</v>
      </c>
      <c r="AN1424" s="0" t="s">
        <v>608</v>
      </c>
      <c r="AO1424" s="0" t="s">
        <v>5194</v>
      </c>
      <c r="AP1424" s="0" t="s">
        <v>305</v>
      </c>
      <c r="BA1424" s="0">
        <v>571</v>
      </c>
      <c r="BB1424" s="0" t="s">
        <v>232</v>
      </c>
      <c r="BC1424" s="0">
        <v>2</v>
      </c>
      <c r="BD1424" s="0">
        <v>10</v>
      </c>
      <c r="BE1424" s="0">
        <v>519953</v>
      </c>
      <c r="BF1424" s="0">
        <v>1</v>
      </c>
      <c r="BG1424" s="0" t="s">
        <v>9816</v>
      </c>
      <c r="BI1424" s="0">
        <v>437</v>
      </c>
      <c r="BK1424" s="0" t="s">
        <v>9817</v>
      </c>
    </row>
    <row r="1425">
      <c r="A1425" s="0">
        <v>6211</v>
      </c>
      <c r="B1425" s="0" t="s">
        <v>7947</v>
      </c>
      <c r="C1425" s="0" t="s">
        <v>315</v>
      </c>
      <c r="D1425" s="0" t="s">
        <v>8986</v>
      </c>
      <c r="E1425" s="0" t="s">
        <v>7949</v>
      </c>
      <c r="F1425" s="0">
        <v>1</v>
      </c>
      <c r="G1425" s="0" t="s">
        <v>293</v>
      </c>
      <c r="H1425" s="0" t="s">
        <v>294</v>
      </c>
      <c r="I1425" s="0" t="s">
        <v>295</v>
      </c>
      <c r="J1425" s="0" t="s">
        <v>400</v>
      </c>
      <c r="K1425" s="0" t="s">
        <v>1190</v>
      </c>
      <c r="L1425" s="0" t="s">
        <v>549</v>
      </c>
      <c r="T1425" s="0" t="s">
        <v>9818</v>
      </c>
      <c r="W1425" s="0" t="s">
        <v>9696</v>
      </c>
      <c r="X1425" s="0" t="s">
        <v>529</v>
      </c>
      <c r="Y1425" s="0" t="s">
        <v>94</v>
      </c>
      <c r="Z1425" s="0" t="s">
        <v>1972</v>
      </c>
      <c r="AA1425" s="0" t="s">
        <v>93</v>
      </c>
      <c r="AB1425" s="0" t="s">
        <v>531</v>
      </c>
      <c r="AC1425" s="0" t="s">
        <v>571</v>
      </c>
      <c r="AE1425" s="0" t="s">
        <v>9258</v>
      </c>
      <c r="AF1425" s="0" t="s">
        <v>301</v>
      </c>
      <c r="AP1425" s="0" t="s">
        <v>305</v>
      </c>
      <c r="BA1425" s="0">
        <v>572</v>
      </c>
      <c r="BB1425" s="0" t="s">
        <v>232</v>
      </c>
      <c r="BC1425" s="0">
        <v>2</v>
      </c>
      <c r="BD1425" s="0">
        <v>374043</v>
      </c>
      <c r="BE1425" s="0">
        <v>112779</v>
      </c>
      <c r="BF1425" s="0">
        <v>2</v>
      </c>
      <c r="BG1425" s="0" t="s">
        <v>9819</v>
      </c>
      <c r="BI1425" s="0">
        <v>1729</v>
      </c>
      <c r="BK1425" s="0" t="s">
        <v>9820</v>
      </c>
    </row>
    <row r="1426">
      <c r="A1426" s="0">
        <v>6210</v>
      </c>
      <c r="B1426" s="0" t="s">
        <v>9821</v>
      </c>
      <c r="C1426" s="0" t="s">
        <v>290</v>
      </c>
      <c r="D1426" s="0" t="s">
        <v>8986</v>
      </c>
      <c r="E1426" s="0" t="s">
        <v>7957</v>
      </c>
      <c r="F1426" s="0">
        <v>1</v>
      </c>
      <c r="G1426" s="0" t="s">
        <v>293</v>
      </c>
      <c r="H1426" s="0" t="s">
        <v>294</v>
      </c>
      <c r="I1426" s="0" t="s">
        <v>918</v>
      </c>
      <c r="T1426" s="0" t="s">
        <v>9822</v>
      </c>
      <c r="W1426" s="0" t="s">
        <v>9696</v>
      </c>
      <c r="X1426" s="0" t="s">
        <v>529</v>
      </c>
      <c r="Y1426" s="0" t="s">
        <v>94</v>
      </c>
      <c r="Z1426" s="0" t="s">
        <v>1972</v>
      </c>
      <c r="AA1426" s="0" t="s">
        <v>93</v>
      </c>
      <c r="AB1426" s="0" t="s">
        <v>531</v>
      </c>
      <c r="AC1426" s="0" t="s">
        <v>571</v>
      </c>
      <c r="AE1426" s="0" t="s">
        <v>9258</v>
      </c>
      <c r="AF1426" s="0" t="s">
        <v>301</v>
      </c>
      <c r="AP1426" s="0" t="s">
        <v>305</v>
      </c>
      <c r="BA1426" s="0">
        <v>572</v>
      </c>
      <c r="BB1426" s="0" t="s">
        <v>232</v>
      </c>
      <c r="BC1426" s="0">
        <v>2</v>
      </c>
      <c r="BD1426" s="0">
        <v>374053</v>
      </c>
      <c r="BE1426" s="0">
        <v>112779</v>
      </c>
      <c r="BF1426" s="0">
        <v>2</v>
      </c>
      <c r="BG1426" s="0" t="s">
        <v>9823</v>
      </c>
      <c r="BI1426" s="0">
        <v>1462</v>
      </c>
      <c r="BK1426" s="0" t="s">
        <v>9824</v>
      </c>
    </row>
    <row r="1427">
      <c r="A1427" s="0">
        <v>6223</v>
      </c>
      <c r="B1427" s="0" t="s">
        <v>7986</v>
      </c>
      <c r="C1427" s="0" t="s">
        <v>339</v>
      </c>
      <c r="D1427" s="0" t="s">
        <v>8986</v>
      </c>
      <c r="E1427" s="0" t="s">
        <v>7987</v>
      </c>
      <c r="F1427" s="0">
        <v>1</v>
      </c>
      <c r="G1427" s="0" t="s">
        <v>400</v>
      </c>
      <c r="H1427" s="0" t="s">
        <v>1190</v>
      </c>
      <c r="I1427" s="0" t="s">
        <v>7988</v>
      </c>
      <c r="J1427" s="0" t="s">
        <v>508</v>
      </c>
      <c r="K1427" s="0" t="s">
        <v>1190</v>
      </c>
      <c r="L1427" s="0" t="s">
        <v>7988</v>
      </c>
      <c r="M1427" s="0" t="s">
        <v>319</v>
      </c>
      <c r="N1427" s="0" t="s">
        <v>1997</v>
      </c>
      <c r="O1427" s="0" t="s">
        <v>7988</v>
      </c>
      <c r="P1427" s="0" t="s">
        <v>343</v>
      </c>
      <c r="Q1427" s="0" t="s">
        <v>343</v>
      </c>
      <c r="T1427" s="0" t="s">
        <v>9825</v>
      </c>
      <c r="W1427" s="0" t="s">
        <v>9696</v>
      </c>
      <c r="X1427" s="0" t="s">
        <v>529</v>
      </c>
      <c r="Y1427" s="0" t="s">
        <v>94</v>
      </c>
      <c r="Z1427" s="0" t="s">
        <v>1972</v>
      </c>
      <c r="AA1427" s="0" t="s">
        <v>93</v>
      </c>
      <c r="AB1427" s="0" t="s">
        <v>531</v>
      </c>
      <c r="AC1427" s="0" t="s">
        <v>571</v>
      </c>
      <c r="AE1427" s="0" t="s">
        <v>9258</v>
      </c>
      <c r="AF1427" s="0" t="s">
        <v>301</v>
      </c>
      <c r="AP1427" s="0" t="s">
        <v>305</v>
      </c>
      <c r="BA1427" s="0">
        <v>572</v>
      </c>
      <c r="BB1427" s="0" t="s">
        <v>232</v>
      </c>
      <c r="BC1427" s="0">
        <v>2</v>
      </c>
      <c r="BD1427" s="0">
        <v>8</v>
      </c>
      <c r="BE1427" s="0">
        <v>112779</v>
      </c>
      <c r="BF1427" s="0">
        <v>2</v>
      </c>
      <c r="BG1427" s="0" t="s">
        <v>9826</v>
      </c>
      <c r="BI1427" s="0">
        <v>3641</v>
      </c>
      <c r="BK1427" s="0" t="s">
        <v>9827</v>
      </c>
    </row>
    <row r="1428">
      <c r="A1428" s="0">
        <v>6218</v>
      </c>
      <c r="B1428" s="0" t="s">
        <v>9828</v>
      </c>
      <c r="C1428" s="0" t="s">
        <v>339</v>
      </c>
      <c r="D1428" s="0" t="s">
        <v>8986</v>
      </c>
      <c r="E1428" s="0" t="s">
        <v>7993</v>
      </c>
      <c r="F1428" s="0">
        <v>3</v>
      </c>
      <c r="G1428" s="0" t="s">
        <v>400</v>
      </c>
      <c r="I1428" s="0" t="s">
        <v>1668</v>
      </c>
      <c r="J1428" s="0" t="s">
        <v>319</v>
      </c>
      <c r="K1428" s="0" t="s">
        <v>398</v>
      </c>
      <c r="L1428" s="0" t="s">
        <v>948</v>
      </c>
      <c r="P1428" s="0" t="s">
        <v>323</v>
      </c>
      <c r="Q1428" s="0" t="s">
        <v>323</v>
      </c>
      <c r="R1428" s="0" t="s">
        <v>556</v>
      </c>
      <c r="T1428" s="0" t="s">
        <v>9829</v>
      </c>
      <c r="W1428" s="0" t="s">
        <v>9696</v>
      </c>
      <c r="X1428" s="0" t="s">
        <v>529</v>
      </c>
      <c r="Y1428" s="0" t="s">
        <v>94</v>
      </c>
      <c r="Z1428" s="0" t="s">
        <v>1972</v>
      </c>
      <c r="AA1428" s="0" t="s">
        <v>93</v>
      </c>
      <c r="AB1428" s="0" t="s">
        <v>531</v>
      </c>
      <c r="AC1428" s="0" t="s">
        <v>571</v>
      </c>
      <c r="AE1428" s="0" t="s">
        <v>9258</v>
      </c>
      <c r="AF1428" s="0" t="s">
        <v>301</v>
      </c>
      <c r="AP1428" s="0" t="s">
        <v>305</v>
      </c>
      <c r="BA1428" s="0">
        <v>572</v>
      </c>
      <c r="BB1428" s="0" t="s">
        <v>232</v>
      </c>
      <c r="BC1428" s="0">
        <v>2</v>
      </c>
      <c r="BD1428" s="0">
        <v>8</v>
      </c>
      <c r="BE1428" s="0">
        <v>112779</v>
      </c>
      <c r="BF1428" s="0">
        <v>2</v>
      </c>
      <c r="BG1428" s="0" t="s">
        <v>9830</v>
      </c>
      <c r="BI1428" s="0">
        <v>3115</v>
      </c>
      <c r="BK1428" s="0" t="s">
        <v>9831</v>
      </c>
    </row>
    <row r="1429">
      <c r="A1429" s="0">
        <v>6217</v>
      </c>
      <c r="B1429" s="0" t="s">
        <v>9832</v>
      </c>
      <c r="C1429" s="0" t="s">
        <v>339</v>
      </c>
      <c r="D1429" s="0" t="s">
        <v>8986</v>
      </c>
      <c r="E1429" s="0" t="s">
        <v>3501</v>
      </c>
      <c r="F1429" s="0">
        <v>1</v>
      </c>
      <c r="G1429" s="0" t="s">
        <v>400</v>
      </c>
      <c r="I1429" s="0" t="s">
        <v>1668</v>
      </c>
      <c r="J1429" s="0" t="s">
        <v>319</v>
      </c>
      <c r="K1429" s="0" t="s">
        <v>398</v>
      </c>
      <c r="L1429" s="0" t="s">
        <v>948</v>
      </c>
      <c r="P1429" s="0" t="s">
        <v>323</v>
      </c>
      <c r="R1429" s="0" t="s">
        <v>2034</v>
      </c>
      <c r="T1429" s="0" t="s">
        <v>9833</v>
      </c>
      <c r="W1429" s="0" t="s">
        <v>9696</v>
      </c>
      <c r="X1429" s="0" t="s">
        <v>529</v>
      </c>
      <c r="Y1429" s="0" t="s">
        <v>94</v>
      </c>
      <c r="Z1429" s="0" t="s">
        <v>1972</v>
      </c>
      <c r="AA1429" s="0" t="s">
        <v>93</v>
      </c>
      <c r="AB1429" s="0" t="s">
        <v>531</v>
      </c>
      <c r="AC1429" s="0" t="s">
        <v>571</v>
      </c>
      <c r="AE1429" s="0" t="s">
        <v>9258</v>
      </c>
      <c r="AF1429" s="0" t="s">
        <v>301</v>
      </c>
      <c r="AP1429" s="0" t="s">
        <v>305</v>
      </c>
      <c r="BA1429" s="0">
        <v>572</v>
      </c>
      <c r="BB1429" s="0" t="s">
        <v>232</v>
      </c>
      <c r="BC1429" s="0">
        <v>2</v>
      </c>
      <c r="BD1429" s="0">
        <v>8</v>
      </c>
      <c r="BE1429" s="0">
        <v>112779</v>
      </c>
      <c r="BF1429" s="0">
        <v>2</v>
      </c>
      <c r="BG1429" s="0" t="s">
        <v>9834</v>
      </c>
      <c r="BI1429" s="0">
        <v>2949</v>
      </c>
      <c r="BK1429" s="0" t="s">
        <v>9835</v>
      </c>
    </row>
    <row r="1430">
      <c r="A1430" s="0">
        <v>6216</v>
      </c>
      <c r="B1430" s="0" t="s">
        <v>9836</v>
      </c>
      <c r="C1430" s="0" t="s">
        <v>339</v>
      </c>
      <c r="D1430" s="0" t="s">
        <v>8986</v>
      </c>
      <c r="E1430" s="0" t="s">
        <v>8005</v>
      </c>
      <c r="F1430" s="0">
        <v>2</v>
      </c>
      <c r="G1430" s="0" t="s">
        <v>400</v>
      </c>
      <c r="I1430" s="0" t="s">
        <v>1668</v>
      </c>
      <c r="J1430" s="0" t="s">
        <v>319</v>
      </c>
      <c r="K1430" s="0" t="s">
        <v>398</v>
      </c>
      <c r="L1430" s="0" t="s">
        <v>948</v>
      </c>
      <c r="P1430" s="0" t="s">
        <v>323</v>
      </c>
      <c r="Q1430" s="0" t="s">
        <v>323</v>
      </c>
      <c r="R1430" s="0" t="s">
        <v>556</v>
      </c>
      <c r="T1430" s="0" t="s">
        <v>9837</v>
      </c>
      <c r="W1430" s="0" t="s">
        <v>9696</v>
      </c>
      <c r="X1430" s="0" t="s">
        <v>529</v>
      </c>
      <c r="Y1430" s="0" t="s">
        <v>94</v>
      </c>
      <c r="Z1430" s="0" t="s">
        <v>1972</v>
      </c>
      <c r="AA1430" s="0" t="s">
        <v>93</v>
      </c>
      <c r="AB1430" s="0" t="s">
        <v>531</v>
      </c>
      <c r="AC1430" s="0" t="s">
        <v>571</v>
      </c>
      <c r="AE1430" s="0" t="s">
        <v>9258</v>
      </c>
      <c r="AF1430" s="0" t="s">
        <v>301</v>
      </c>
      <c r="AP1430" s="0" t="s">
        <v>305</v>
      </c>
      <c r="BA1430" s="0">
        <v>572</v>
      </c>
      <c r="BB1430" s="0" t="s">
        <v>232</v>
      </c>
      <c r="BC1430" s="0">
        <v>2</v>
      </c>
      <c r="BD1430" s="0">
        <v>8</v>
      </c>
      <c r="BE1430" s="0">
        <v>112779</v>
      </c>
      <c r="BF1430" s="0">
        <v>2</v>
      </c>
      <c r="BG1430" s="0" t="s">
        <v>9838</v>
      </c>
      <c r="BI1430" s="0">
        <v>2780</v>
      </c>
      <c r="BK1430" s="0" t="s">
        <v>9839</v>
      </c>
    </row>
    <row r="1431">
      <c r="A1431" s="0">
        <v>6219</v>
      </c>
      <c r="B1431" s="0" t="s">
        <v>9840</v>
      </c>
      <c r="C1431" s="0" t="s">
        <v>315</v>
      </c>
      <c r="D1431" s="0" t="s">
        <v>8986</v>
      </c>
      <c r="E1431" s="0" t="s">
        <v>3537</v>
      </c>
      <c r="F1431" s="0">
        <v>1</v>
      </c>
      <c r="G1431" s="0" t="s">
        <v>319</v>
      </c>
      <c r="H1431" s="0" t="s">
        <v>9841</v>
      </c>
      <c r="I1431" s="0" t="s">
        <v>524</v>
      </c>
      <c r="J1431" s="0" t="s">
        <v>293</v>
      </c>
      <c r="K1431" s="0" t="s">
        <v>294</v>
      </c>
      <c r="L1431" s="0" t="s">
        <v>8012</v>
      </c>
      <c r="T1431" s="0" t="s">
        <v>9842</v>
      </c>
      <c r="W1431" s="0" t="s">
        <v>9696</v>
      </c>
      <c r="X1431" s="0" t="s">
        <v>529</v>
      </c>
      <c r="Y1431" s="0" t="s">
        <v>94</v>
      </c>
      <c r="Z1431" s="0" t="s">
        <v>1972</v>
      </c>
      <c r="AA1431" s="0" t="s">
        <v>93</v>
      </c>
      <c r="AB1431" s="0" t="s">
        <v>531</v>
      </c>
      <c r="AC1431" s="0" t="s">
        <v>571</v>
      </c>
      <c r="AE1431" s="0" t="s">
        <v>9258</v>
      </c>
      <c r="AF1431" s="0" t="s">
        <v>301</v>
      </c>
      <c r="AP1431" s="0" t="s">
        <v>305</v>
      </c>
      <c r="BA1431" s="0">
        <v>572</v>
      </c>
      <c r="BB1431" s="0" t="s">
        <v>232</v>
      </c>
      <c r="BC1431" s="0">
        <v>2</v>
      </c>
      <c r="BD1431" s="0">
        <v>374043</v>
      </c>
      <c r="BE1431" s="0">
        <v>112779</v>
      </c>
      <c r="BF1431" s="0">
        <v>2</v>
      </c>
      <c r="BG1431" s="0" t="s">
        <v>9843</v>
      </c>
      <c r="BI1431" s="0">
        <v>3267</v>
      </c>
      <c r="BK1431" s="0" t="s">
        <v>9844</v>
      </c>
    </row>
    <row r="1432">
      <c r="A1432" s="0">
        <v>6220</v>
      </c>
      <c r="B1432" s="0" t="s">
        <v>9845</v>
      </c>
      <c r="C1432" s="0" t="s">
        <v>315</v>
      </c>
      <c r="D1432" s="0" t="s">
        <v>8986</v>
      </c>
      <c r="E1432" s="0" t="s">
        <v>9846</v>
      </c>
      <c r="F1432" s="0">
        <v>1</v>
      </c>
      <c r="G1432" s="0" t="s">
        <v>319</v>
      </c>
      <c r="H1432" s="0" t="s">
        <v>8011</v>
      </c>
      <c r="I1432" s="0" t="s">
        <v>524</v>
      </c>
      <c r="J1432" s="0" t="s">
        <v>293</v>
      </c>
      <c r="K1432" s="0" t="s">
        <v>294</v>
      </c>
      <c r="L1432" s="0" t="s">
        <v>295</v>
      </c>
      <c r="T1432" s="0" t="s">
        <v>9847</v>
      </c>
      <c r="W1432" s="0" t="s">
        <v>9696</v>
      </c>
      <c r="X1432" s="0" t="s">
        <v>529</v>
      </c>
      <c r="Y1432" s="0" t="s">
        <v>94</v>
      </c>
      <c r="Z1432" s="0" t="s">
        <v>1972</v>
      </c>
      <c r="AA1432" s="0" t="s">
        <v>93</v>
      </c>
      <c r="AB1432" s="0" t="s">
        <v>531</v>
      </c>
      <c r="AC1432" s="0" t="s">
        <v>571</v>
      </c>
      <c r="AE1432" s="0" t="s">
        <v>9258</v>
      </c>
      <c r="AF1432" s="0" t="s">
        <v>301</v>
      </c>
      <c r="AP1432" s="0" t="s">
        <v>305</v>
      </c>
      <c r="BA1432" s="0">
        <v>572</v>
      </c>
      <c r="BB1432" s="0" t="s">
        <v>232</v>
      </c>
      <c r="BC1432" s="0">
        <v>2</v>
      </c>
      <c r="BD1432" s="0">
        <v>374043</v>
      </c>
      <c r="BE1432" s="0">
        <v>112779</v>
      </c>
      <c r="BF1432" s="0">
        <v>2</v>
      </c>
      <c r="BG1432" s="0" t="s">
        <v>9848</v>
      </c>
      <c r="BI1432" s="0">
        <v>3400</v>
      </c>
      <c r="BK1432" s="0" t="s">
        <v>9849</v>
      </c>
    </row>
    <row r="1433">
      <c r="A1433" s="0">
        <v>6222</v>
      </c>
      <c r="B1433" s="0" t="s">
        <v>9850</v>
      </c>
      <c r="C1433" s="0" t="s">
        <v>290</v>
      </c>
      <c r="D1433" s="0" t="s">
        <v>8986</v>
      </c>
      <c r="E1433" s="0" t="s">
        <v>9851</v>
      </c>
      <c r="F1433" s="0">
        <v>1</v>
      </c>
      <c r="G1433" s="0" t="s">
        <v>319</v>
      </c>
      <c r="H1433" s="0" t="s">
        <v>1292</v>
      </c>
      <c r="I1433" s="0" t="s">
        <v>497</v>
      </c>
      <c r="J1433" s="0" t="s">
        <v>293</v>
      </c>
      <c r="K1433" s="0" t="s">
        <v>294</v>
      </c>
      <c r="L1433" s="0" t="s">
        <v>918</v>
      </c>
      <c r="T1433" s="0" t="s">
        <v>9852</v>
      </c>
      <c r="W1433" s="0" t="s">
        <v>9696</v>
      </c>
      <c r="X1433" s="0" t="s">
        <v>529</v>
      </c>
      <c r="Y1433" s="0" t="s">
        <v>94</v>
      </c>
      <c r="Z1433" s="0" t="s">
        <v>1972</v>
      </c>
      <c r="AA1433" s="0" t="s">
        <v>93</v>
      </c>
      <c r="AB1433" s="0" t="s">
        <v>531</v>
      </c>
      <c r="AC1433" s="0" t="s">
        <v>571</v>
      </c>
      <c r="AE1433" s="0" t="s">
        <v>9258</v>
      </c>
      <c r="AF1433" s="0" t="s">
        <v>301</v>
      </c>
      <c r="AP1433" s="0" t="s">
        <v>305</v>
      </c>
      <c r="BA1433" s="0">
        <v>572</v>
      </c>
      <c r="BB1433" s="0" t="s">
        <v>232</v>
      </c>
      <c r="BC1433" s="0">
        <v>2</v>
      </c>
      <c r="BD1433" s="0">
        <v>374053</v>
      </c>
      <c r="BE1433" s="0">
        <v>112779</v>
      </c>
      <c r="BF1433" s="0">
        <v>2</v>
      </c>
      <c r="BG1433" s="0" t="s">
        <v>9853</v>
      </c>
      <c r="BI1433" s="0">
        <v>3640</v>
      </c>
      <c r="BK1433" s="0" t="s">
        <v>9854</v>
      </c>
    </row>
    <row r="1434">
      <c r="A1434" s="0">
        <v>6215</v>
      </c>
      <c r="B1434" s="0" t="s">
        <v>9855</v>
      </c>
      <c r="C1434" s="0" t="s">
        <v>339</v>
      </c>
      <c r="D1434" s="0" t="s">
        <v>8986</v>
      </c>
      <c r="E1434" s="0" t="s">
        <v>9856</v>
      </c>
      <c r="F1434" s="0">
        <v>1</v>
      </c>
      <c r="G1434" s="0" t="s">
        <v>508</v>
      </c>
      <c r="I1434" s="0" t="s">
        <v>1268</v>
      </c>
      <c r="J1434" s="0" t="s">
        <v>319</v>
      </c>
      <c r="K1434" s="0" t="s">
        <v>1997</v>
      </c>
      <c r="L1434" s="0" t="s">
        <v>1268</v>
      </c>
      <c r="P1434" s="0" t="s">
        <v>323</v>
      </c>
      <c r="Q1434" s="0" t="s">
        <v>1203</v>
      </c>
      <c r="R1434" s="0" t="s">
        <v>1612</v>
      </c>
      <c r="T1434" s="0" t="s">
        <v>9857</v>
      </c>
      <c r="W1434" s="0" t="s">
        <v>9696</v>
      </c>
      <c r="X1434" s="0" t="s">
        <v>529</v>
      </c>
      <c r="Y1434" s="0" t="s">
        <v>94</v>
      </c>
      <c r="Z1434" s="0" t="s">
        <v>1972</v>
      </c>
      <c r="AA1434" s="0" t="s">
        <v>93</v>
      </c>
      <c r="AB1434" s="0" t="s">
        <v>531</v>
      </c>
      <c r="AC1434" s="0" t="s">
        <v>571</v>
      </c>
      <c r="AE1434" s="0" t="s">
        <v>9258</v>
      </c>
      <c r="AF1434" s="0" t="s">
        <v>301</v>
      </c>
      <c r="AP1434" s="0" t="s">
        <v>305</v>
      </c>
      <c r="BA1434" s="0">
        <v>572</v>
      </c>
      <c r="BB1434" s="0" t="s">
        <v>232</v>
      </c>
      <c r="BC1434" s="0">
        <v>2</v>
      </c>
      <c r="BD1434" s="0">
        <v>8</v>
      </c>
      <c r="BE1434" s="0">
        <v>112779</v>
      </c>
      <c r="BF1434" s="0">
        <v>2</v>
      </c>
      <c r="BG1434" s="0" t="s">
        <v>9858</v>
      </c>
      <c r="BI1434" s="0">
        <v>2603</v>
      </c>
      <c r="BK1434" s="0" t="s">
        <v>9859</v>
      </c>
    </row>
    <row r="1435">
      <c r="A1435" s="0">
        <v>6213</v>
      </c>
      <c r="B1435" s="0" t="s">
        <v>9860</v>
      </c>
      <c r="C1435" s="0" t="s">
        <v>315</v>
      </c>
      <c r="D1435" s="0" t="s">
        <v>8986</v>
      </c>
      <c r="E1435" s="0" t="s">
        <v>9861</v>
      </c>
      <c r="F1435" s="0">
        <v>1</v>
      </c>
      <c r="G1435" s="0" t="s">
        <v>400</v>
      </c>
      <c r="H1435" s="0" t="s">
        <v>1190</v>
      </c>
      <c r="I1435" s="0" t="s">
        <v>3594</v>
      </c>
      <c r="J1435" s="0" t="s">
        <v>294</v>
      </c>
      <c r="L1435" s="0" t="s">
        <v>295</v>
      </c>
      <c r="P1435" s="0" t="s">
        <v>323</v>
      </c>
      <c r="Q1435" s="0" t="s">
        <v>323</v>
      </c>
      <c r="R1435" s="0" t="s">
        <v>8039</v>
      </c>
      <c r="T1435" s="0" t="s">
        <v>9862</v>
      </c>
      <c r="W1435" s="0" t="s">
        <v>9696</v>
      </c>
      <c r="X1435" s="0" t="s">
        <v>529</v>
      </c>
      <c r="Y1435" s="0" t="s">
        <v>94</v>
      </c>
      <c r="Z1435" s="0" t="s">
        <v>1972</v>
      </c>
      <c r="AA1435" s="0" t="s">
        <v>93</v>
      </c>
      <c r="AB1435" s="0" t="s">
        <v>531</v>
      </c>
      <c r="AC1435" s="0" t="s">
        <v>571</v>
      </c>
      <c r="AE1435" s="0" t="s">
        <v>9258</v>
      </c>
      <c r="AF1435" s="0" t="s">
        <v>301</v>
      </c>
      <c r="AP1435" s="0" t="s">
        <v>305</v>
      </c>
      <c r="BA1435" s="0">
        <v>572</v>
      </c>
      <c r="BB1435" s="0" t="s">
        <v>232</v>
      </c>
      <c r="BC1435" s="0">
        <v>2</v>
      </c>
      <c r="BD1435" s="0">
        <v>374043</v>
      </c>
      <c r="BE1435" s="0">
        <v>112779</v>
      </c>
      <c r="BF1435" s="0">
        <v>2</v>
      </c>
      <c r="BG1435" s="0" t="s">
        <v>9863</v>
      </c>
      <c r="BI1435" s="0">
        <v>2200</v>
      </c>
      <c r="BK1435" s="0" t="s">
        <v>9864</v>
      </c>
    </row>
    <row r="1436">
      <c r="A1436" s="0">
        <v>6212</v>
      </c>
      <c r="B1436" s="0" t="s">
        <v>9865</v>
      </c>
      <c r="C1436" s="0" t="s">
        <v>315</v>
      </c>
      <c r="D1436" s="0" t="s">
        <v>8986</v>
      </c>
      <c r="E1436" s="0" t="s">
        <v>9866</v>
      </c>
      <c r="F1436" s="0">
        <v>1</v>
      </c>
      <c r="G1436" s="0" t="s">
        <v>400</v>
      </c>
      <c r="H1436" s="0" t="s">
        <v>1190</v>
      </c>
      <c r="I1436" s="0" t="s">
        <v>3594</v>
      </c>
      <c r="J1436" s="0" t="s">
        <v>294</v>
      </c>
      <c r="L1436" s="0" t="s">
        <v>295</v>
      </c>
      <c r="P1436" s="0" t="s">
        <v>323</v>
      </c>
      <c r="Q1436" s="0" t="s">
        <v>323</v>
      </c>
      <c r="R1436" s="0" t="s">
        <v>9867</v>
      </c>
      <c r="T1436" s="0" t="s">
        <v>9862</v>
      </c>
      <c r="W1436" s="0" t="s">
        <v>9696</v>
      </c>
      <c r="X1436" s="0" t="s">
        <v>529</v>
      </c>
      <c r="Y1436" s="0" t="s">
        <v>94</v>
      </c>
      <c r="Z1436" s="0" t="s">
        <v>1972</v>
      </c>
      <c r="AA1436" s="0" t="s">
        <v>93</v>
      </c>
      <c r="AB1436" s="0" t="s">
        <v>531</v>
      </c>
      <c r="AC1436" s="0" t="s">
        <v>571</v>
      </c>
      <c r="AE1436" s="0" t="s">
        <v>9258</v>
      </c>
      <c r="AF1436" s="0" t="s">
        <v>301</v>
      </c>
      <c r="AP1436" s="0" t="s">
        <v>305</v>
      </c>
      <c r="BA1436" s="0">
        <v>572</v>
      </c>
      <c r="BB1436" s="0" t="s">
        <v>232</v>
      </c>
      <c r="BC1436" s="0">
        <v>2</v>
      </c>
      <c r="BD1436" s="0">
        <v>374043</v>
      </c>
      <c r="BE1436" s="0">
        <v>112779</v>
      </c>
      <c r="BF1436" s="0">
        <v>2</v>
      </c>
      <c r="BG1436" s="0" t="s">
        <v>9868</v>
      </c>
      <c r="BI1436" s="0">
        <v>1972</v>
      </c>
      <c r="BK1436" s="0" t="s">
        <v>9869</v>
      </c>
    </row>
    <row r="1437">
      <c r="A1437" s="0">
        <v>6214</v>
      </c>
      <c r="B1437" s="0" t="s">
        <v>8050</v>
      </c>
      <c r="C1437" s="0" t="s">
        <v>315</v>
      </c>
      <c r="D1437" s="0" t="s">
        <v>8986</v>
      </c>
      <c r="E1437" s="0" t="s">
        <v>8051</v>
      </c>
      <c r="F1437" s="0">
        <v>1</v>
      </c>
      <c r="G1437" s="0" t="s">
        <v>400</v>
      </c>
      <c r="H1437" s="0" t="s">
        <v>1190</v>
      </c>
      <c r="I1437" s="0" t="s">
        <v>3594</v>
      </c>
      <c r="J1437" s="0" t="s">
        <v>294</v>
      </c>
      <c r="L1437" s="0" t="s">
        <v>295</v>
      </c>
      <c r="T1437" s="0" t="s">
        <v>9862</v>
      </c>
      <c r="W1437" s="0" t="s">
        <v>9696</v>
      </c>
      <c r="X1437" s="0" t="s">
        <v>529</v>
      </c>
      <c r="Y1437" s="0" t="s">
        <v>94</v>
      </c>
      <c r="Z1437" s="0" t="s">
        <v>1972</v>
      </c>
      <c r="AA1437" s="0" t="s">
        <v>93</v>
      </c>
      <c r="AB1437" s="0" t="s">
        <v>531</v>
      </c>
      <c r="AC1437" s="0" t="s">
        <v>571</v>
      </c>
      <c r="AE1437" s="0" t="s">
        <v>9258</v>
      </c>
      <c r="AF1437" s="0" t="s">
        <v>301</v>
      </c>
      <c r="AP1437" s="0" t="s">
        <v>305</v>
      </c>
      <c r="BA1437" s="0">
        <v>572</v>
      </c>
      <c r="BB1437" s="0" t="s">
        <v>232</v>
      </c>
      <c r="BC1437" s="0">
        <v>2</v>
      </c>
      <c r="BD1437" s="0">
        <v>374043</v>
      </c>
      <c r="BE1437" s="0">
        <v>112779</v>
      </c>
      <c r="BF1437" s="0">
        <v>2</v>
      </c>
      <c r="BG1437" s="0" t="s">
        <v>9870</v>
      </c>
      <c r="BI1437" s="0">
        <v>2410</v>
      </c>
      <c r="BK1437" s="0" t="s">
        <v>9871</v>
      </c>
    </row>
    <row r="1438">
      <c r="A1438" s="0">
        <v>6209</v>
      </c>
      <c r="B1438" s="0" t="s">
        <v>8064</v>
      </c>
      <c r="C1438" s="0" t="s">
        <v>315</v>
      </c>
      <c r="D1438" s="0" t="s">
        <v>8986</v>
      </c>
      <c r="E1438" s="0" t="s">
        <v>8065</v>
      </c>
      <c r="F1438" s="0">
        <v>1</v>
      </c>
      <c r="G1438" s="0" t="s">
        <v>319</v>
      </c>
      <c r="H1438" s="0" t="s">
        <v>9872</v>
      </c>
      <c r="I1438" s="0" t="s">
        <v>8066</v>
      </c>
      <c r="J1438" s="0" t="s">
        <v>508</v>
      </c>
      <c r="L1438" s="0" t="s">
        <v>497</v>
      </c>
      <c r="M1438" s="0" t="s">
        <v>294</v>
      </c>
      <c r="O1438" s="0" t="s">
        <v>9873</v>
      </c>
      <c r="T1438" s="0" t="s">
        <v>9874</v>
      </c>
      <c r="W1438" s="0" t="s">
        <v>9696</v>
      </c>
      <c r="X1438" s="0" t="s">
        <v>529</v>
      </c>
      <c r="Y1438" s="0" t="s">
        <v>94</v>
      </c>
      <c r="Z1438" s="0" t="s">
        <v>1972</v>
      </c>
      <c r="AA1438" s="0" t="s">
        <v>93</v>
      </c>
      <c r="AB1438" s="0" t="s">
        <v>531</v>
      </c>
      <c r="AC1438" s="0" t="s">
        <v>571</v>
      </c>
      <c r="AE1438" s="0" t="s">
        <v>9258</v>
      </c>
      <c r="AF1438" s="0" t="s">
        <v>301</v>
      </c>
      <c r="AP1438" s="0" t="s">
        <v>305</v>
      </c>
      <c r="BA1438" s="0">
        <v>572</v>
      </c>
      <c r="BB1438" s="0" t="s">
        <v>232</v>
      </c>
      <c r="BC1438" s="0">
        <v>2</v>
      </c>
      <c r="BD1438" s="0">
        <v>374043</v>
      </c>
      <c r="BE1438" s="0">
        <v>112779</v>
      </c>
      <c r="BF1438" s="0">
        <v>2</v>
      </c>
      <c r="BG1438" s="0" t="s">
        <v>9875</v>
      </c>
      <c r="BI1438" s="0">
        <v>1160</v>
      </c>
      <c r="BK1438" s="0" t="s">
        <v>9876</v>
      </c>
    </row>
    <row r="1439">
      <c r="A1439" s="0">
        <v>6208</v>
      </c>
      <c r="B1439" s="0" t="s">
        <v>8072</v>
      </c>
      <c r="C1439" s="0" t="s">
        <v>579</v>
      </c>
      <c r="D1439" s="0" t="s">
        <v>8986</v>
      </c>
      <c r="E1439" s="0" t="s">
        <v>8074</v>
      </c>
      <c r="F1439" s="0">
        <v>1</v>
      </c>
      <c r="G1439" s="0" t="s">
        <v>581</v>
      </c>
      <c r="I1439" s="0" t="s">
        <v>2131</v>
      </c>
      <c r="J1439" s="0" t="s">
        <v>293</v>
      </c>
      <c r="K1439" s="0" t="s">
        <v>294</v>
      </c>
      <c r="L1439" s="0" t="s">
        <v>918</v>
      </c>
      <c r="T1439" s="0" t="s">
        <v>9877</v>
      </c>
      <c r="U1439" s="0" t="s">
        <v>9878</v>
      </c>
      <c r="W1439" s="0" t="s">
        <v>9696</v>
      </c>
      <c r="X1439" s="0" t="s">
        <v>529</v>
      </c>
      <c r="Y1439" s="0" t="s">
        <v>94</v>
      </c>
      <c r="Z1439" s="0" t="s">
        <v>1972</v>
      </c>
      <c r="AA1439" s="0" t="s">
        <v>93</v>
      </c>
      <c r="AB1439" s="0" t="s">
        <v>531</v>
      </c>
      <c r="AC1439" s="0" t="s">
        <v>571</v>
      </c>
      <c r="AE1439" s="0" t="s">
        <v>9258</v>
      </c>
      <c r="AF1439" s="0" t="s">
        <v>301</v>
      </c>
      <c r="AP1439" s="0" t="s">
        <v>305</v>
      </c>
      <c r="BA1439" s="0">
        <v>572</v>
      </c>
      <c r="BB1439" s="0" t="s">
        <v>232</v>
      </c>
      <c r="BC1439" s="0">
        <v>2</v>
      </c>
      <c r="BD1439" s="0">
        <v>374046</v>
      </c>
      <c r="BE1439" s="0">
        <v>112779</v>
      </c>
      <c r="BF1439" s="0">
        <v>2</v>
      </c>
      <c r="BG1439" s="0" t="s">
        <v>9879</v>
      </c>
      <c r="BI1439" s="0">
        <v>832</v>
      </c>
      <c r="BK1439" s="0" t="s">
        <v>9880</v>
      </c>
    </row>
    <row r="1440">
      <c r="A1440" s="0">
        <v>6206</v>
      </c>
      <c r="B1440" s="0" t="s">
        <v>8079</v>
      </c>
      <c r="C1440" s="0" t="s">
        <v>579</v>
      </c>
      <c r="D1440" s="0" t="s">
        <v>8986</v>
      </c>
      <c r="E1440" s="0" t="s">
        <v>8080</v>
      </c>
      <c r="F1440" s="0">
        <v>1</v>
      </c>
      <c r="G1440" s="0" t="s">
        <v>581</v>
      </c>
      <c r="I1440" s="0" t="s">
        <v>2131</v>
      </c>
      <c r="J1440" s="0" t="s">
        <v>294</v>
      </c>
      <c r="L1440" s="0" t="s">
        <v>918</v>
      </c>
      <c r="T1440" s="0" t="s">
        <v>9881</v>
      </c>
      <c r="U1440" s="0" t="s">
        <v>9882</v>
      </c>
      <c r="W1440" s="0" t="s">
        <v>9696</v>
      </c>
      <c r="X1440" s="0" t="s">
        <v>529</v>
      </c>
      <c r="Y1440" s="0" t="s">
        <v>94</v>
      </c>
      <c r="Z1440" s="0" t="s">
        <v>1972</v>
      </c>
      <c r="AA1440" s="0" t="s">
        <v>93</v>
      </c>
      <c r="AB1440" s="0" t="s">
        <v>531</v>
      </c>
      <c r="AC1440" s="0" t="s">
        <v>571</v>
      </c>
      <c r="AE1440" s="0" t="s">
        <v>9258</v>
      </c>
      <c r="AF1440" s="0" t="s">
        <v>301</v>
      </c>
      <c r="AP1440" s="0" t="s">
        <v>305</v>
      </c>
      <c r="BA1440" s="0">
        <v>572</v>
      </c>
      <c r="BB1440" s="0" t="s">
        <v>232</v>
      </c>
      <c r="BC1440" s="0">
        <v>2</v>
      </c>
      <c r="BD1440" s="0">
        <v>374046</v>
      </c>
      <c r="BE1440" s="0">
        <v>112779</v>
      </c>
      <c r="BF1440" s="0">
        <v>2</v>
      </c>
      <c r="BG1440" s="0" t="s">
        <v>9883</v>
      </c>
      <c r="BI1440" s="0">
        <v>442</v>
      </c>
      <c r="BK1440" s="0" t="s">
        <v>9884</v>
      </c>
    </row>
    <row r="1441">
      <c r="A1441" s="0">
        <v>6238</v>
      </c>
      <c r="B1441" s="0" t="s">
        <v>9885</v>
      </c>
      <c r="C1441" s="0" t="s">
        <v>9886</v>
      </c>
      <c r="D1441" s="0" t="s">
        <v>9887</v>
      </c>
      <c r="E1441" s="0" t="s">
        <v>9888</v>
      </c>
      <c r="F1441" s="0">
        <v>2</v>
      </c>
      <c r="G1441" s="0" t="s">
        <v>508</v>
      </c>
      <c r="J1441" s="0" t="s">
        <v>319</v>
      </c>
      <c r="K1441" s="0" t="s">
        <v>658</v>
      </c>
      <c r="L1441" s="0" t="s">
        <v>948</v>
      </c>
      <c r="P1441" s="0" t="s">
        <v>323</v>
      </c>
      <c r="Q1441" s="0" t="s">
        <v>4015</v>
      </c>
      <c r="R1441" s="0" t="s">
        <v>9889</v>
      </c>
      <c r="T1441" s="0" t="s">
        <v>9890</v>
      </c>
      <c r="U1441" s="0" t="s">
        <v>9891</v>
      </c>
      <c r="X1441" s="0" t="s">
        <v>347</v>
      </c>
      <c r="Y1441" s="0" t="s">
        <v>46</v>
      </c>
      <c r="Z1441" s="0" t="s">
        <v>8094</v>
      </c>
      <c r="AA1441" s="0" t="s">
        <v>225</v>
      </c>
      <c r="AE1441" s="0" t="s">
        <v>9892</v>
      </c>
      <c r="AF1441" s="0" t="s">
        <v>301</v>
      </c>
      <c r="AP1441" s="0" t="s">
        <v>305</v>
      </c>
      <c r="BA1441" s="0">
        <v>574</v>
      </c>
      <c r="BB1441" s="0" t="s">
        <v>232</v>
      </c>
      <c r="BC1441" s="0">
        <v>2</v>
      </c>
      <c r="BD1441" s="0">
        <v>374061</v>
      </c>
      <c r="BE1441" s="0">
        <v>413</v>
      </c>
      <c r="BF1441" s="0">
        <v>4</v>
      </c>
      <c r="BG1441" s="0" t="s">
        <v>9893</v>
      </c>
      <c r="BI1441" s="0">
        <v>847</v>
      </c>
      <c r="BK1441" s="0" t="s">
        <v>9894</v>
      </c>
    </row>
    <row r="1442">
      <c r="A1442" s="0">
        <v>6235</v>
      </c>
      <c r="B1442" s="0" t="s">
        <v>9895</v>
      </c>
      <c r="C1442" s="0" t="s">
        <v>9886</v>
      </c>
      <c r="D1442" s="0" t="s">
        <v>9887</v>
      </c>
      <c r="E1442" s="0" t="s">
        <v>9896</v>
      </c>
      <c r="F1442" s="0">
        <v>5</v>
      </c>
      <c r="G1442" s="0" t="s">
        <v>508</v>
      </c>
      <c r="J1442" s="0" t="s">
        <v>319</v>
      </c>
      <c r="K1442" s="0" t="s">
        <v>658</v>
      </c>
      <c r="L1442" s="0" t="s">
        <v>948</v>
      </c>
      <c r="P1442" s="0" t="s">
        <v>323</v>
      </c>
      <c r="Q1442" s="0" t="s">
        <v>4015</v>
      </c>
      <c r="R1442" s="0" t="s">
        <v>9889</v>
      </c>
      <c r="T1442" s="0" t="s">
        <v>9897</v>
      </c>
      <c r="U1442" s="0" t="s">
        <v>9898</v>
      </c>
      <c r="X1442" s="0" t="s">
        <v>347</v>
      </c>
      <c r="Y1442" s="0" t="s">
        <v>46</v>
      </c>
      <c r="Z1442" s="0" t="s">
        <v>8094</v>
      </c>
      <c r="AA1442" s="0" t="s">
        <v>225</v>
      </c>
      <c r="AE1442" s="0" t="s">
        <v>9892</v>
      </c>
      <c r="AF1442" s="0" t="s">
        <v>301</v>
      </c>
      <c r="AP1442" s="0" t="s">
        <v>305</v>
      </c>
      <c r="BA1442" s="0">
        <v>574</v>
      </c>
      <c r="BB1442" s="0" t="s">
        <v>232</v>
      </c>
      <c r="BC1442" s="0">
        <v>2</v>
      </c>
      <c r="BD1442" s="0">
        <v>374061</v>
      </c>
      <c r="BE1442" s="0">
        <v>413</v>
      </c>
      <c r="BF1442" s="0">
        <v>4</v>
      </c>
      <c r="BG1442" s="0" t="s">
        <v>9899</v>
      </c>
      <c r="BI1442" s="0">
        <v>458</v>
      </c>
      <c r="BK1442" s="0" t="s">
        <v>9900</v>
      </c>
    </row>
    <row r="1443">
      <c r="A1443" s="0">
        <v>6239</v>
      </c>
      <c r="B1443" s="0" t="s">
        <v>9901</v>
      </c>
      <c r="C1443" s="0" t="s">
        <v>4325</v>
      </c>
      <c r="D1443" s="0" t="s">
        <v>9887</v>
      </c>
      <c r="E1443" s="0" t="s">
        <v>9902</v>
      </c>
      <c r="F1443" s="0">
        <v>2</v>
      </c>
      <c r="G1443" s="0" t="s">
        <v>508</v>
      </c>
      <c r="J1443" s="0" t="s">
        <v>319</v>
      </c>
      <c r="K1443" s="0" t="s">
        <v>658</v>
      </c>
      <c r="L1443" s="0" t="s">
        <v>948</v>
      </c>
      <c r="P1443" s="0" t="s">
        <v>323</v>
      </c>
      <c r="Q1443" s="0" t="s">
        <v>4015</v>
      </c>
      <c r="R1443" s="0" t="s">
        <v>9889</v>
      </c>
      <c r="T1443" s="0" t="s">
        <v>9890</v>
      </c>
      <c r="U1443" s="0" t="s">
        <v>9903</v>
      </c>
      <c r="X1443" s="0" t="s">
        <v>298</v>
      </c>
      <c r="Y1443" s="0" t="s">
        <v>46</v>
      </c>
      <c r="Z1443" s="0" t="s">
        <v>8094</v>
      </c>
      <c r="AA1443" s="0" t="s">
        <v>225</v>
      </c>
      <c r="AE1443" s="0" t="s">
        <v>9892</v>
      </c>
      <c r="AF1443" s="0" t="s">
        <v>301</v>
      </c>
      <c r="AP1443" s="0" t="s">
        <v>305</v>
      </c>
      <c r="BA1443" s="0">
        <v>574</v>
      </c>
      <c r="BB1443" s="0" t="s">
        <v>232</v>
      </c>
      <c r="BC1443" s="0">
        <v>2</v>
      </c>
      <c r="BD1443" s="0">
        <v>374056</v>
      </c>
      <c r="BE1443" s="0">
        <v>413</v>
      </c>
      <c r="BF1443" s="0">
        <v>5</v>
      </c>
      <c r="BG1443" s="0" t="s">
        <v>9904</v>
      </c>
      <c r="BI1443" s="0">
        <v>1174</v>
      </c>
      <c r="BK1443" s="0" t="s">
        <v>9905</v>
      </c>
    </row>
    <row r="1444">
      <c r="A1444" s="0">
        <v>6240</v>
      </c>
      <c r="B1444" s="0" t="s">
        <v>9906</v>
      </c>
      <c r="C1444" s="0" t="s">
        <v>4325</v>
      </c>
      <c r="D1444" s="0" t="s">
        <v>9887</v>
      </c>
      <c r="E1444" s="0" t="s">
        <v>9907</v>
      </c>
      <c r="F1444" s="0">
        <v>3</v>
      </c>
      <c r="G1444" s="0" t="s">
        <v>508</v>
      </c>
      <c r="J1444" s="0" t="s">
        <v>319</v>
      </c>
      <c r="K1444" s="0" t="s">
        <v>658</v>
      </c>
      <c r="L1444" s="0" t="s">
        <v>948</v>
      </c>
      <c r="M1444" s="0" t="s">
        <v>2487</v>
      </c>
      <c r="O1444" s="0" t="s">
        <v>6181</v>
      </c>
      <c r="T1444" s="0" t="s">
        <v>9908</v>
      </c>
      <c r="U1444" s="0" t="s">
        <v>9909</v>
      </c>
      <c r="X1444" s="0" t="s">
        <v>298</v>
      </c>
      <c r="Y1444" s="0" t="s">
        <v>46</v>
      </c>
      <c r="Z1444" s="0" t="s">
        <v>8094</v>
      </c>
      <c r="AA1444" s="0" t="s">
        <v>225</v>
      </c>
      <c r="AE1444" s="0" t="s">
        <v>9892</v>
      </c>
      <c r="AF1444" s="0" t="s">
        <v>301</v>
      </c>
      <c r="AP1444" s="0" t="s">
        <v>305</v>
      </c>
      <c r="BA1444" s="0">
        <v>574</v>
      </c>
      <c r="BB1444" s="0" t="s">
        <v>232</v>
      </c>
      <c r="BC1444" s="0">
        <v>2</v>
      </c>
      <c r="BD1444" s="0">
        <v>374056</v>
      </c>
      <c r="BE1444" s="0">
        <v>413</v>
      </c>
      <c r="BF1444" s="0">
        <v>5</v>
      </c>
      <c r="BG1444" s="0" t="s">
        <v>9910</v>
      </c>
      <c r="BI1444" s="0">
        <v>1471</v>
      </c>
      <c r="BK1444" s="0" t="s">
        <v>9911</v>
      </c>
    </row>
    <row r="1445">
      <c r="A1445" s="0">
        <v>6241</v>
      </c>
      <c r="B1445" s="0" t="s">
        <v>9912</v>
      </c>
      <c r="C1445" s="0" t="s">
        <v>4325</v>
      </c>
      <c r="D1445" s="0" t="s">
        <v>9887</v>
      </c>
      <c r="E1445" s="0" t="s">
        <v>9913</v>
      </c>
      <c r="F1445" s="0">
        <v>3</v>
      </c>
      <c r="G1445" s="0" t="s">
        <v>508</v>
      </c>
      <c r="J1445" s="0" t="s">
        <v>319</v>
      </c>
      <c r="K1445" s="0" t="s">
        <v>658</v>
      </c>
      <c r="L1445" s="0" t="s">
        <v>948</v>
      </c>
      <c r="P1445" s="0" t="s">
        <v>323</v>
      </c>
      <c r="Q1445" s="0" t="s">
        <v>343</v>
      </c>
      <c r="R1445" s="0" t="s">
        <v>9889</v>
      </c>
      <c r="T1445" s="0" t="s">
        <v>9914</v>
      </c>
      <c r="U1445" s="0" t="s">
        <v>9915</v>
      </c>
      <c r="X1445" s="0" t="s">
        <v>298</v>
      </c>
      <c r="Y1445" s="0" t="s">
        <v>46</v>
      </c>
      <c r="Z1445" s="0" t="s">
        <v>8094</v>
      </c>
      <c r="AA1445" s="0" t="s">
        <v>225</v>
      </c>
      <c r="AE1445" s="0" t="s">
        <v>9892</v>
      </c>
      <c r="AF1445" s="0" t="s">
        <v>301</v>
      </c>
      <c r="AP1445" s="0" t="s">
        <v>305</v>
      </c>
      <c r="BA1445" s="0">
        <v>574</v>
      </c>
      <c r="BB1445" s="0" t="s">
        <v>232</v>
      </c>
      <c r="BC1445" s="0">
        <v>2</v>
      </c>
      <c r="BD1445" s="0">
        <v>374056</v>
      </c>
      <c r="BE1445" s="0">
        <v>413</v>
      </c>
      <c r="BF1445" s="0">
        <v>5</v>
      </c>
      <c r="BG1445" s="0" t="s">
        <v>9916</v>
      </c>
      <c r="BI1445" s="0">
        <v>1737</v>
      </c>
      <c r="BK1445" s="0" t="s">
        <v>9917</v>
      </c>
    </row>
    <row r="1446">
      <c r="A1446" s="0">
        <v>6243</v>
      </c>
      <c r="B1446" s="0" t="s">
        <v>9918</v>
      </c>
      <c r="C1446" s="0" t="s">
        <v>4325</v>
      </c>
      <c r="D1446" s="0" t="s">
        <v>9887</v>
      </c>
      <c r="E1446" s="0" t="s">
        <v>9919</v>
      </c>
      <c r="F1446" s="0">
        <v>2</v>
      </c>
      <c r="G1446" s="0" t="s">
        <v>508</v>
      </c>
      <c r="J1446" s="0" t="s">
        <v>319</v>
      </c>
      <c r="K1446" s="0" t="s">
        <v>658</v>
      </c>
      <c r="L1446" s="0" t="s">
        <v>948</v>
      </c>
      <c r="P1446" s="0" t="s">
        <v>323</v>
      </c>
      <c r="Q1446" s="0" t="s">
        <v>4015</v>
      </c>
      <c r="R1446" s="0" t="s">
        <v>9889</v>
      </c>
      <c r="T1446" s="0" t="s">
        <v>9890</v>
      </c>
      <c r="U1446" s="0" t="s">
        <v>9920</v>
      </c>
      <c r="X1446" s="0" t="s">
        <v>298</v>
      </c>
      <c r="Y1446" s="0" t="s">
        <v>46</v>
      </c>
      <c r="Z1446" s="0" t="s">
        <v>8094</v>
      </c>
      <c r="AA1446" s="0" t="s">
        <v>225</v>
      </c>
      <c r="AE1446" s="0" t="s">
        <v>9892</v>
      </c>
      <c r="AF1446" s="0" t="s">
        <v>301</v>
      </c>
      <c r="AP1446" s="0" t="s">
        <v>305</v>
      </c>
      <c r="BA1446" s="0">
        <v>574</v>
      </c>
      <c r="BB1446" s="0" t="s">
        <v>232</v>
      </c>
      <c r="BC1446" s="0">
        <v>2</v>
      </c>
      <c r="BD1446" s="0">
        <v>374056</v>
      </c>
      <c r="BE1446" s="0">
        <v>413</v>
      </c>
      <c r="BF1446" s="0">
        <v>5</v>
      </c>
      <c r="BG1446" s="0" t="s">
        <v>9921</v>
      </c>
      <c r="BI1446" s="0">
        <v>2205</v>
      </c>
      <c r="BK1446" s="0" t="s">
        <v>9922</v>
      </c>
    </row>
    <row r="1447">
      <c r="A1447" s="0">
        <v>6242</v>
      </c>
      <c r="B1447" s="0" t="s">
        <v>9923</v>
      </c>
      <c r="C1447" s="0" t="s">
        <v>4325</v>
      </c>
      <c r="D1447" s="0" t="s">
        <v>9887</v>
      </c>
      <c r="E1447" s="0" t="s">
        <v>9924</v>
      </c>
      <c r="F1447" s="0">
        <v>5</v>
      </c>
      <c r="G1447" s="0" t="s">
        <v>508</v>
      </c>
      <c r="J1447" s="0" t="s">
        <v>319</v>
      </c>
      <c r="K1447" s="0" t="s">
        <v>658</v>
      </c>
      <c r="L1447" s="0" t="s">
        <v>948</v>
      </c>
      <c r="P1447" s="0" t="s">
        <v>323</v>
      </c>
      <c r="Q1447" s="0" t="s">
        <v>4015</v>
      </c>
      <c r="R1447" s="0" t="s">
        <v>9925</v>
      </c>
      <c r="T1447" s="0" t="s">
        <v>9926</v>
      </c>
      <c r="U1447" s="0" t="s">
        <v>9927</v>
      </c>
      <c r="X1447" s="0" t="s">
        <v>298</v>
      </c>
      <c r="Y1447" s="0" t="s">
        <v>46</v>
      </c>
      <c r="Z1447" s="0" t="s">
        <v>8094</v>
      </c>
      <c r="AA1447" s="0" t="s">
        <v>225</v>
      </c>
      <c r="AE1447" s="0" t="s">
        <v>9892</v>
      </c>
      <c r="AF1447" s="0" t="s">
        <v>301</v>
      </c>
      <c r="AP1447" s="0" t="s">
        <v>305</v>
      </c>
      <c r="BA1447" s="0">
        <v>574</v>
      </c>
      <c r="BB1447" s="0" t="s">
        <v>232</v>
      </c>
      <c r="BC1447" s="0">
        <v>2</v>
      </c>
      <c r="BD1447" s="0">
        <v>374056</v>
      </c>
      <c r="BE1447" s="0">
        <v>413</v>
      </c>
      <c r="BF1447" s="0">
        <v>5</v>
      </c>
      <c r="BG1447" s="0" t="s">
        <v>9928</v>
      </c>
      <c r="BI1447" s="0">
        <v>1978</v>
      </c>
      <c r="BK1447" s="0" t="s">
        <v>9929</v>
      </c>
    </row>
    <row r="1448">
      <c r="A1448" s="0">
        <v>6244</v>
      </c>
      <c r="B1448" s="0" t="s">
        <v>9930</v>
      </c>
      <c r="C1448" s="0" t="s">
        <v>4325</v>
      </c>
      <c r="D1448" s="0" t="s">
        <v>9887</v>
      </c>
      <c r="E1448" s="0" t="s">
        <v>9931</v>
      </c>
      <c r="F1448" s="0">
        <v>2</v>
      </c>
      <c r="G1448" s="0" t="s">
        <v>508</v>
      </c>
      <c r="J1448" s="0" t="s">
        <v>319</v>
      </c>
      <c r="K1448" s="0" t="s">
        <v>658</v>
      </c>
      <c r="L1448" s="0" t="s">
        <v>948</v>
      </c>
      <c r="T1448" s="0" t="s">
        <v>9890</v>
      </c>
      <c r="U1448" s="0" t="s">
        <v>9932</v>
      </c>
      <c r="X1448" s="0" t="s">
        <v>298</v>
      </c>
      <c r="Y1448" s="0" t="s">
        <v>46</v>
      </c>
      <c r="Z1448" s="0" t="s">
        <v>8094</v>
      </c>
      <c r="AA1448" s="0" t="s">
        <v>225</v>
      </c>
      <c r="AE1448" s="0" t="s">
        <v>9892</v>
      </c>
      <c r="AF1448" s="0" t="s">
        <v>301</v>
      </c>
      <c r="AP1448" s="0" t="s">
        <v>305</v>
      </c>
      <c r="BA1448" s="0">
        <v>574</v>
      </c>
      <c r="BB1448" s="0" t="s">
        <v>232</v>
      </c>
      <c r="BC1448" s="0">
        <v>2</v>
      </c>
      <c r="BD1448" s="0">
        <v>374056</v>
      </c>
      <c r="BE1448" s="0">
        <v>413</v>
      </c>
      <c r="BF1448" s="0">
        <v>5</v>
      </c>
      <c r="BG1448" s="0" t="s">
        <v>9933</v>
      </c>
      <c r="BI1448" s="0">
        <v>2412</v>
      </c>
      <c r="BK1448" s="0" t="s">
        <v>9934</v>
      </c>
    </row>
    <row r="1449">
      <c r="A1449" s="0">
        <v>6236</v>
      </c>
      <c r="B1449" s="0" t="s">
        <v>9935</v>
      </c>
      <c r="C1449" s="0" t="s">
        <v>9886</v>
      </c>
      <c r="D1449" s="0" t="s">
        <v>9887</v>
      </c>
      <c r="E1449" s="0" t="s">
        <v>9936</v>
      </c>
      <c r="F1449" s="0">
        <v>2</v>
      </c>
      <c r="G1449" s="0" t="s">
        <v>508</v>
      </c>
      <c r="J1449" s="0" t="s">
        <v>319</v>
      </c>
      <c r="K1449" s="0" t="s">
        <v>658</v>
      </c>
      <c r="L1449" s="0" t="s">
        <v>948</v>
      </c>
      <c r="M1449" s="0" t="s">
        <v>2487</v>
      </c>
      <c r="O1449" s="0" t="s">
        <v>1683</v>
      </c>
      <c r="T1449" s="0" t="s">
        <v>9937</v>
      </c>
      <c r="U1449" s="0" t="s">
        <v>9938</v>
      </c>
      <c r="X1449" s="0" t="s">
        <v>347</v>
      </c>
      <c r="Y1449" s="0" t="s">
        <v>46</v>
      </c>
      <c r="Z1449" s="0" t="s">
        <v>8094</v>
      </c>
      <c r="AA1449" s="0" t="s">
        <v>225</v>
      </c>
      <c r="AE1449" s="0" t="s">
        <v>9892</v>
      </c>
      <c r="AF1449" s="0" t="s">
        <v>301</v>
      </c>
      <c r="AP1449" s="0" t="s">
        <v>305</v>
      </c>
      <c r="BA1449" s="0">
        <v>574</v>
      </c>
      <c r="BB1449" s="0" t="s">
        <v>232</v>
      </c>
      <c r="BC1449" s="0">
        <v>2</v>
      </c>
      <c r="BD1449" s="0">
        <v>374061</v>
      </c>
      <c r="BE1449" s="0">
        <v>413</v>
      </c>
      <c r="BF1449" s="0">
        <v>4</v>
      </c>
      <c r="BG1449" s="0" t="s">
        <v>9939</v>
      </c>
      <c r="BI1449" s="0">
        <v>2607</v>
      </c>
      <c r="BK1449" s="0" t="s">
        <v>9940</v>
      </c>
    </row>
    <row r="1450">
      <c r="A1450" s="0">
        <v>6245</v>
      </c>
      <c r="B1450" s="0" t="s">
        <v>9941</v>
      </c>
      <c r="C1450" s="0" t="s">
        <v>9886</v>
      </c>
      <c r="D1450" s="0" t="s">
        <v>9887</v>
      </c>
      <c r="E1450" s="0" t="s">
        <v>9942</v>
      </c>
      <c r="F1450" s="0">
        <v>7</v>
      </c>
      <c r="G1450" s="0" t="s">
        <v>400</v>
      </c>
      <c r="J1450" s="0" t="s">
        <v>319</v>
      </c>
      <c r="K1450" s="0" t="s">
        <v>1745</v>
      </c>
      <c r="L1450" s="0" t="s">
        <v>948</v>
      </c>
      <c r="P1450" s="0" t="s">
        <v>343</v>
      </c>
      <c r="Q1450" s="0" t="s">
        <v>343</v>
      </c>
      <c r="T1450" s="0" t="s">
        <v>9943</v>
      </c>
      <c r="U1450" s="0" t="s">
        <v>9944</v>
      </c>
      <c r="X1450" s="0" t="s">
        <v>347</v>
      </c>
      <c r="Y1450" s="0" t="s">
        <v>46</v>
      </c>
      <c r="Z1450" s="0" t="s">
        <v>8094</v>
      </c>
      <c r="AA1450" s="0" t="s">
        <v>225</v>
      </c>
      <c r="AE1450" s="0" t="s">
        <v>9892</v>
      </c>
      <c r="AF1450" s="0" t="s">
        <v>301</v>
      </c>
      <c r="AP1450" s="0" t="s">
        <v>305</v>
      </c>
      <c r="BA1450" s="0">
        <v>574</v>
      </c>
      <c r="BB1450" s="0" t="s">
        <v>232</v>
      </c>
      <c r="BC1450" s="0">
        <v>2</v>
      </c>
      <c r="BD1450" s="0">
        <v>374061</v>
      </c>
      <c r="BE1450" s="0">
        <v>413</v>
      </c>
      <c r="BF1450" s="0">
        <v>4</v>
      </c>
      <c r="BG1450" s="0" t="s">
        <v>9945</v>
      </c>
      <c r="BI1450" s="0">
        <v>2783</v>
      </c>
      <c r="BK1450" s="0" t="s">
        <v>9946</v>
      </c>
    </row>
    <row r="1451">
      <c r="A1451" s="0">
        <v>6237</v>
      </c>
      <c r="B1451" s="0" t="s">
        <v>9947</v>
      </c>
      <c r="C1451" s="0" t="s">
        <v>8139</v>
      </c>
      <c r="D1451" s="0" t="s">
        <v>9887</v>
      </c>
      <c r="E1451" s="0" t="s">
        <v>9948</v>
      </c>
      <c r="F1451" s="0">
        <v>1</v>
      </c>
      <c r="G1451" s="0" t="s">
        <v>400</v>
      </c>
      <c r="J1451" s="0" t="s">
        <v>319</v>
      </c>
      <c r="K1451" s="0" t="s">
        <v>1745</v>
      </c>
      <c r="L1451" s="0" t="s">
        <v>9949</v>
      </c>
      <c r="P1451" s="0" t="s">
        <v>323</v>
      </c>
      <c r="Q1451" s="0" t="s">
        <v>323</v>
      </c>
      <c r="R1451" s="0" t="s">
        <v>9950</v>
      </c>
      <c r="T1451" s="0" t="s">
        <v>9951</v>
      </c>
      <c r="U1451" s="0" t="s">
        <v>9952</v>
      </c>
      <c r="X1451" s="0" t="s">
        <v>298</v>
      </c>
      <c r="Y1451" s="0" t="s">
        <v>46</v>
      </c>
      <c r="Z1451" s="0" t="s">
        <v>8094</v>
      </c>
      <c r="AA1451" s="0" t="s">
        <v>225</v>
      </c>
      <c r="AE1451" s="0" t="s">
        <v>9892</v>
      </c>
      <c r="AF1451" s="0" t="s">
        <v>301</v>
      </c>
      <c r="AM1451" s="0" t="s">
        <v>9953</v>
      </c>
      <c r="AN1451" s="0" t="s">
        <v>9954</v>
      </c>
      <c r="AO1451" s="0" t="s">
        <v>9955</v>
      </c>
      <c r="AP1451" s="0" t="s">
        <v>305</v>
      </c>
      <c r="AQ1451" s="0" t="s">
        <v>5672</v>
      </c>
      <c r="AR1451" s="0" t="s">
        <v>817</v>
      </c>
      <c r="AS1451" s="0">
        <v>33</v>
      </c>
      <c r="AT1451" s="0">
        <v>70</v>
      </c>
      <c r="AU1451" s="0">
        <v>90</v>
      </c>
      <c r="AV1451" s="0" t="s">
        <v>1850</v>
      </c>
      <c r="AW1451" s="0" t="s">
        <v>332</v>
      </c>
      <c r="AX1451" s="0" t="s">
        <v>650</v>
      </c>
      <c r="AY1451" s="0" t="s">
        <v>650</v>
      </c>
      <c r="AZ1451" s="0" t="s">
        <v>460</v>
      </c>
      <c r="BA1451" s="0">
        <v>574</v>
      </c>
      <c r="BB1451" s="0" t="s">
        <v>232</v>
      </c>
      <c r="BC1451" s="0">
        <v>2</v>
      </c>
      <c r="BD1451" s="0">
        <v>374088</v>
      </c>
      <c r="BE1451" s="0">
        <v>413</v>
      </c>
      <c r="BF1451" s="0">
        <v>5</v>
      </c>
      <c r="BG1451" s="0" t="s">
        <v>9956</v>
      </c>
      <c r="BI1451" s="0">
        <v>2952</v>
      </c>
      <c r="BK1451" s="0" t="s">
        <v>9957</v>
      </c>
    </row>
    <row r="1452">
      <c r="A1452" s="0">
        <v>6246</v>
      </c>
      <c r="B1452" s="0" t="s">
        <v>9958</v>
      </c>
      <c r="E1452" s="0" t="s">
        <v>9774</v>
      </c>
      <c r="F1452" s="0">
        <v>2</v>
      </c>
      <c r="G1452" s="0" t="s">
        <v>319</v>
      </c>
      <c r="H1452" s="0" t="s">
        <v>523</v>
      </c>
      <c r="I1452" s="0" t="s">
        <v>1268</v>
      </c>
      <c r="J1452" s="0" t="s">
        <v>400</v>
      </c>
      <c r="L1452" s="0" t="s">
        <v>469</v>
      </c>
      <c r="P1452" s="0" t="s">
        <v>323</v>
      </c>
      <c r="Q1452" s="0" t="s">
        <v>343</v>
      </c>
      <c r="R1452" s="0" t="s">
        <v>1783</v>
      </c>
      <c r="T1452" s="0" t="s">
        <v>9959</v>
      </c>
      <c r="X1452" s="0" t="s">
        <v>1116</v>
      </c>
      <c r="Y1452" s="0" t="s">
        <v>46</v>
      </c>
      <c r="Z1452" s="0" t="s">
        <v>8094</v>
      </c>
      <c r="AA1452" s="0" t="s">
        <v>225</v>
      </c>
      <c r="AE1452" s="0" t="s">
        <v>9892</v>
      </c>
      <c r="AF1452" s="0" t="s">
        <v>301</v>
      </c>
      <c r="AP1452" s="0" t="s">
        <v>305</v>
      </c>
      <c r="BA1452" s="0">
        <v>574</v>
      </c>
      <c r="BB1452" s="0" t="s">
        <v>232</v>
      </c>
      <c r="BC1452" s="0">
        <v>2</v>
      </c>
      <c r="BE1452" s="0">
        <v>413</v>
      </c>
      <c r="BF1452" s="0">
        <v>1</v>
      </c>
      <c r="BG1452" s="0" t="s">
        <v>9960</v>
      </c>
      <c r="BI1452" s="0">
        <v>2960</v>
      </c>
      <c r="BK1452" s="0" t="s">
        <v>9961</v>
      </c>
    </row>
    <row r="1453">
      <c r="A1453" s="0">
        <v>6247</v>
      </c>
      <c r="B1453" s="0" t="s">
        <v>9962</v>
      </c>
      <c r="E1453" s="0" t="s">
        <v>8158</v>
      </c>
      <c r="F1453" s="0">
        <v>2</v>
      </c>
      <c r="G1453" s="0" t="s">
        <v>319</v>
      </c>
      <c r="H1453" s="0" t="s">
        <v>523</v>
      </c>
      <c r="I1453" s="0" t="s">
        <v>1268</v>
      </c>
      <c r="J1453" s="0" t="s">
        <v>400</v>
      </c>
      <c r="L1453" s="0" t="s">
        <v>469</v>
      </c>
      <c r="P1453" s="0" t="s">
        <v>343</v>
      </c>
      <c r="Q1453" s="0" t="s">
        <v>343</v>
      </c>
      <c r="T1453" s="0" t="s">
        <v>9959</v>
      </c>
      <c r="X1453" s="0" t="s">
        <v>1116</v>
      </c>
      <c r="Y1453" s="0" t="s">
        <v>46</v>
      </c>
      <c r="Z1453" s="0" t="s">
        <v>8094</v>
      </c>
      <c r="AA1453" s="0" t="s">
        <v>225</v>
      </c>
      <c r="AE1453" s="0" t="s">
        <v>9892</v>
      </c>
      <c r="AF1453" s="0" t="s">
        <v>301</v>
      </c>
      <c r="AP1453" s="0" t="s">
        <v>305</v>
      </c>
      <c r="BA1453" s="0">
        <v>574</v>
      </c>
      <c r="BB1453" s="0" t="s">
        <v>232</v>
      </c>
      <c r="BC1453" s="0">
        <v>2</v>
      </c>
      <c r="BE1453" s="0">
        <v>413</v>
      </c>
      <c r="BF1453" s="0">
        <v>1</v>
      </c>
      <c r="BG1453" s="0" t="s">
        <v>9963</v>
      </c>
      <c r="BI1453" s="0">
        <v>3127</v>
      </c>
      <c r="BK1453" s="0" t="s">
        <v>9964</v>
      </c>
    </row>
    <row r="1454">
      <c r="A1454" s="0">
        <v>6248</v>
      </c>
      <c r="B1454" s="0" t="s">
        <v>9965</v>
      </c>
      <c r="E1454" s="0" t="s">
        <v>8736</v>
      </c>
      <c r="F1454" s="0">
        <v>2</v>
      </c>
      <c r="G1454" s="0" t="s">
        <v>319</v>
      </c>
      <c r="H1454" s="0" t="s">
        <v>523</v>
      </c>
      <c r="I1454" s="0" t="s">
        <v>1268</v>
      </c>
      <c r="J1454" s="0" t="s">
        <v>400</v>
      </c>
      <c r="L1454" s="0" t="s">
        <v>469</v>
      </c>
      <c r="P1454" s="0" t="s">
        <v>343</v>
      </c>
      <c r="Q1454" s="0" t="s">
        <v>343</v>
      </c>
      <c r="T1454" s="0" t="s">
        <v>9959</v>
      </c>
      <c r="X1454" s="0" t="s">
        <v>1116</v>
      </c>
      <c r="Y1454" s="0" t="s">
        <v>46</v>
      </c>
      <c r="Z1454" s="0" t="s">
        <v>8094</v>
      </c>
      <c r="AA1454" s="0" t="s">
        <v>225</v>
      </c>
      <c r="AE1454" s="0" t="s">
        <v>9892</v>
      </c>
      <c r="AF1454" s="0" t="s">
        <v>301</v>
      </c>
      <c r="AP1454" s="0" t="s">
        <v>305</v>
      </c>
      <c r="BA1454" s="0">
        <v>574</v>
      </c>
      <c r="BB1454" s="0" t="s">
        <v>232</v>
      </c>
      <c r="BC1454" s="0">
        <v>2</v>
      </c>
      <c r="BE1454" s="0">
        <v>413</v>
      </c>
      <c r="BF1454" s="0">
        <v>1</v>
      </c>
      <c r="BG1454" s="0" t="s">
        <v>9966</v>
      </c>
      <c r="BI1454" s="0">
        <v>3277</v>
      </c>
      <c r="BK1454" s="0" t="s">
        <v>9967</v>
      </c>
    </row>
    <row r="1455">
      <c r="A1455" s="0">
        <v>6249</v>
      </c>
      <c r="B1455" s="0" t="s">
        <v>9968</v>
      </c>
      <c r="E1455" s="0" t="s">
        <v>9969</v>
      </c>
      <c r="F1455" s="0">
        <v>1</v>
      </c>
      <c r="G1455" s="0" t="s">
        <v>400</v>
      </c>
      <c r="J1455" s="0" t="s">
        <v>319</v>
      </c>
      <c r="K1455" s="0" t="s">
        <v>398</v>
      </c>
      <c r="L1455" s="0" t="s">
        <v>948</v>
      </c>
      <c r="P1455" s="0" t="s">
        <v>323</v>
      </c>
      <c r="Q1455" s="0" t="s">
        <v>323</v>
      </c>
      <c r="R1455" s="0" t="s">
        <v>2103</v>
      </c>
      <c r="T1455" s="0" t="s">
        <v>9970</v>
      </c>
      <c r="X1455" s="0" t="s">
        <v>1116</v>
      </c>
      <c r="Y1455" s="0" t="s">
        <v>46</v>
      </c>
      <c r="Z1455" s="0" t="s">
        <v>8094</v>
      </c>
      <c r="AA1455" s="0" t="s">
        <v>225</v>
      </c>
      <c r="AE1455" s="0" t="s">
        <v>9892</v>
      </c>
      <c r="AF1455" s="0" t="s">
        <v>301</v>
      </c>
      <c r="AP1455" s="0" t="s">
        <v>305</v>
      </c>
      <c r="BA1455" s="0">
        <v>574</v>
      </c>
      <c r="BB1455" s="0" t="s">
        <v>232</v>
      </c>
      <c r="BC1455" s="0">
        <v>2</v>
      </c>
      <c r="BE1455" s="0">
        <v>413</v>
      </c>
      <c r="BF1455" s="0">
        <v>1</v>
      </c>
      <c r="BG1455" s="0" t="s">
        <v>9971</v>
      </c>
      <c r="BI1455" s="0">
        <v>3410</v>
      </c>
      <c r="BK1455" s="0" t="s">
        <v>9972</v>
      </c>
    </row>
    <row r="1456">
      <c r="A1456" s="0">
        <v>6251</v>
      </c>
      <c r="B1456" s="0" t="s">
        <v>9973</v>
      </c>
      <c r="C1456" s="0" t="s">
        <v>339</v>
      </c>
      <c r="D1456" s="0" t="s">
        <v>9974</v>
      </c>
      <c r="E1456" s="0" t="s">
        <v>9975</v>
      </c>
      <c r="F1456" s="0">
        <v>1</v>
      </c>
      <c r="G1456" s="0" t="s">
        <v>319</v>
      </c>
      <c r="H1456" s="0" t="s">
        <v>3121</v>
      </c>
      <c r="I1456" s="0" t="s">
        <v>1284</v>
      </c>
      <c r="J1456" s="0" t="s">
        <v>508</v>
      </c>
      <c r="K1456" s="0" t="s">
        <v>1190</v>
      </c>
      <c r="L1456" s="0" t="s">
        <v>3204</v>
      </c>
      <c r="M1456" s="0" t="s">
        <v>293</v>
      </c>
      <c r="N1456" s="0" t="s">
        <v>294</v>
      </c>
      <c r="O1456" s="0" t="s">
        <v>295</v>
      </c>
      <c r="P1456" s="0" t="s">
        <v>1667</v>
      </c>
      <c r="Q1456" s="0" t="s">
        <v>1686</v>
      </c>
      <c r="R1456" s="0" t="s">
        <v>9976</v>
      </c>
      <c r="T1456" s="0" t="s">
        <v>9977</v>
      </c>
      <c r="U1456" s="0" t="s">
        <v>9978</v>
      </c>
      <c r="W1456" s="0" t="s">
        <v>9979</v>
      </c>
      <c r="X1456" s="0" t="s">
        <v>347</v>
      </c>
      <c r="Y1456" s="0" t="s">
        <v>85</v>
      </c>
      <c r="Z1456" s="0" t="s">
        <v>5483</v>
      </c>
      <c r="AA1456" s="0" t="s">
        <v>84</v>
      </c>
      <c r="AB1456" s="0" t="s">
        <v>3740</v>
      </c>
      <c r="AF1456" s="0" t="s">
        <v>301</v>
      </c>
      <c r="AP1456" s="0" t="s">
        <v>305</v>
      </c>
      <c r="BA1456" s="0">
        <v>575</v>
      </c>
      <c r="BB1456" s="0" t="s">
        <v>232</v>
      </c>
      <c r="BC1456" s="0">
        <v>2</v>
      </c>
      <c r="BD1456" s="0">
        <v>8</v>
      </c>
      <c r="BE1456" s="0">
        <v>416794</v>
      </c>
      <c r="BF1456" s="0">
        <v>4</v>
      </c>
      <c r="BG1456" s="0" t="s">
        <v>9980</v>
      </c>
      <c r="BI1456" s="0">
        <v>837</v>
      </c>
      <c r="BK1456" s="0" t="s">
        <v>9981</v>
      </c>
    </row>
    <row r="1457">
      <c r="A1457" s="0">
        <v>6253</v>
      </c>
      <c r="B1457" s="0" t="s">
        <v>9982</v>
      </c>
      <c r="C1457" s="0" t="s">
        <v>315</v>
      </c>
      <c r="D1457" s="0" t="s">
        <v>9979</v>
      </c>
      <c r="E1457" s="0" t="s">
        <v>9983</v>
      </c>
      <c r="F1457" s="0">
        <v>1</v>
      </c>
      <c r="G1457" s="0" t="s">
        <v>319</v>
      </c>
      <c r="H1457" s="0" t="s">
        <v>9984</v>
      </c>
      <c r="I1457" s="0" t="s">
        <v>321</v>
      </c>
      <c r="J1457" s="0" t="s">
        <v>400</v>
      </c>
      <c r="K1457" s="0" t="s">
        <v>1190</v>
      </c>
      <c r="L1457" s="0" t="s">
        <v>660</v>
      </c>
      <c r="M1457" s="0" t="s">
        <v>293</v>
      </c>
      <c r="N1457" s="0" t="s">
        <v>294</v>
      </c>
      <c r="O1457" s="0" t="s">
        <v>2033</v>
      </c>
      <c r="P1457" s="0" t="s">
        <v>1667</v>
      </c>
      <c r="Q1457" s="0" t="s">
        <v>1686</v>
      </c>
      <c r="R1457" s="0" t="s">
        <v>324</v>
      </c>
      <c r="T1457" s="0" t="s">
        <v>9985</v>
      </c>
      <c r="U1457" s="0" t="s">
        <v>9986</v>
      </c>
      <c r="W1457" s="0" t="s">
        <v>9979</v>
      </c>
      <c r="X1457" s="0" t="s">
        <v>347</v>
      </c>
      <c r="Y1457" s="0" t="s">
        <v>85</v>
      </c>
      <c r="Z1457" s="0" t="s">
        <v>5483</v>
      </c>
      <c r="AA1457" s="0" t="s">
        <v>84</v>
      </c>
      <c r="AB1457" s="0" t="s">
        <v>3740</v>
      </c>
      <c r="AF1457" s="0" t="s">
        <v>301</v>
      </c>
      <c r="AP1457" s="0" t="s">
        <v>305</v>
      </c>
      <c r="BA1457" s="0">
        <v>575</v>
      </c>
      <c r="BB1457" s="0" t="s">
        <v>232</v>
      </c>
      <c r="BC1457" s="0">
        <v>2</v>
      </c>
      <c r="BD1457" s="0">
        <v>374043</v>
      </c>
      <c r="BE1457" s="0">
        <v>416794</v>
      </c>
      <c r="BF1457" s="0">
        <v>4</v>
      </c>
      <c r="BG1457" s="0" t="s">
        <v>9987</v>
      </c>
      <c r="BI1457" s="0">
        <v>1465</v>
      </c>
      <c r="BK1457" s="0" t="s">
        <v>9988</v>
      </c>
    </row>
    <row r="1458">
      <c r="A1458" s="0">
        <v>6252</v>
      </c>
      <c r="B1458" s="0" t="s">
        <v>9989</v>
      </c>
      <c r="C1458" s="0" t="s">
        <v>315</v>
      </c>
      <c r="D1458" s="0" t="s">
        <v>9979</v>
      </c>
      <c r="E1458" s="0" t="s">
        <v>9990</v>
      </c>
      <c r="F1458" s="0">
        <v>1</v>
      </c>
      <c r="G1458" s="0" t="s">
        <v>9991</v>
      </c>
      <c r="I1458" s="0" t="s">
        <v>524</v>
      </c>
      <c r="J1458" s="0" t="s">
        <v>508</v>
      </c>
      <c r="K1458" s="0" t="s">
        <v>1190</v>
      </c>
      <c r="L1458" s="0" t="s">
        <v>3204</v>
      </c>
      <c r="M1458" s="0" t="s">
        <v>293</v>
      </c>
      <c r="N1458" s="0" t="s">
        <v>294</v>
      </c>
      <c r="O1458" s="0" t="s">
        <v>295</v>
      </c>
      <c r="P1458" s="0" t="s">
        <v>1667</v>
      </c>
      <c r="Q1458" s="0" t="s">
        <v>1686</v>
      </c>
      <c r="R1458" s="0" t="s">
        <v>1253</v>
      </c>
      <c r="T1458" s="0" t="s">
        <v>9992</v>
      </c>
      <c r="U1458" s="0" t="s">
        <v>9993</v>
      </c>
      <c r="W1458" s="0" t="s">
        <v>9979</v>
      </c>
      <c r="X1458" s="0" t="s">
        <v>347</v>
      </c>
      <c r="Y1458" s="0" t="s">
        <v>85</v>
      </c>
      <c r="Z1458" s="0" t="s">
        <v>5483</v>
      </c>
      <c r="AA1458" s="0" t="s">
        <v>84</v>
      </c>
      <c r="AB1458" s="0" t="s">
        <v>3740</v>
      </c>
      <c r="AF1458" s="0" t="s">
        <v>301</v>
      </c>
      <c r="AP1458" s="0" t="s">
        <v>305</v>
      </c>
      <c r="BA1458" s="0">
        <v>575</v>
      </c>
      <c r="BB1458" s="0" t="s">
        <v>232</v>
      </c>
      <c r="BC1458" s="0">
        <v>2</v>
      </c>
      <c r="BD1458" s="0">
        <v>374043</v>
      </c>
      <c r="BE1458" s="0">
        <v>416794</v>
      </c>
      <c r="BF1458" s="0">
        <v>4</v>
      </c>
      <c r="BG1458" s="0" t="s">
        <v>9994</v>
      </c>
      <c r="BI1458" s="0">
        <v>1166</v>
      </c>
      <c r="BK1458" s="0" t="s">
        <v>9995</v>
      </c>
    </row>
    <row r="1459">
      <c r="A1459" s="0">
        <v>6250</v>
      </c>
      <c r="B1459" s="0" t="s">
        <v>9996</v>
      </c>
      <c r="C1459" s="0" t="s">
        <v>339</v>
      </c>
      <c r="D1459" s="0" t="s">
        <v>9974</v>
      </c>
      <c r="E1459" s="0" t="s">
        <v>9997</v>
      </c>
      <c r="F1459" s="0">
        <v>1</v>
      </c>
      <c r="G1459" s="0" t="s">
        <v>319</v>
      </c>
      <c r="H1459" s="0" t="s">
        <v>3121</v>
      </c>
      <c r="I1459" s="0" t="s">
        <v>1284</v>
      </c>
      <c r="J1459" s="0" t="s">
        <v>508</v>
      </c>
      <c r="K1459" s="0" t="s">
        <v>1190</v>
      </c>
      <c r="L1459" s="0" t="s">
        <v>3204</v>
      </c>
      <c r="M1459" s="0" t="s">
        <v>293</v>
      </c>
      <c r="N1459" s="0" t="s">
        <v>294</v>
      </c>
      <c r="O1459" s="0" t="s">
        <v>918</v>
      </c>
      <c r="P1459" s="0" t="s">
        <v>1667</v>
      </c>
      <c r="Q1459" s="0" t="s">
        <v>1686</v>
      </c>
      <c r="R1459" s="0" t="s">
        <v>324</v>
      </c>
      <c r="T1459" s="0" t="s">
        <v>9998</v>
      </c>
      <c r="U1459" s="0" t="s">
        <v>9999</v>
      </c>
      <c r="W1459" s="0" t="s">
        <v>9979</v>
      </c>
      <c r="X1459" s="0" t="s">
        <v>347</v>
      </c>
      <c r="Y1459" s="0" t="s">
        <v>85</v>
      </c>
      <c r="Z1459" s="0" t="s">
        <v>5483</v>
      </c>
      <c r="AA1459" s="0" t="s">
        <v>84</v>
      </c>
      <c r="AB1459" s="0" t="s">
        <v>3740</v>
      </c>
      <c r="AF1459" s="0" t="s">
        <v>301</v>
      </c>
      <c r="AP1459" s="0" t="s">
        <v>305</v>
      </c>
      <c r="BA1459" s="0">
        <v>575</v>
      </c>
      <c r="BB1459" s="0" t="s">
        <v>232</v>
      </c>
      <c r="BC1459" s="0">
        <v>2</v>
      </c>
      <c r="BD1459" s="0">
        <v>8</v>
      </c>
      <c r="BE1459" s="0">
        <v>416794</v>
      </c>
      <c r="BF1459" s="0">
        <v>4</v>
      </c>
      <c r="BG1459" s="0" t="s">
        <v>10000</v>
      </c>
      <c r="BI1459" s="0">
        <v>446</v>
      </c>
      <c r="BK1459" s="0" t="s">
        <v>10001</v>
      </c>
    </row>
    <row r="1460">
      <c r="A1460" s="0">
        <v>6259</v>
      </c>
      <c r="C1460" s="0" t="s">
        <v>315</v>
      </c>
      <c r="D1460" s="0" t="s">
        <v>9979</v>
      </c>
      <c r="E1460" s="0" t="s">
        <v>10002</v>
      </c>
      <c r="F1460" s="0">
        <v>5</v>
      </c>
      <c r="G1460" s="0" t="s">
        <v>508</v>
      </c>
      <c r="H1460" s="0" t="s">
        <v>1190</v>
      </c>
      <c r="I1460" s="0" t="s">
        <v>3204</v>
      </c>
      <c r="T1460" s="0" t="s">
        <v>10003</v>
      </c>
      <c r="U1460" s="0" t="s">
        <v>10004</v>
      </c>
      <c r="W1460" s="0" t="s">
        <v>9979</v>
      </c>
      <c r="X1460" s="0" t="s">
        <v>347</v>
      </c>
      <c r="Y1460" s="0" t="s">
        <v>85</v>
      </c>
      <c r="Z1460" s="0" t="s">
        <v>5483</v>
      </c>
      <c r="AA1460" s="0" t="s">
        <v>84</v>
      </c>
      <c r="AB1460" s="0" t="s">
        <v>3740</v>
      </c>
      <c r="AF1460" s="0" t="s">
        <v>301</v>
      </c>
      <c r="AP1460" s="0" t="s">
        <v>305</v>
      </c>
      <c r="BA1460" s="0">
        <v>575</v>
      </c>
      <c r="BB1460" s="0" t="s">
        <v>232</v>
      </c>
      <c r="BC1460" s="0">
        <v>2</v>
      </c>
      <c r="BD1460" s="0">
        <v>374043</v>
      </c>
      <c r="BE1460" s="0">
        <v>416794</v>
      </c>
      <c r="BF1460" s="0">
        <v>4</v>
      </c>
      <c r="BG1460" s="0" t="s">
        <v>10005</v>
      </c>
      <c r="BI1460" s="0">
        <v>2950</v>
      </c>
      <c r="BK1460" s="0" t="s">
        <v>10006</v>
      </c>
    </row>
    <row r="1461">
      <c r="A1461" s="0">
        <v>6254</v>
      </c>
      <c r="C1461" s="0" t="s">
        <v>6376</v>
      </c>
      <c r="D1461" s="0" t="s">
        <v>9974</v>
      </c>
      <c r="E1461" s="0" t="s">
        <v>10002</v>
      </c>
      <c r="F1461" s="0">
        <v>5</v>
      </c>
      <c r="G1461" s="0" t="s">
        <v>508</v>
      </c>
      <c r="H1461" s="0" t="s">
        <v>1190</v>
      </c>
      <c r="I1461" s="0" t="s">
        <v>3204</v>
      </c>
      <c r="T1461" s="0" t="s">
        <v>10007</v>
      </c>
      <c r="W1461" s="0" t="s">
        <v>9979</v>
      </c>
      <c r="X1461" s="0" t="s">
        <v>529</v>
      </c>
      <c r="Y1461" s="0" t="s">
        <v>85</v>
      </c>
      <c r="Z1461" s="0" t="s">
        <v>5483</v>
      </c>
      <c r="AA1461" s="0" t="s">
        <v>84</v>
      </c>
      <c r="AB1461" s="0" t="s">
        <v>3740</v>
      </c>
      <c r="AF1461" s="0" t="s">
        <v>301</v>
      </c>
      <c r="AP1461" s="0" t="s">
        <v>305</v>
      </c>
      <c r="BA1461" s="0">
        <v>575</v>
      </c>
      <c r="BB1461" s="0" t="s">
        <v>232</v>
      </c>
      <c r="BC1461" s="0">
        <v>2</v>
      </c>
      <c r="BD1461" s="0">
        <v>374103</v>
      </c>
      <c r="BE1461" s="0">
        <v>416794</v>
      </c>
      <c r="BF1461" s="0">
        <v>2</v>
      </c>
      <c r="BG1461" s="0" t="s">
        <v>10008</v>
      </c>
      <c r="BI1461" s="0">
        <v>1974</v>
      </c>
      <c r="BK1461" s="0" t="s">
        <v>10009</v>
      </c>
    </row>
    <row r="1462">
      <c r="A1462" s="0">
        <v>6270</v>
      </c>
      <c r="C1462" s="0" t="s">
        <v>339</v>
      </c>
      <c r="D1462" s="0" t="s">
        <v>9974</v>
      </c>
      <c r="E1462" s="0" t="s">
        <v>10010</v>
      </c>
      <c r="F1462" s="0">
        <v>5</v>
      </c>
      <c r="G1462" s="0" t="s">
        <v>1590</v>
      </c>
      <c r="H1462" s="0" t="s">
        <v>10011</v>
      </c>
      <c r="I1462" s="0" t="s">
        <v>9976</v>
      </c>
      <c r="T1462" s="0" t="s">
        <v>10012</v>
      </c>
      <c r="W1462" s="0" t="s">
        <v>9979</v>
      </c>
      <c r="X1462" s="0" t="s">
        <v>529</v>
      </c>
      <c r="Y1462" s="0" t="s">
        <v>85</v>
      </c>
      <c r="Z1462" s="0" t="s">
        <v>5483</v>
      </c>
      <c r="AA1462" s="0" t="s">
        <v>84</v>
      </c>
      <c r="AB1462" s="0" t="s">
        <v>3740</v>
      </c>
      <c r="AF1462" s="0" t="s">
        <v>301</v>
      </c>
      <c r="AP1462" s="0" t="s">
        <v>305</v>
      </c>
      <c r="BA1462" s="0">
        <v>575</v>
      </c>
      <c r="BB1462" s="0" t="s">
        <v>232</v>
      </c>
      <c r="BC1462" s="0">
        <v>2</v>
      </c>
      <c r="BD1462" s="0">
        <v>8</v>
      </c>
      <c r="BE1462" s="0">
        <v>416794</v>
      </c>
      <c r="BF1462" s="0">
        <v>2</v>
      </c>
      <c r="BG1462" s="0" t="s">
        <v>10013</v>
      </c>
      <c r="BI1462" s="0">
        <v>3401</v>
      </c>
      <c r="BK1462" s="0" t="s">
        <v>10014</v>
      </c>
    </row>
    <row r="1463">
      <c r="A1463" s="0">
        <v>6255</v>
      </c>
      <c r="C1463" s="0" t="s">
        <v>339</v>
      </c>
      <c r="D1463" s="0" t="s">
        <v>9974</v>
      </c>
      <c r="E1463" s="0" t="s">
        <v>10015</v>
      </c>
      <c r="F1463" s="0">
        <v>5</v>
      </c>
      <c r="G1463" s="0" t="s">
        <v>1590</v>
      </c>
      <c r="H1463" s="0" t="s">
        <v>324</v>
      </c>
      <c r="T1463" s="0" t="s">
        <v>10016</v>
      </c>
      <c r="W1463" s="0" t="s">
        <v>9979</v>
      </c>
      <c r="X1463" s="0" t="s">
        <v>529</v>
      </c>
      <c r="Y1463" s="0" t="s">
        <v>85</v>
      </c>
      <c r="Z1463" s="0" t="s">
        <v>5483</v>
      </c>
      <c r="AA1463" s="0" t="s">
        <v>84</v>
      </c>
      <c r="AB1463" s="0" t="s">
        <v>3740</v>
      </c>
      <c r="AF1463" s="0" t="s">
        <v>301</v>
      </c>
      <c r="AP1463" s="0" t="s">
        <v>305</v>
      </c>
      <c r="BA1463" s="0">
        <v>575</v>
      </c>
      <c r="BB1463" s="0" t="s">
        <v>232</v>
      </c>
      <c r="BC1463" s="0">
        <v>2</v>
      </c>
      <c r="BD1463" s="0">
        <v>8</v>
      </c>
      <c r="BE1463" s="0">
        <v>416794</v>
      </c>
      <c r="BF1463" s="0">
        <v>2</v>
      </c>
      <c r="BG1463" s="0" t="s">
        <v>10017</v>
      </c>
      <c r="BI1463" s="0">
        <v>2201</v>
      </c>
      <c r="BK1463" s="0" t="s">
        <v>10018</v>
      </c>
    </row>
    <row r="1464">
      <c r="A1464" s="0">
        <v>6258</v>
      </c>
      <c r="C1464" s="0" t="s">
        <v>315</v>
      </c>
      <c r="D1464" s="0" t="s">
        <v>9979</v>
      </c>
      <c r="E1464" s="0" t="s">
        <v>10019</v>
      </c>
      <c r="F1464" s="0">
        <v>5</v>
      </c>
      <c r="G1464" s="0" t="s">
        <v>1590</v>
      </c>
      <c r="H1464" s="0" t="s">
        <v>1253</v>
      </c>
      <c r="T1464" s="0" t="s">
        <v>10020</v>
      </c>
      <c r="U1464" s="0" t="s">
        <v>10021</v>
      </c>
      <c r="W1464" s="0" t="s">
        <v>9979</v>
      </c>
      <c r="X1464" s="0" t="s">
        <v>347</v>
      </c>
      <c r="Y1464" s="0" t="s">
        <v>85</v>
      </c>
      <c r="Z1464" s="0" t="s">
        <v>5483</v>
      </c>
      <c r="AA1464" s="0" t="s">
        <v>84</v>
      </c>
      <c r="AB1464" s="0" t="s">
        <v>3740</v>
      </c>
      <c r="AF1464" s="0" t="s">
        <v>301</v>
      </c>
      <c r="AP1464" s="0" t="s">
        <v>305</v>
      </c>
      <c r="BA1464" s="0">
        <v>575</v>
      </c>
      <c r="BB1464" s="0" t="s">
        <v>232</v>
      </c>
      <c r="BC1464" s="0">
        <v>2</v>
      </c>
      <c r="BD1464" s="0">
        <v>374043</v>
      </c>
      <c r="BE1464" s="0">
        <v>416794</v>
      </c>
      <c r="BF1464" s="0">
        <v>4</v>
      </c>
      <c r="BG1464" s="0" t="s">
        <v>10022</v>
      </c>
      <c r="BI1464" s="0">
        <v>2781</v>
      </c>
      <c r="BK1464" s="0" t="s">
        <v>10023</v>
      </c>
    </row>
    <row r="1465">
      <c r="A1465" s="0">
        <v>6260</v>
      </c>
      <c r="C1465" s="0" t="s">
        <v>315</v>
      </c>
      <c r="D1465" s="0" t="s">
        <v>9979</v>
      </c>
      <c r="E1465" s="0" t="s">
        <v>10024</v>
      </c>
      <c r="F1465" s="0">
        <v>5</v>
      </c>
      <c r="G1465" s="0" t="s">
        <v>400</v>
      </c>
      <c r="H1465" s="0" t="s">
        <v>1190</v>
      </c>
      <c r="I1465" s="0" t="s">
        <v>660</v>
      </c>
      <c r="T1465" s="0" t="s">
        <v>10003</v>
      </c>
      <c r="U1465" s="0" t="s">
        <v>10025</v>
      </c>
      <c r="W1465" s="0" t="s">
        <v>9979</v>
      </c>
      <c r="X1465" s="0" t="s">
        <v>347</v>
      </c>
      <c r="Y1465" s="0" t="s">
        <v>85</v>
      </c>
      <c r="Z1465" s="0" t="s">
        <v>5483</v>
      </c>
      <c r="AA1465" s="0" t="s">
        <v>84</v>
      </c>
      <c r="AB1465" s="0" t="s">
        <v>3740</v>
      </c>
      <c r="AF1465" s="0" t="s">
        <v>301</v>
      </c>
      <c r="AP1465" s="0" t="s">
        <v>305</v>
      </c>
      <c r="BA1465" s="0">
        <v>575</v>
      </c>
      <c r="BB1465" s="0" t="s">
        <v>232</v>
      </c>
      <c r="BC1465" s="0">
        <v>2</v>
      </c>
      <c r="BD1465" s="0">
        <v>374043</v>
      </c>
      <c r="BE1465" s="0">
        <v>416794</v>
      </c>
      <c r="BF1465" s="0">
        <v>4</v>
      </c>
      <c r="BG1465" s="0" t="s">
        <v>10026</v>
      </c>
      <c r="BI1465" s="0">
        <v>3116</v>
      </c>
      <c r="BK1465" s="0" t="s">
        <v>10027</v>
      </c>
    </row>
    <row r="1466">
      <c r="A1466" s="0">
        <v>6269</v>
      </c>
      <c r="C1466" s="0" t="s">
        <v>315</v>
      </c>
      <c r="D1466" s="0" t="s">
        <v>9979</v>
      </c>
      <c r="E1466" s="0" t="s">
        <v>10028</v>
      </c>
      <c r="F1466" s="0">
        <v>5</v>
      </c>
      <c r="G1466" s="0" t="s">
        <v>319</v>
      </c>
      <c r="H1466" s="0" t="s">
        <v>320</v>
      </c>
      <c r="I1466" s="0" t="s">
        <v>321</v>
      </c>
      <c r="U1466" s="0" t="s">
        <v>10029</v>
      </c>
      <c r="W1466" s="0" t="s">
        <v>9979</v>
      </c>
      <c r="X1466" s="0" t="s">
        <v>347</v>
      </c>
      <c r="Y1466" s="0" t="s">
        <v>85</v>
      </c>
      <c r="Z1466" s="0" t="s">
        <v>5483</v>
      </c>
      <c r="AA1466" s="0" t="s">
        <v>84</v>
      </c>
      <c r="AB1466" s="0" t="s">
        <v>3740</v>
      </c>
      <c r="AF1466" s="0" t="s">
        <v>301</v>
      </c>
      <c r="AP1466" s="0" t="s">
        <v>305</v>
      </c>
      <c r="BA1466" s="0">
        <v>575</v>
      </c>
      <c r="BB1466" s="0" t="s">
        <v>232</v>
      </c>
      <c r="BC1466" s="0">
        <v>2</v>
      </c>
      <c r="BD1466" s="0">
        <v>374043</v>
      </c>
      <c r="BE1466" s="0">
        <v>416794</v>
      </c>
      <c r="BF1466" s="0">
        <v>4</v>
      </c>
      <c r="BG1466" s="0" t="s">
        <v>10030</v>
      </c>
      <c r="BI1466" s="0">
        <v>3268</v>
      </c>
      <c r="BK1466" s="0" t="s">
        <v>10031</v>
      </c>
    </row>
    <row r="1467">
      <c r="A1467" s="0">
        <v>6257</v>
      </c>
      <c r="C1467" s="0" t="s">
        <v>315</v>
      </c>
      <c r="D1467" s="0" t="s">
        <v>9979</v>
      </c>
      <c r="E1467" s="0" t="s">
        <v>10032</v>
      </c>
      <c r="F1467" s="0">
        <v>5</v>
      </c>
      <c r="G1467" s="0" t="s">
        <v>10033</v>
      </c>
      <c r="H1467" s="0" t="s">
        <v>524</v>
      </c>
      <c r="T1467" s="0" t="s">
        <v>10016</v>
      </c>
      <c r="U1467" s="0" t="s">
        <v>10034</v>
      </c>
      <c r="W1467" s="0" t="s">
        <v>9979</v>
      </c>
      <c r="X1467" s="0" t="s">
        <v>347</v>
      </c>
      <c r="Y1467" s="0" t="s">
        <v>85</v>
      </c>
      <c r="Z1467" s="0" t="s">
        <v>5483</v>
      </c>
      <c r="AA1467" s="0" t="s">
        <v>84</v>
      </c>
      <c r="AB1467" s="0" t="s">
        <v>3740</v>
      </c>
      <c r="AF1467" s="0" t="s">
        <v>301</v>
      </c>
      <c r="AP1467" s="0" t="s">
        <v>305</v>
      </c>
      <c r="BA1467" s="0">
        <v>575</v>
      </c>
      <c r="BB1467" s="0" t="s">
        <v>232</v>
      </c>
      <c r="BC1467" s="0">
        <v>2</v>
      </c>
      <c r="BD1467" s="0">
        <v>374043</v>
      </c>
      <c r="BE1467" s="0">
        <v>416794</v>
      </c>
      <c r="BF1467" s="0">
        <v>4</v>
      </c>
      <c r="BG1467" s="0" t="s">
        <v>10035</v>
      </c>
      <c r="BI1467" s="0">
        <v>2605</v>
      </c>
      <c r="BK1467" s="0" t="s">
        <v>10036</v>
      </c>
    </row>
    <row r="1468">
      <c r="A1468" s="0">
        <v>6261</v>
      </c>
      <c r="C1468" s="0" t="s">
        <v>339</v>
      </c>
      <c r="D1468" s="0" t="s">
        <v>9974</v>
      </c>
      <c r="E1468" s="0" t="s">
        <v>10037</v>
      </c>
      <c r="F1468" s="0">
        <v>5</v>
      </c>
      <c r="G1468" s="0" t="s">
        <v>319</v>
      </c>
      <c r="H1468" s="0" t="s">
        <v>3121</v>
      </c>
      <c r="I1468" s="0" t="s">
        <v>1284</v>
      </c>
      <c r="T1468" s="0" t="s">
        <v>10038</v>
      </c>
      <c r="W1468" s="0" t="s">
        <v>9979</v>
      </c>
      <c r="X1468" s="0" t="s">
        <v>529</v>
      </c>
      <c r="Y1468" s="0" t="s">
        <v>85</v>
      </c>
      <c r="Z1468" s="0" t="s">
        <v>5483</v>
      </c>
      <c r="AA1468" s="0" t="s">
        <v>84</v>
      </c>
      <c r="AB1468" s="0" t="s">
        <v>3740</v>
      </c>
      <c r="AF1468" s="0" t="s">
        <v>301</v>
      </c>
      <c r="AP1468" s="0" t="s">
        <v>305</v>
      </c>
      <c r="BA1468" s="0">
        <v>575</v>
      </c>
      <c r="BB1468" s="0" t="s">
        <v>232</v>
      </c>
      <c r="BC1468" s="0">
        <v>2</v>
      </c>
      <c r="BD1468" s="0">
        <v>8</v>
      </c>
      <c r="BE1468" s="0">
        <v>416794</v>
      </c>
      <c r="BF1468" s="0">
        <v>2</v>
      </c>
      <c r="BG1468" s="0" t="s">
        <v>10039</v>
      </c>
      <c r="BI1468" s="0">
        <v>1732</v>
      </c>
      <c r="BK1468" s="0" t="s">
        <v>10040</v>
      </c>
    </row>
    <row r="1469">
      <c r="A1469" s="0">
        <v>6262</v>
      </c>
      <c r="C1469" s="0" t="s">
        <v>315</v>
      </c>
      <c r="D1469" s="0" t="s">
        <v>9979</v>
      </c>
      <c r="E1469" s="0" t="s">
        <v>10041</v>
      </c>
      <c r="F1469" s="0">
        <v>5</v>
      </c>
      <c r="G1469" s="0" t="s">
        <v>293</v>
      </c>
      <c r="H1469" s="0" t="s">
        <v>294</v>
      </c>
      <c r="I1469" s="0" t="s">
        <v>2033</v>
      </c>
      <c r="T1469" s="0" t="s">
        <v>10003</v>
      </c>
      <c r="W1469" s="0" t="s">
        <v>9979</v>
      </c>
      <c r="X1469" s="0" t="s">
        <v>529</v>
      </c>
      <c r="Y1469" s="0" t="s">
        <v>85</v>
      </c>
      <c r="Z1469" s="0" t="s">
        <v>5483</v>
      </c>
      <c r="AA1469" s="0" t="s">
        <v>84</v>
      </c>
      <c r="AB1469" s="0" t="s">
        <v>3740</v>
      </c>
      <c r="AF1469" s="0" t="s">
        <v>301</v>
      </c>
      <c r="AP1469" s="0" t="s">
        <v>305</v>
      </c>
      <c r="BA1469" s="0">
        <v>575</v>
      </c>
      <c r="BB1469" s="0" t="s">
        <v>232</v>
      </c>
      <c r="BC1469" s="0">
        <v>2</v>
      </c>
      <c r="BD1469" s="0">
        <v>374043</v>
      </c>
      <c r="BE1469" s="0">
        <v>416794</v>
      </c>
      <c r="BF1469" s="0">
        <v>2</v>
      </c>
      <c r="BG1469" s="0" t="s">
        <v>10042</v>
      </c>
      <c r="BI1469" s="0">
        <v>3117</v>
      </c>
      <c r="BK1469" s="0" t="s">
        <v>10027</v>
      </c>
    </row>
    <row r="1470">
      <c r="A1470" s="0">
        <v>6267</v>
      </c>
      <c r="B1470" s="0" t="s">
        <v>10043</v>
      </c>
      <c r="C1470" s="0" t="s">
        <v>315</v>
      </c>
      <c r="D1470" s="0" t="s">
        <v>9974</v>
      </c>
      <c r="E1470" s="0" t="s">
        <v>10044</v>
      </c>
      <c r="F1470" s="0">
        <v>1</v>
      </c>
      <c r="G1470" s="0" t="s">
        <v>400</v>
      </c>
      <c r="H1470" s="0" t="s">
        <v>1190</v>
      </c>
      <c r="I1470" s="0" t="s">
        <v>549</v>
      </c>
      <c r="J1470" s="0" t="s">
        <v>555</v>
      </c>
      <c r="K1470" s="0" t="s">
        <v>10045</v>
      </c>
      <c r="L1470" s="0" t="s">
        <v>549</v>
      </c>
      <c r="P1470" s="0" t="s">
        <v>323</v>
      </c>
      <c r="Q1470" s="0" t="s">
        <v>323</v>
      </c>
      <c r="R1470" s="0" t="s">
        <v>1783</v>
      </c>
      <c r="T1470" s="0" t="s">
        <v>10046</v>
      </c>
      <c r="X1470" s="0" t="s">
        <v>529</v>
      </c>
      <c r="Y1470" s="0" t="s">
        <v>89</v>
      </c>
      <c r="Z1470" s="0" t="s">
        <v>6095</v>
      </c>
      <c r="AA1470" s="0" t="s">
        <v>88</v>
      </c>
      <c r="AB1470" s="0" t="s">
        <v>300</v>
      </c>
      <c r="AE1470" s="0" t="s">
        <v>10047</v>
      </c>
      <c r="AF1470" s="0" t="s">
        <v>301</v>
      </c>
      <c r="AP1470" s="0" t="s">
        <v>305</v>
      </c>
      <c r="BA1470" s="0">
        <v>576</v>
      </c>
      <c r="BB1470" s="0" t="s">
        <v>232</v>
      </c>
      <c r="BC1470" s="0">
        <v>2</v>
      </c>
      <c r="BD1470" s="0">
        <v>374043</v>
      </c>
      <c r="BE1470" s="0">
        <v>519537</v>
      </c>
      <c r="BF1470" s="0">
        <v>2</v>
      </c>
      <c r="BG1470" s="0" t="s">
        <v>10048</v>
      </c>
      <c r="BI1470" s="0">
        <v>1164</v>
      </c>
      <c r="BK1470" s="0" t="s">
        <v>10049</v>
      </c>
    </row>
    <row r="1471">
      <c r="A1471" s="0">
        <v>6266</v>
      </c>
      <c r="B1471" s="0" t="s">
        <v>10050</v>
      </c>
      <c r="C1471" s="0" t="s">
        <v>315</v>
      </c>
      <c r="D1471" s="0" t="s">
        <v>9974</v>
      </c>
      <c r="E1471" s="0" t="s">
        <v>10051</v>
      </c>
      <c r="F1471" s="0">
        <v>1</v>
      </c>
      <c r="G1471" s="0" t="s">
        <v>400</v>
      </c>
      <c r="H1471" s="0" t="s">
        <v>1190</v>
      </c>
      <c r="I1471" s="0" t="s">
        <v>549</v>
      </c>
      <c r="J1471" s="0" t="s">
        <v>555</v>
      </c>
      <c r="K1471" s="0" t="s">
        <v>10045</v>
      </c>
      <c r="L1471" s="0" t="s">
        <v>549</v>
      </c>
      <c r="P1471" s="0" t="s">
        <v>323</v>
      </c>
      <c r="Q1471" s="0" t="s">
        <v>323</v>
      </c>
      <c r="R1471" s="0" t="s">
        <v>1783</v>
      </c>
      <c r="T1471" s="0" t="s">
        <v>10052</v>
      </c>
      <c r="X1471" s="0" t="s">
        <v>529</v>
      </c>
      <c r="Y1471" s="0" t="s">
        <v>89</v>
      </c>
      <c r="Z1471" s="0" t="s">
        <v>6095</v>
      </c>
      <c r="AA1471" s="0" t="s">
        <v>88</v>
      </c>
      <c r="AB1471" s="0" t="s">
        <v>300</v>
      </c>
      <c r="AE1471" s="0" t="s">
        <v>10047</v>
      </c>
      <c r="AF1471" s="0" t="s">
        <v>301</v>
      </c>
      <c r="AP1471" s="0" t="s">
        <v>305</v>
      </c>
      <c r="BA1471" s="0">
        <v>576</v>
      </c>
      <c r="BB1471" s="0" t="s">
        <v>232</v>
      </c>
      <c r="BC1471" s="0">
        <v>2</v>
      </c>
      <c r="BD1471" s="0">
        <v>374043</v>
      </c>
      <c r="BE1471" s="0">
        <v>519537</v>
      </c>
      <c r="BF1471" s="0">
        <v>2</v>
      </c>
      <c r="BG1471" s="0" t="s">
        <v>10053</v>
      </c>
      <c r="BI1471" s="0">
        <v>836</v>
      </c>
      <c r="BK1471" s="0" t="s">
        <v>10054</v>
      </c>
    </row>
    <row r="1472">
      <c r="A1472" s="0">
        <v>6265</v>
      </c>
      <c r="B1472" s="0" t="s">
        <v>10055</v>
      </c>
      <c r="C1472" s="0" t="s">
        <v>315</v>
      </c>
      <c r="D1472" s="0" t="s">
        <v>9974</v>
      </c>
      <c r="E1472" s="0" t="s">
        <v>10056</v>
      </c>
      <c r="F1472" s="0">
        <v>1</v>
      </c>
      <c r="G1472" s="0" t="s">
        <v>594</v>
      </c>
      <c r="H1472" s="0" t="s">
        <v>1190</v>
      </c>
      <c r="I1472" s="0" t="s">
        <v>1175</v>
      </c>
      <c r="J1472" s="0" t="s">
        <v>293</v>
      </c>
      <c r="K1472" s="0" t="s">
        <v>294</v>
      </c>
      <c r="L1472" s="0" t="s">
        <v>295</v>
      </c>
      <c r="P1472" s="0" t="s">
        <v>323</v>
      </c>
      <c r="Q1472" s="0" t="s">
        <v>323</v>
      </c>
      <c r="R1472" s="0" t="s">
        <v>344</v>
      </c>
      <c r="T1472" s="0" t="s">
        <v>10057</v>
      </c>
      <c r="X1472" s="0" t="s">
        <v>529</v>
      </c>
      <c r="Y1472" s="0" t="s">
        <v>89</v>
      </c>
      <c r="Z1472" s="0" t="s">
        <v>6095</v>
      </c>
      <c r="AA1472" s="0" t="s">
        <v>88</v>
      </c>
      <c r="AB1472" s="0" t="s">
        <v>300</v>
      </c>
      <c r="AE1472" s="0" t="s">
        <v>10047</v>
      </c>
      <c r="AF1472" s="0" t="s">
        <v>301</v>
      </c>
      <c r="AP1472" s="0" t="s">
        <v>305</v>
      </c>
      <c r="BA1472" s="0">
        <v>576</v>
      </c>
      <c r="BB1472" s="0" t="s">
        <v>232</v>
      </c>
      <c r="BC1472" s="0">
        <v>2</v>
      </c>
      <c r="BD1472" s="0">
        <v>374043</v>
      </c>
      <c r="BE1472" s="0">
        <v>519537</v>
      </c>
      <c r="BF1472" s="0">
        <v>2</v>
      </c>
      <c r="BG1472" s="0" t="s">
        <v>10058</v>
      </c>
      <c r="BI1472" s="0">
        <v>447</v>
      </c>
      <c r="BK1472" s="0" t="s">
        <v>10059</v>
      </c>
    </row>
    <row r="1473">
      <c r="A1473" s="0">
        <v>6287</v>
      </c>
      <c r="B1473" s="0" t="s">
        <v>10060</v>
      </c>
      <c r="C1473" s="0" t="s">
        <v>1855</v>
      </c>
      <c r="D1473" s="0" t="s">
        <v>9667</v>
      </c>
      <c r="E1473" s="0" t="s">
        <v>10061</v>
      </c>
      <c r="F1473" s="0">
        <v>1</v>
      </c>
      <c r="G1473" s="0" t="s">
        <v>525</v>
      </c>
      <c r="H1473" s="0" t="s">
        <v>400</v>
      </c>
      <c r="I1473" s="0" t="s">
        <v>1133</v>
      </c>
      <c r="J1473" s="0" t="s">
        <v>293</v>
      </c>
      <c r="K1473" s="0" t="s">
        <v>294</v>
      </c>
      <c r="L1473" s="0" t="s">
        <v>3175</v>
      </c>
      <c r="P1473" s="0" t="s">
        <v>343</v>
      </c>
      <c r="Q1473" s="0" t="s">
        <v>343</v>
      </c>
      <c r="U1473" s="0" t="s">
        <v>10062</v>
      </c>
      <c r="W1473" s="0" t="s">
        <v>9365</v>
      </c>
      <c r="X1473" s="0" t="s">
        <v>347</v>
      </c>
      <c r="Y1473" s="0" t="s">
        <v>80</v>
      </c>
      <c r="Z1473" s="0" t="s">
        <v>3178</v>
      </c>
      <c r="AA1473" s="0" t="s">
        <v>79</v>
      </c>
      <c r="AB1473" s="0" t="s">
        <v>300</v>
      </c>
      <c r="AC1473" s="0" t="s">
        <v>532</v>
      </c>
      <c r="AD1473" s="0" t="s">
        <v>10063</v>
      </c>
      <c r="AE1473" s="0" t="s">
        <v>10064</v>
      </c>
      <c r="AF1473" s="0" t="s">
        <v>301</v>
      </c>
      <c r="AP1473" s="0" t="s">
        <v>305</v>
      </c>
      <c r="BA1473" s="0">
        <v>577</v>
      </c>
      <c r="BB1473" s="0" t="s">
        <v>232</v>
      </c>
      <c r="BC1473" s="0">
        <v>2</v>
      </c>
      <c r="BD1473" s="0">
        <v>28</v>
      </c>
      <c r="BE1473" s="0">
        <v>364</v>
      </c>
      <c r="BF1473" s="0">
        <v>4</v>
      </c>
      <c r="BG1473" s="0" t="s">
        <v>10065</v>
      </c>
      <c r="BI1473" s="0">
        <v>3744</v>
      </c>
      <c r="BK1473" s="0" t="s">
        <v>10066</v>
      </c>
    </row>
    <row r="1474">
      <c r="A1474" s="0">
        <v>6286</v>
      </c>
      <c r="B1474" s="0" t="s">
        <v>10067</v>
      </c>
      <c r="C1474" s="0" t="s">
        <v>1855</v>
      </c>
      <c r="D1474" s="0" t="s">
        <v>9667</v>
      </c>
      <c r="E1474" s="0" t="s">
        <v>10068</v>
      </c>
      <c r="F1474" s="0">
        <v>1</v>
      </c>
      <c r="G1474" s="0" t="s">
        <v>525</v>
      </c>
      <c r="H1474" s="0" t="s">
        <v>400</v>
      </c>
      <c r="I1474" s="0" t="s">
        <v>1133</v>
      </c>
      <c r="J1474" s="0" t="s">
        <v>293</v>
      </c>
      <c r="K1474" s="0" t="s">
        <v>294</v>
      </c>
      <c r="L1474" s="0" t="s">
        <v>3175</v>
      </c>
      <c r="P1474" s="0" t="s">
        <v>343</v>
      </c>
      <c r="Q1474" s="0" t="s">
        <v>343</v>
      </c>
      <c r="U1474" s="0" t="s">
        <v>10069</v>
      </c>
      <c r="W1474" s="0" t="s">
        <v>9365</v>
      </c>
      <c r="X1474" s="0" t="s">
        <v>347</v>
      </c>
      <c r="Y1474" s="0" t="s">
        <v>80</v>
      </c>
      <c r="Z1474" s="0" t="s">
        <v>3178</v>
      </c>
      <c r="AA1474" s="0" t="s">
        <v>79</v>
      </c>
      <c r="AB1474" s="0" t="s">
        <v>300</v>
      </c>
      <c r="AC1474" s="0" t="s">
        <v>532</v>
      </c>
      <c r="AD1474" s="0" t="s">
        <v>10063</v>
      </c>
      <c r="AE1474" s="0" t="s">
        <v>10064</v>
      </c>
      <c r="AF1474" s="0" t="s">
        <v>301</v>
      </c>
      <c r="AP1474" s="0" t="s">
        <v>305</v>
      </c>
      <c r="BA1474" s="0">
        <v>577</v>
      </c>
      <c r="BB1474" s="0" t="s">
        <v>232</v>
      </c>
      <c r="BC1474" s="0">
        <v>2</v>
      </c>
      <c r="BD1474" s="0">
        <v>28</v>
      </c>
      <c r="BE1474" s="0">
        <v>364</v>
      </c>
      <c r="BF1474" s="0">
        <v>4</v>
      </c>
      <c r="BG1474" s="0" t="s">
        <v>10070</v>
      </c>
      <c r="BI1474" s="0">
        <v>3642</v>
      </c>
      <c r="BK1474" s="0" t="s">
        <v>10071</v>
      </c>
    </row>
    <row r="1475">
      <c r="A1475" s="0">
        <v>6288</v>
      </c>
      <c r="B1475" s="0" t="s">
        <v>10072</v>
      </c>
      <c r="C1475" s="0" t="s">
        <v>945</v>
      </c>
      <c r="D1475" s="0" t="s">
        <v>9667</v>
      </c>
      <c r="E1475" s="0" t="s">
        <v>10073</v>
      </c>
      <c r="F1475" s="0">
        <v>1</v>
      </c>
      <c r="G1475" s="0" t="s">
        <v>319</v>
      </c>
      <c r="H1475" s="0" t="s">
        <v>398</v>
      </c>
      <c r="I1475" s="0" t="s">
        <v>6530</v>
      </c>
      <c r="J1475" s="0" t="s">
        <v>594</v>
      </c>
      <c r="L1475" s="0" t="s">
        <v>1683</v>
      </c>
      <c r="P1475" s="0" t="s">
        <v>323</v>
      </c>
      <c r="Q1475" s="0" t="s">
        <v>323</v>
      </c>
      <c r="R1475" s="0" t="s">
        <v>556</v>
      </c>
      <c r="U1475" s="0" t="s">
        <v>10074</v>
      </c>
      <c r="W1475" s="0" t="s">
        <v>9365</v>
      </c>
      <c r="X1475" s="0" t="s">
        <v>347</v>
      </c>
      <c r="Y1475" s="0" t="s">
        <v>80</v>
      </c>
      <c r="Z1475" s="0" t="s">
        <v>3178</v>
      </c>
      <c r="AA1475" s="0" t="s">
        <v>79</v>
      </c>
      <c r="AB1475" s="0" t="s">
        <v>300</v>
      </c>
      <c r="AC1475" s="0" t="s">
        <v>532</v>
      </c>
      <c r="AD1475" s="0" t="s">
        <v>10063</v>
      </c>
      <c r="AE1475" s="0" t="s">
        <v>10064</v>
      </c>
      <c r="AF1475" s="0" t="s">
        <v>301</v>
      </c>
      <c r="AP1475" s="0" t="s">
        <v>305</v>
      </c>
      <c r="BA1475" s="0">
        <v>577</v>
      </c>
      <c r="BB1475" s="0" t="s">
        <v>232</v>
      </c>
      <c r="BC1475" s="0">
        <v>2</v>
      </c>
      <c r="BD1475" s="0">
        <v>14</v>
      </c>
      <c r="BE1475" s="0">
        <v>364</v>
      </c>
      <c r="BF1475" s="0">
        <v>4</v>
      </c>
      <c r="BG1475" s="0" t="s">
        <v>10075</v>
      </c>
      <c r="BI1475" s="0">
        <v>3840</v>
      </c>
      <c r="BK1475" s="0" t="s">
        <v>10076</v>
      </c>
    </row>
    <row r="1476">
      <c r="A1476" s="0">
        <v>6278</v>
      </c>
      <c r="B1476" s="0" t="s">
        <v>10077</v>
      </c>
      <c r="C1476" s="0" t="s">
        <v>315</v>
      </c>
      <c r="D1476" s="0" t="s">
        <v>9667</v>
      </c>
      <c r="E1476" s="0" t="s">
        <v>10078</v>
      </c>
      <c r="F1476" s="0">
        <v>1</v>
      </c>
      <c r="G1476" s="0" t="s">
        <v>319</v>
      </c>
      <c r="H1476" s="0" t="s">
        <v>470</v>
      </c>
      <c r="I1476" s="0" t="s">
        <v>471</v>
      </c>
      <c r="J1476" s="0" t="s">
        <v>525</v>
      </c>
      <c r="K1476" s="0" t="s">
        <v>400</v>
      </c>
      <c r="L1476" s="0" t="s">
        <v>1133</v>
      </c>
      <c r="P1476" s="0" t="s">
        <v>323</v>
      </c>
      <c r="Q1476" s="0" t="s">
        <v>323</v>
      </c>
      <c r="R1476" s="0" t="s">
        <v>2393</v>
      </c>
      <c r="U1476" s="0" t="s">
        <v>10079</v>
      </c>
      <c r="W1476" s="0" t="s">
        <v>9365</v>
      </c>
      <c r="X1476" s="0" t="s">
        <v>347</v>
      </c>
      <c r="Y1476" s="0" t="s">
        <v>80</v>
      </c>
      <c r="Z1476" s="0" t="s">
        <v>3178</v>
      </c>
      <c r="AA1476" s="0" t="s">
        <v>79</v>
      </c>
      <c r="AB1476" s="0" t="s">
        <v>300</v>
      </c>
      <c r="AC1476" s="0" t="s">
        <v>532</v>
      </c>
      <c r="AD1476" s="0" t="s">
        <v>10063</v>
      </c>
      <c r="AE1476" s="0" t="s">
        <v>10064</v>
      </c>
      <c r="AF1476" s="0" t="s">
        <v>301</v>
      </c>
      <c r="AP1476" s="0" t="s">
        <v>305</v>
      </c>
      <c r="BA1476" s="0">
        <v>577</v>
      </c>
      <c r="BB1476" s="0" t="s">
        <v>232</v>
      </c>
      <c r="BC1476" s="0">
        <v>2</v>
      </c>
      <c r="BD1476" s="0">
        <v>374043</v>
      </c>
      <c r="BE1476" s="0">
        <v>364</v>
      </c>
      <c r="BF1476" s="0">
        <v>4</v>
      </c>
      <c r="BG1476" s="0" t="s">
        <v>10080</v>
      </c>
      <c r="BI1476" s="0">
        <v>2411</v>
      </c>
      <c r="BK1476" s="0" t="s">
        <v>10081</v>
      </c>
    </row>
    <row r="1477">
      <c r="A1477" s="0">
        <v>6282</v>
      </c>
      <c r="B1477" s="0" t="s">
        <v>10082</v>
      </c>
      <c r="C1477" s="0" t="s">
        <v>315</v>
      </c>
      <c r="D1477" s="0" t="s">
        <v>9667</v>
      </c>
      <c r="E1477" s="0" t="s">
        <v>10083</v>
      </c>
      <c r="F1477" s="0">
        <v>1</v>
      </c>
      <c r="G1477" s="0" t="s">
        <v>319</v>
      </c>
      <c r="H1477" s="0" t="s">
        <v>3256</v>
      </c>
      <c r="I1477" s="0" t="s">
        <v>3257</v>
      </c>
      <c r="J1477" s="0" t="s">
        <v>525</v>
      </c>
      <c r="K1477" s="0" t="s">
        <v>400</v>
      </c>
      <c r="L1477" s="0" t="s">
        <v>469</v>
      </c>
      <c r="P1477" s="0" t="s">
        <v>867</v>
      </c>
      <c r="Q1477" s="0" t="s">
        <v>867</v>
      </c>
      <c r="R1477" s="0" t="s">
        <v>673</v>
      </c>
      <c r="U1477" s="0" t="s">
        <v>10084</v>
      </c>
      <c r="W1477" s="0" t="s">
        <v>9365</v>
      </c>
      <c r="X1477" s="0" t="s">
        <v>347</v>
      </c>
      <c r="Y1477" s="0" t="s">
        <v>80</v>
      </c>
      <c r="Z1477" s="0" t="s">
        <v>3178</v>
      </c>
      <c r="AA1477" s="0" t="s">
        <v>79</v>
      </c>
      <c r="AB1477" s="0" t="s">
        <v>300</v>
      </c>
      <c r="AC1477" s="0" t="s">
        <v>532</v>
      </c>
      <c r="AD1477" s="0" t="s">
        <v>10063</v>
      </c>
      <c r="AE1477" s="0" t="s">
        <v>10064</v>
      </c>
      <c r="AF1477" s="0" t="s">
        <v>301</v>
      </c>
      <c r="AP1477" s="0" t="s">
        <v>305</v>
      </c>
      <c r="BA1477" s="0">
        <v>577</v>
      </c>
      <c r="BB1477" s="0" t="s">
        <v>232</v>
      </c>
      <c r="BC1477" s="0">
        <v>2</v>
      </c>
      <c r="BD1477" s="0">
        <v>374043</v>
      </c>
      <c r="BE1477" s="0">
        <v>364</v>
      </c>
      <c r="BF1477" s="0">
        <v>4</v>
      </c>
      <c r="BG1477" s="0" t="s">
        <v>10085</v>
      </c>
      <c r="BI1477" s="0">
        <v>3118</v>
      </c>
      <c r="BK1477" s="0" t="s">
        <v>10086</v>
      </c>
    </row>
    <row r="1478">
      <c r="A1478" s="0">
        <v>6274</v>
      </c>
      <c r="B1478" s="0" t="s">
        <v>10087</v>
      </c>
      <c r="C1478" s="0" t="s">
        <v>656</v>
      </c>
      <c r="D1478" s="0" t="s">
        <v>9667</v>
      </c>
      <c r="E1478" s="0" t="s">
        <v>10088</v>
      </c>
      <c r="F1478" s="0">
        <v>1</v>
      </c>
      <c r="G1478" s="0" t="s">
        <v>543</v>
      </c>
      <c r="H1478" s="0" t="s">
        <v>1112</v>
      </c>
      <c r="I1478" s="0" t="s">
        <v>549</v>
      </c>
      <c r="J1478" s="0" t="s">
        <v>293</v>
      </c>
      <c r="K1478" s="0" t="s">
        <v>294</v>
      </c>
      <c r="L1478" s="0" t="s">
        <v>3234</v>
      </c>
      <c r="P1478" s="0" t="s">
        <v>323</v>
      </c>
      <c r="Q1478" s="0" t="s">
        <v>323</v>
      </c>
      <c r="R1478" s="0" t="s">
        <v>2393</v>
      </c>
      <c r="U1478" s="0" t="s">
        <v>10089</v>
      </c>
      <c r="W1478" s="0" t="s">
        <v>9365</v>
      </c>
      <c r="X1478" s="0" t="s">
        <v>347</v>
      </c>
      <c r="Y1478" s="0" t="s">
        <v>80</v>
      </c>
      <c r="Z1478" s="0" t="s">
        <v>3178</v>
      </c>
      <c r="AA1478" s="0" t="s">
        <v>79</v>
      </c>
      <c r="AB1478" s="0" t="s">
        <v>300</v>
      </c>
      <c r="AC1478" s="0" t="s">
        <v>532</v>
      </c>
      <c r="AD1478" s="0" t="s">
        <v>10063</v>
      </c>
      <c r="AE1478" s="0" t="s">
        <v>10064</v>
      </c>
      <c r="AF1478" s="0" t="s">
        <v>301</v>
      </c>
      <c r="AP1478" s="0" t="s">
        <v>305</v>
      </c>
      <c r="BA1478" s="0">
        <v>577</v>
      </c>
      <c r="BB1478" s="0" t="s">
        <v>232</v>
      </c>
      <c r="BC1478" s="0">
        <v>2</v>
      </c>
      <c r="BD1478" s="0">
        <v>10</v>
      </c>
      <c r="BE1478" s="0">
        <v>364</v>
      </c>
      <c r="BF1478" s="0">
        <v>4</v>
      </c>
      <c r="BG1478" s="0" t="s">
        <v>10090</v>
      </c>
      <c r="BI1478" s="0">
        <v>1466</v>
      </c>
      <c r="BK1478" s="0" t="s">
        <v>10091</v>
      </c>
    </row>
    <row r="1479">
      <c r="A1479" s="0">
        <v>6277</v>
      </c>
      <c r="B1479" s="0" t="s">
        <v>6486</v>
      </c>
      <c r="C1479" s="0" t="s">
        <v>315</v>
      </c>
      <c r="D1479" s="0" t="s">
        <v>9667</v>
      </c>
      <c r="E1479" s="0" t="s">
        <v>3279</v>
      </c>
      <c r="F1479" s="0">
        <v>1</v>
      </c>
      <c r="G1479" s="0" t="s">
        <v>319</v>
      </c>
      <c r="H1479" s="0" t="s">
        <v>398</v>
      </c>
      <c r="I1479" s="0" t="s">
        <v>471</v>
      </c>
      <c r="J1479" s="0" t="s">
        <v>594</v>
      </c>
      <c r="L1479" s="0" t="s">
        <v>1133</v>
      </c>
      <c r="P1479" s="0" t="s">
        <v>323</v>
      </c>
      <c r="Q1479" s="0" t="s">
        <v>323</v>
      </c>
      <c r="R1479" s="0" t="s">
        <v>556</v>
      </c>
      <c r="U1479" s="0" t="s">
        <v>10092</v>
      </c>
      <c r="W1479" s="0" t="s">
        <v>9365</v>
      </c>
      <c r="X1479" s="0" t="s">
        <v>347</v>
      </c>
      <c r="Y1479" s="0" t="s">
        <v>80</v>
      </c>
      <c r="Z1479" s="0" t="s">
        <v>3178</v>
      </c>
      <c r="AA1479" s="0" t="s">
        <v>79</v>
      </c>
      <c r="AB1479" s="0" t="s">
        <v>300</v>
      </c>
      <c r="AC1479" s="0" t="s">
        <v>532</v>
      </c>
      <c r="AD1479" s="0" t="s">
        <v>10063</v>
      </c>
      <c r="AE1479" s="0" t="s">
        <v>10064</v>
      </c>
      <c r="AF1479" s="0" t="s">
        <v>301</v>
      </c>
      <c r="AP1479" s="0" t="s">
        <v>305</v>
      </c>
      <c r="BA1479" s="0">
        <v>577</v>
      </c>
      <c r="BB1479" s="0" t="s">
        <v>232</v>
      </c>
      <c r="BC1479" s="0">
        <v>2</v>
      </c>
      <c r="BD1479" s="0">
        <v>374043</v>
      </c>
      <c r="BE1479" s="0">
        <v>364</v>
      </c>
      <c r="BF1479" s="0">
        <v>4</v>
      </c>
      <c r="BG1479" s="0" t="s">
        <v>10093</v>
      </c>
      <c r="BI1479" s="0">
        <v>2202</v>
      </c>
      <c r="BK1479" s="0" t="s">
        <v>10094</v>
      </c>
    </row>
    <row r="1480">
      <c r="A1480" s="0">
        <v>6279</v>
      </c>
      <c r="B1480" s="0" t="s">
        <v>10095</v>
      </c>
      <c r="C1480" s="0" t="s">
        <v>290</v>
      </c>
      <c r="D1480" s="0" t="s">
        <v>9667</v>
      </c>
      <c r="E1480" s="0" t="s">
        <v>10096</v>
      </c>
      <c r="F1480" s="0">
        <v>1</v>
      </c>
      <c r="G1480" s="0" t="s">
        <v>293</v>
      </c>
      <c r="H1480" s="0" t="s">
        <v>294</v>
      </c>
      <c r="I1480" s="0" t="s">
        <v>295</v>
      </c>
      <c r="P1480" s="0" t="s">
        <v>323</v>
      </c>
      <c r="Q1480" s="0" t="s">
        <v>323</v>
      </c>
      <c r="R1480" s="0" t="s">
        <v>1021</v>
      </c>
      <c r="U1480" s="0" t="s">
        <v>10097</v>
      </c>
      <c r="W1480" s="0" t="s">
        <v>9365</v>
      </c>
      <c r="X1480" s="0" t="s">
        <v>347</v>
      </c>
      <c r="Y1480" s="0" t="s">
        <v>80</v>
      </c>
      <c r="Z1480" s="0" t="s">
        <v>3178</v>
      </c>
      <c r="AA1480" s="0" t="s">
        <v>79</v>
      </c>
      <c r="AB1480" s="0" t="s">
        <v>300</v>
      </c>
      <c r="AC1480" s="0" t="s">
        <v>532</v>
      </c>
      <c r="AD1480" s="0" t="s">
        <v>10063</v>
      </c>
      <c r="AE1480" s="0" t="s">
        <v>10064</v>
      </c>
      <c r="AF1480" s="0" t="s">
        <v>301</v>
      </c>
      <c r="AP1480" s="0" t="s">
        <v>305</v>
      </c>
      <c r="BA1480" s="0">
        <v>577</v>
      </c>
      <c r="BB1480" s="0" t="s">
        <v>232</v>
      </c>
      <c r="BC1480" s="0">
        <v>2</v>
      </c>
      <c r="BD1480" s="0">
        <v>374053</v>
      </c>
      <c r="BE1480" s="0">
        <v>364</v>
      </c>
      <c r="BF1480" s="0">
        <v>4</v>
      </c>
      <c r="BG1480" s="0" t="s">
        <v>10098</v>
      </c>
      <c r="BI1480" s="0">
        <v>2606</v>
      </c>
      <c r="BK1480" s="0" t="s">
        <v>10099</v>
      </c>
    </row>
    <row r="1481">
      <c r="A1481" s="0">
        <v>6276</v>
      </c>
      <c r="B1481" s="0" t="s">
        <v>10100</v>
      </c>
      <c r="C1481" s="0" t="s">
        <v>315</v>
      </c>
      <c r="D1481" s="0" t="s">
        <v>9667</v>
      </c>
      <c r="E1481" s="0" t="s">
        <v>10101</v>
      </c>
      <c r="F1481" s="0">
        <v>1</v>
      </c>
      <c r="G1481" s="0" t="s">
        <v>555</v>
      </c>
      <c r="H1481" s="0" t="s">
        <v>7735</v>
      </c>
      <c r="I1481" s="0" t="s">
        <v>549</v>
      </c>
      <c r="J1481" s="0" t="s">
        <v>525</v>
      </c>
      <c r="K1481" s="0" t="s">
        <v>400</v>
      </c>
      <c r="L1481" s="0" t="s">
        <v>549</v>
      </c>
      <c r="M1481" s="0" t="s">
        <v>293</v>
      </c>
      <c r="N1481" s="0" t="s">
        <v>294</v>
      </c>
      <c r="O1481" s="0" t="s">
        <v>295</v>
      </c>
      <c r="P1481" s="0" t="s">
        <v>343</v>
      </c>
      <c r="Q1481" s="0" t="s">
        <v>343</v>
      </c>
      <c r="U1481" s="0" t="s">
        <v>10102</v>
      </c>
      <c r="W1481" s="0" t="s">
        <v>9365</v>
      </c>
      <c r="X1481" s="0" t="s">
        <v>347</v>
      </c>
      <c r="Y1481" s="0" t="s">
        <v>80</v>
      </c>
      <c r="Z1481" s="0" t="s">
        <v>3178</v>
      </c>
      <c r="AA1481" s="0" t="s">
        <v>79</v>
      </c>
      <c r="AB1481" s="0" t="s">
        <v>300</v>
      </c>
      <c r="AC1481" s="0" t="s">
        <v>532</v>
      </c>
      <c r="AD1481" s="0" t="s">
        <v>10063</v>
      </c>
      <c r="AE1481" s="0" t="s">
        <v>10064</v>
      </c>
      <c r="AF1481" s="0" t="s">
        <v>301</v>
      </c>
      <c r="AP1481" s="0" t="s">
        <v>305</v>
      </c>
      <c r="BA1481" s="0">
        <v>577</v>
      </c>
      <c r="BB1481" s="0" t="s">
        <v>232</v>
      </c>
      <c r="BC1481" s="0">
        <v>2</v>
      </c>
      <c r="BD1481" s="0">
        <v>374043</v>
      </c>
      <c r="BE1481" s="0">
        <v>364</v>
      </c>
      <c r="BF1481" s="0">
        <v>4</v>
      </c>
      <c r="BG1481" s="0" t="s">
        <v>10103</v>
      </c>
      <c r="BI1481" s="0">
        <v>1975</v>
      </c>
      <c r="BK1481" s="0" t="s">
        <v>10104</v>
      </c>
    </row>
    <row r="1482">
      <c r="A1482" s="0">
        <v>6280</v>
      </c>
      <c r="B1482" s="0" t="s">
        <v>8548</v>
      </c>
      <c r="C1482" s="0" t="s">
        <v>1855</v>
      </c>
      <c r="D1482" s="0" t="s">
        <v>9667</v>
      </c>
      <c r="E1482" s="0" t="s">
        <v>8549</v>
      </c>
      <c r="F1482" s="0">
        <v>1</v>
      </c>
      <c r="G1482" s="0" t="s">
        <v>293</v>
      </c>
      <c r="H1482" s="0" t="s">
        <v>294</v>
      </c>
      <c r="I1482" s="0" t="s">
        <v>295</v>
      </c>
      <c r="J1482" s="0" t="s">
        <v>400</v>
      </c>
      <c r="L1482" s="0" t="s">
        <v>1133</v>
      </c>
      <c r="P1482" s="0" t="s">
        <v>343</v>
      </c>
      <c r="Q1482" s="0" t="s">
        <v>343</v>
      </c>
      <c r="U1482" s="0" t="s">
        <v>10105</v>
      </c>
      <c r="W1482" s="0" t="s">
        <v>9365</v>
      </c>
      <c r="X1482" s="0" t="s">
        <v>347</v>
      </c>
      <c r="Y1482" s="0" t="s">
        <v>80</v>
      </c>
      <c r="Z1482" s="0" t="s">
        <v>3178</v>
      </c>
      <c r="AA1482" s="0" t="s">
        <v>79</v>
      </c>
      <c r="AB1482" s="0" t="s">
        <v>300</v>
      </c>
      <c r="AC1482" s="0" t="s">
        <v>532</v>
      </c>
      <c r="AD1482" s="0" t="s">
        <v>10063</v>
      </c>
      <c r="AE1482" s="0" t="s">
        <v>10064</v>
      </c>
      <c r="AF1482" s="0" t="s">
        <v>301</v>
      </c>
      <c r="AP1482" s="0" t="s">
        <v>305</v>
      </c>
      <c r="BA1482" s="0">
        <v>577</v>
      </c>
      <c r="BB1482" s="0" t="s">
        <v>232</v>
      </c>
      <c r="BC1482" s="0">
        <v>2</v>
      </c>
      <c r="BD1482" s="0">
        <v>28</v>
      </c>
      <c r="BE1482" s="0">
        <v>364</v>
      </c>
      <c r="BF1482" s="0">
        <v>4</v>
      </c>
      <c r="BG1482" s="0" t="s">
        <v>10106</v>
      </c>
      <c r="BI1482" s="0">
        <v>2782</v>
      </c>
      <c r="BK1482" s="0" t="s">
        <v>10107</v>
      </c>
    </row>
    <row r="1483">
      <c r="A1483" s="0">
        <v>6281</v>
      </c>
      <c r="B1483" s="0" t="s">
        <v>10108</v>
      </c>
      <c r="C1483" s="0" t="s">
        <v>315</v>
      </c>
      <c r="D1483" s="0" t="s">
        <v>9667</v>
      </c>
      <c r="E1483" s="0" t="s">
        <v>10109</v>
      </c>
      <c r="F1483" s="0">
        <v>1</v>
      </c>
      <c r="G1483" s="0" t="s">
        <v>555</v>
      </c>
      <c r="H1483" s="0" t="s">
        <v>7735</v>
      </c>
      <c r="I1483" s="0" t="s">
        <v>417</v>
      </c>
      <c r="J1483" s="0" t="s">
        <v>293</v>
      </c>
      <c r="K1483" s="0" t="s">
        <v>294</v>
      </c>
      <c r="L1483" s="0" t="s">
        <v>295</v>
      </c>
      <c r="P1483" s="0" t="s">
        <v>323</v>
      </c>
      <c r="Q1483" s="0" t="s">
        <v>323</v>
      </c>
      <c r="R1483" s="0" t="s">
        <v>568</v>
      </c>
      <c r="U1483" s="0" t="s">
        <v>10110</v>
      </c>
      <c r="W1483" s="0" t="s">
        <v>9365</v>
      </c>
      <c r="X1483" s="0" t="s">
        <v>347</v>
      </c>
      <c r="Y1483" s="0" t="s">
        <v>80</v>
      </c>
      <c r="Z1483" s="0" t="s">
        <v>3178</v>
      </c>
      <c r="AA1483" s="0" t="s">
        <v>79</v>
      </c>
      <c r="AB1483" s="0" t="s">
        <v>300</v>
      </c>
      <c r="AC1483" s="0" t="s">
        <v>532</v>
      </c>
      <c r="AD1483" s="0" t="s">
        <v>10063</v>
      </c>
      <c r="AE1483" s="0" t="s">
        <v>10064</v>
      </c>
      <c r="AF1483" s="0" t="s">
        <v>301</v>
      </c>
      <c r="AP1483" s="0" t="s">
        <v>305</v>
      </c>
      <c r="BA1483" s="0">
        <v>577</v>
      </c>
      <c r="BB1483" s="0" t="s">
        <v>232</v>
      </c>
      <c r="BC1483" s="0">
        <v>2</v>
      </c>
      <c r="BD1483" s="0">
        <v>374043</v>
      </c>
      <c r="BE1483" s="0">
        <v>364</v>
      </c>
      <c r="BF1483" s="0">
        <v>4</v>
      </c>
      <c r="BG1483" s="0" t="s">
        <v>10111</v>
      </c>
      <c r="BI1483" s="0">
        <v>2951</v>
      </c>
      <c r="BK1483" s="0" t="s">
        <v>10112</v>
      </c>
    </row>
    <row r="1484">
      <c r="A1484" s="0">
        <v>6283</v>
      </c>
      <c r="B1484" s="0" t="s">
        <v>10113</v>
      </c>
      <c r="C1484" s="0" t="s">
        <v>1139</v>
      </c>
      <c r="D1484" s="0" t="s">
        <v>9667</v>
      </c>
      <c r="E1484" s="0" t="s">
        <v>5033</v>
      </c>
      <c r="F1484" s="0">
        <v>1</v>
      </c>
      <c r="G1484" s="0" t="s">
        <v>293</v>
      </c>
      <c r="H1484" s="0" t="s">
        <v>294</v>
      </c>
      <c r="I1484" s="0" t="s">
        <v>295</v>
      </c>
      <c r="P1484" s="0" t="s">
        <v>323</v>
      </c>
      <c r="Q1484" s="0" t="s">
        <v>343</v>
      </c>
      <c r="R1484" s="0" t="s">
        <v>10114</v>
      </c>
      <c r="U1484" s="0" t="s">
        <v>10115</v>
      </c>
      <c r="W1484" s="0" t="s">
        <v>9365</v>
      </c>
      <c r="X1484" s="0" t="s">
        <v>347</v>
      </c>
      <c r="Y1484" s="0" t="s">
        <v>80</v>
      </c>
      <c r="Z1484" s="0" t="s">
        <v>3178</v>
      </c>
      <c r="AA1484" s="0" t="s">
        <v>79</v>
      </c>
      <c r="AB1484" s="0" t="s">
        <v>300</v>
      </c>
      <c r="AC1484" s="0" t="s">
        <v>532</v>
      </c>
      <c r="AD1484" s="0" t="s">
        <v>10063</v>
      </c>
      <c r="AE1484" s="0" t="s">
        <v>10064</v>
      </c>
      <c r="AF1484" s="0" t="s">
        <v>301</v>
      </c>
      <c r="AM1484" s="0" t="s">
        <v>5037</v>
      </c>
      <c r="AN1484" s="0" t="s">
        <v>762</v>
      </c>
      <c r="AO1484" s="0" t="s">
        <v>5038</v>
      </c>
      <c r="AP1484" s="0" t="s">
        <v>305</v>
      </c>
      <c r="AQ1484" s="0" t="s">
        <v>1450</v>
      </c>
      <c r="AR1484" s="0" t="s">
        <v>1059</v>
      </c>
      <c r="AS1484" s="0">
        <v>576</v>
      </c>
      <c r="AT1484" s="0">
        <v>1206</v>
      </c>
      <c r="AU1484" s="0">
        <v>1353</v>
      </c>
      <c r="AV1484" s="0" t="s">
        <v>332</v>
      </c>
      <c r="AW1484" s="0" t="s">
        <v>332</v>
      </c>
      <c r="AX1484" s="0" t="s">
        <v>3023</v>
      </c>
      <c r="AY1484" s="0" t="s">
        <v>1771</v>
      </c>
      <c r="AZ1484" s="0" t="s">
        <v>883</v>
      </c>
      <c r="BA1484" s="0">
        <v>577</v>
      </c>
      <c r="BB1484" s="0" t="s">
        <v>232</v>
      </c>
      <c r="BC1484" s="0">
        <v>2</v>
      </c>
      <c r="BD1484" s="0">
        <v>38030</v>
      </c>
      <c r="BE1484" s="0">
        <v>364</v>
      </c>
      <c r="BF1484" s="0">
        <v>4</v>
      </c>
      <c r="BG1484" s="0" t="s">
        <v>10116</v>
      </c>
      <c r="BI1484" s="0">
        <v>3269</v>
      </c>
      <c r="BK1484" s="0" t="s">
        <v>10117</v>
      </c>
    </row>
    <row r="1485">
      <c r="A1485" s="0">
        <v>6284</v>
      </c>
      <c r="B1485" s="0" t="s">
        <v>10118</v>
      </c>
      <c r="C1485" s="0" t="s">
        <v>1139</v>
      </c>
      <c r="D1485" s="0" t="s">
        <v>9667</v>
      </c>
      <c r="E1485" s="0" t="s">
        <v>10119</v>
      </c>
      <c r="F1485" s="0">
        <v>1</v>
      </c>
      <c r="G1485" s="0" t="s">
        <v>293</v>
      </c>
      <c r="H1485" s="0" t="s">
        <v>294</v>
      </c>
      <c r="I1485" s="0" t="s">
        <v>295</v>
      </c>
      <c r="P1485" s="0" t="s">
        <v>323</v>
      </c>
      <c r="Q1485" s="0" t="s">
        <v>343</v>
      </c>
      <c r="R1485" s="0" t="s">
        <v>7701</v>
      </c>
      <c r="U1485" s="0" t="s">
        <v>10120</v>
      </c>
      <c r="W1485" s="0" t="s">
        <v>9365</v>
      </c>
      <c r="X1485" s="0" t="s">
        <v>347</v>
      </c>
      <c r="Y1485" s="0" t="s">
        <v>80</v>
      </c>
      <c r="Z1485" s="0" t="s">
        <v>3178</v>
      </c>
      <c r="AA1485" s="0" t="s">
        <v>79</v>
      </c>
      <c r="AB1485" s="0" t="s">
        <v>300</v>
      </c>
      <c r="AC1485" s="0" t="s">
        <v>532</v>
      </c>
      <c r="AD1485" s="0" t="s">
        <v>10063</v>
      </c>
      <c r="AE1485" s="0" t="s">
        <v>10064</v>
      </c>
      <c r="AF1485" s="0" t="s">
        <v>301</v>
      </c>
      <c r="AM1485" s="0" t="s">
        <v>5037</v>
      </c>
      <c r="AN1485" s="0" t="s">
        <v>310</v>
      </c>
      <c r="AO1485" s="0" t="s">
        <v>5038</v>
      </c>
      <c r="AP1485" s="0" t="s">
        <v>305</v>
      </c>
      <c r="AQ1485" s="0" t="s">
        <v>5045</v>
      </c>
      <c r="AR1485" s="0" t="s">
        <v>5046</v>
      </c>
      <c r="AS1485" s="0">
        <v>903</v>
      </c>
      <c r="AT1485" s="0">
        <v>1883</v>
      </c>
      <c r="AU1485" s="0">
        <v>2023</v>
      </c>
      <c r="AV1485" s="0" t="s">
        <v>332</v>
      </c>
      <c r="AW1485" s="0" t="s">
        <v>332</v>
      </c>
      <c r="AX1485" s="0" t="s">
        <v>780</v>
      </c>
      <c r="AY1485" s="0" t="s">
        <v>1771</v>
      </c>
      <c r="AZ1485" s="0" t="s">
        <v>307</v>
      </c>
      <c r="BA1485" s="0">
        <v>577</v>
      </c>
      <c r="BB1485" s="0" t="s">
        <v>232</v>
      </c>
      <c r="BC1485" s="0">
        <v>2</v>
      </c>
      <c r="BD1485" s="0">
        <v>38030</v>
      </c>
      <c r="BE1485" s="0">
        <v>364</v>
      </c>
      <c r="BF1485" s="0">
        <v>4</v>
      </c>
      <c r="BG1485" s="0" t="s">
        <v>10121</v>
      </c>
      <c r="BH1485" s="0">
        <v>1</v>
      </c>
      <c r="BI1485" s="0">
        <v>3402</v>
      </c>
      <c r="BK1485" s="0" t="s">
        <v>10122</v>
      </c>
    </row>
    <row r="1486">
      <c r="A1486" s="0">
        <v>6271</v>
      </c>
      <c r="B1486" s="0" t="s">
        <v>5920</v>
      </c>
      <c r="C1486" s="0" t="s">
        <v>315</v>
      </c>
      <c r="D1486" s="0" t="s">
        <v>9667</v>
      </c>
      <c r="E1486" s="0" t="s">
        <v>10123</v>
      </c>
      <c r="F1486" s="0">
        <v>1</v>
      </c>
      <c r="G1486" s="0" t="s">
        <v>319</v>
      </c>
      <c r="H1486" s="0" t="s">
        <v>483</v>
      </c>
      <c r="I1486" s="0" t="s">
        <v>7123</v>
      </c>
      <c r="J1486" s="0" t="s">
        <v>293</v>
      </c>
      <c r="K1486" s="0" t="s">
        <v>294</v>
      </c>
      <c r="L1486" s="0" t="s">
        <v>295</v>
      </c>
      <c r="P1486" s="0" t="s">
        <v>323</v>
      </c>
      <c r="Q1486" s="0" t="s">
        <v>343</v>
      </c>
      <c r="R1486" s="0" t="s">
        <v>661</v>
      </c>
      <c r="U1486" s="0" t="s">
        <v>10124</v>
      </c>
      <c r="W1486" s="0" t="s">
        <v>9365</v>
      </c>
      <c r="X1486" s="0" t="s">
        <v>347</v>
      </c>
      <c r="Y1486" s="0" t="s">
        <v>80</v>
      </c>
      <c r="Z1486" s="0" t="s">
        <v>3178</v>
      </c>
      <c r="AA1486" s="0" t="s">
        <v>79</v>
      </c>
      <c r="AB1486" s="0" t="s">
        <v>300</v>
      </c>
      <c r="AC1486" s="0" t="s">
        <v>532</v>
      </c>
      <c r="AD1486" s="0" t="s">
        <v>10063</v>
      </c>
      <c r="AE1486" s="0" t="s">
        <v>10064</v>
      </c>
      <c r="AF1486" s="0" t="s">
        <v>301</v>
      </c>
      <c r="AP1486" s="0" t="s">
        <v>305</v>
      </c>
      <c r="BA1486" s="0">
        <v>577</v>
      </c>
      <c r="BB1486" s="0" t="s">
        <v>232</v>
      </c>
      <c r="BC1486" s="0">
        <v>2</v>
      </c>
      <c r="BD1486" s="0">
        <v>374043</v>
      </c>
      <c r="BE1486" s="0">
        <v>364</v>
      </c>
      <c r="BF1486" s="0">
        <v>4</v>
      </c>
      <c r="BG1486" s="0" t="s">
        <v>10125</v>
      </c>
      <c r="BI1486" s="0">
        <v>450</v>
      </c>
      <c r="BK1486" s="0" t="s">
        <v>10126</v>
      </c>
    </row>
    <row r="1487">
      <c r="A1487" s="0">
        <v>6273</v>
      </c>
      <c r="B1487" s="0" t="s">
        <v>10127</v>
      </c>
      <c r="C1487" s="0" t="s">
        <v>945</v>
      </c>
      <c r="D1487" s="0" t="s">
        <v>9667</v>
      </c>
      <c r="E1487" s="0" t="s">
        <v>10128</v>
      </c>
      <c r="F1487" s="0">
        <v>1</v>
      </c>
      <c r="G1487" s="0" t="s">
        <v>543</v>
      </c>
      <c r="H1487" s="0" t="s">
        <v>1112</v>
      </c>
      <c r="I1487" s="0" t="s">
        <v>1189</v>
      </c>
      <c r="J1487" s="0" t="s">
        <v>594</v>
      </c>
      <c r="L1487" s="0" t="s">
        <v>1189</v>
      </c>
      <c r="M1487" s="0" t="s">
        <v>525</v>
      </c>
      <c r="N1487" s="0" t="s">
        <v>400</v>
      </c>
      <c r="O1487" s="0" t="s">
        <v>1133</v>
      </c>
      <c r="P1487" s="0" t="s">
        <v>323</v>
      </c>
      <c r="Q1487" s="0" t="s">
        <v>343</v>
      </c>
      <c r="R1487" s="0" t="s">
        <v>7701</v>
      </c>
      <c r="U1487" s="0" t="s">
        <v>10129</v>
      </c>
      <c r="W1487" s="0" t="s">
        <v>9365</v>
      </c>
      <c r="X1487" s="0" t="s">
        <v>347</v>
      </c>
      <c r="Y1487" s="0" t="s">
        <v>80</v>
      </c>
      <c r="Z1487" s="0" t="s">
        <v>3178</v>
      </c>
      <c r="AA1487" s="0" t="s">
        <v>79</v>
      </c>
      <c r="AB1487" s="0" t="s">
        <v>300</v>
      </c>
      <c r="AC1487" s="0" t="s">
        <v>532</v>
      </c>
      <c r="AD1487" s="0" t="s">
        <v>10063</v>
      </c>
      <c r="AE1487" s="0" t="s">
        <v>10064</v>
      </c>
      <c r="AF1487" s="0" t="s">
        <v>301</v>
      </c>
      <c r="AP1487" s="0" t="s">
        <v>305</v>
      </c>
      <c r="BA1487" s="0">
        <v>577</v>
      </c>
      <c r="BB1487" s="0" t="s">
        <v>232</v>
      </c>
      <c r="BC1487" s="0">
        <v>2</v>
      </c>
      <c r="BD1487" s="0">
        <v>14</v>
      </c>
      <c r="BE1487" s="0">
        <v>364</v>
      </c>
      <c r="BF1487" s="0">
        <v>4</v>
      </c>
      <c r="BG1487" s="0" t="s">
        <v>10130</v>
      </c>
      <c r="BI1487" s="0">
        <v>1168</v>
      </c>
      <c r="BK1487" s="0" t="s">
        <v>10131</v>
      </c>
    </row>
    <row r="1488">
      <c r="A1488" s="0">
        <v>6272</v>
      </c>
      <c r="B1488" s="0" t="s">
        <v>10132</v>
      </c>
      <c r="C1488" s="0" t="s">
        <v>945</v>
      </c>
      <c r="D1488" s="0" t="s">
        <v>9667</v>
      </c>
      <c r="E1488" s="0" t="s">
        <v>10133</v>
      </c>
      <c r="F1488" s="0">
        <v>1</v>
      </c>
      <c r="G1488" s="0" t="s">
        <v>543</v>
      </c>
      <c r="H1488" s="0" t="s">
        <v>1112</v>
      </c>
      <c r="I1488" s="0" t="s">
        <v>1189</v>
      </c>
      <c r="J1488" s="0" t="s">
        <v>594</v>
      </c>
      <c r="L1488" s="0" t="s">
        <v>1189</v>
      </c>
      <c r="M1488" s="0" t="s">
        <v>525</v>
      </c>
      <c r="N1488" s="0" t="s">
        <v>400</v>
      </c>
      <c r="O1488" s="0" t="s">
        <v>1133</v>
      </c>
      <c r="P1488" s="0" t="s">
        <v>323</v>
      </c>
      <c r="Q1488" s="0" t="s">
        <v>323</v>
      </c>
      <c r="R1488" s="0" t="s">
        <v>10114</v>
      </c>
      <c r="U1488" s="0" t="s">
        <v>10134</v>
      </c>
      <c r="W1488" s="0" t="s">
        <v>9365</v>
      </c>
      <c r="X1488" s="0" t="s">
        <v>347</v>
      </c>
      <c r="Y1488" s="0" t="s">
        <v>80</v>
      </c>
      <c r="Z1488" s="0" t="s">
        <v>3178</v>
      </c>
      <c r="AA1488" s="0" t="s">
        <v>79</v>
      </c>
      <c r="AB1488" s="0" t="s">
        <v>300</v>
      </c>
      <c r="AC1488" s="0" t="s">
        <v>532</v>
      </c>
      <c r="AD1488" s="0" t="s">
        <v>10063</v>
      </c>
      <c r="AE1488" s="0" t="s">
        <v>10064</v>
      </c>
      <c r="AF1488" s="0" t="s">
        <v>301</v>
      </c>
      <c r="AP1488" s="0" t="s">
        <v>305</v>
      </c>
      <c r="BA1488" s="0">
        <v>577</v>
      </c>
      <c r="BB1488" s="0" t="s">
        <v>232</v>
      </c>
      <c r="BC1488" s="0">
        <v>2</v>
      </c>
      <c r="BD1488" s="0">
        <v>14</v>
      </c>
      <c r="BE1488" s="0">
        <v>364</v>
      </c>
      <c r="BF1488" s="0">
        <v>4</v>
      </c>
      <c r="BG1488" s="0" t="s">
        <v>10135</v>
      </c>
      <c r="BI1488" s="0">
        <v>842</v>
      </c>
      <c r="BK1488" s="0" t="s">
        <v>10136</v>
      </c>
    </row>
    <row r="1489">
      <c r="A1489" s="0">
        <v>6275</v>
      </c>
      <c r="B1489" s="0" t="s">
        <v>8709</v>
      </c>
      <c r="C1489" s="0" t="s">
        <v>315</v>
      </c>
      <c r="D1489" s="0" t="s">
        <v>9667</v>
      </c>
      <c r="E1489" s="0" t="s">
        <v>8710</v>
      </c>
      <c r="F1489" s="0">
        <v>1</v>
      </c>
      <c r="G1489" s="0" t="s">
        <v>319</v>
      </c>
      <c r="H1489" s="0" t="s">
        <v>483</v>
      </c>
      <c r="I1489" s="0" t="s">
        <v>524</v>
      </c>
      <c r="J1489" s="0" t="s">
        <v>293</v>
      </c>
      <c r="K1489" s="0" t="s">
        <v>294</v>
      </c>
      <c r="L1489" s="0" t="s">
        <v>918</v>
      </c>
      <c r="P1489" s="0" t="s">
        <v>343</v>
      </c>
      <c r="Q1489" s="0" t="s">
        <v>343</v>
      </c>
      <c r="U1489" s="0" t="s">
        <v>10137</v>
      </c>
      <c r="W1489" s="0" t="s">
        <v>9365</v>
      </c>
      <c r="X1489" s="0" t="s">
        <v>347</v>
      </c>
      <c r="Y1489" s="0" t="s">
        <v>80</v>
      </c>
      <c r="Z1489" s="0" t="s">
        <v>3178</v>
      </c>
      <c r="AA1489" s="0" t="s">
        <v>79</v>
      </c>
      <c r="AB1489" s="0" t="s">
        <v>300</v>
      </c>
      <c r="AC1489" s="0" t="s">
        <v>532</v>
      </c>
      <c r="AD1489" s="0" t="s">
        <v>10063</v>
      </c>
      <c r="AE1489" s="0" t="s">
        <v>10064</v>
      </c>
      <c r="AF1489" s="0" t="s">
        <v>301</v>
      </c>
      <c r="AP1489" s="0" t="s">
        <v>305</v>
      </c>
      <c r="BA1489" s="0">
        <v>577</v>
      </c>
      <c r="BB1489" s="0" t="s">
        <v>232</v>
      </c>
      <c r="BC1489" s="0">
        <v>2</v>
      </c>
      <c r="BD1489" s="0">
        <v>374043</v>
      </c>
      <c r="BE1489" s="0">
        <v>364</v>
      </c>
      <c r="BF1489" s="0">
        <v>4</v>
      </c>
      <c r="BG1489" s="0" t="s">
        <v>10138</v>
      </c>
      <c r="BI1489" s="0">
        <v>1734</v>
      </c>
      <c r="BK1489" s="0" t="s">
        <v>10139</v>
      </c>
    </row>
    <row r="1490">
      <c r="A1490" s="0">
        <v>6285</v>
      </c>
      <c r="B1490" s="0" t="s">
        <v>1173</v>
      </c>
      <c r="C1490" s="0" t="s">
        <v>1139</v>
      </c>
      <c r="D1490" s="0" t="s">
        <v>9667</v>
      </c>
      <c r="E1490" s="0" t="s">
        <v>1174</v>
      </c>
      <c r="F1490" s="0">
        <v>1</v>
      </c>
      <c r="G1490" s="0" t="s">
        <v>293</v>
      </c>
      <c r="H1490" s="0" t="s">
        <v>294</v>
      </c>
      <c r="I1490" s="0" t="s">
        <v>295</v>
      </c>
      <c r="P1490" s="0" t="s">
        <v>343</v>
      </c>
      <c r="Q1490" s="0" t="s">
        <v>343</v>
      </c>
      <c r="U1490" s="0" t="s">
        <v>10140</v>
      </c>
      <c r="W1490" s="0" t="s">
        <v>9365</v>
      </c>
      <c r="X1490" s="0" t="s">
        <v>347</v>
      </c>
      <c r="Y1490" s="0" t="s">
        <v>80</v>
      </c>
      <c r="Z1490" s="0" t="s">
        <v>3178</v>
      </c>
      <c r="AA1490" s="0" t="s">
        <v>79</v>
      </c>
      <c r="AB1490" s="0" t="s">
        <v>300</v>
      </c>
      <c r="AC1490" s="0" t="s">
        <v>532</v>
      </c>
      <c r="AD1490" s="0" t="s">
        <v>10063</v>
      </c>
      <c r="AE1490" s="0" t="s">
        <v>10064</v>
      </c>
      <c r="AF1490" s="0" t="s">
        <v>301</v>
      </c>
      <c r="AM1490" s="0" t="s">
        <v>1178</v>
      </c>
      <c r="AN1490" s="0" t="s">
        <v>1179</v>
      </c>
      <c r="AO1490" s="0" t="s">
        <v>514</v>
      </c>
      <c r="AP1490" s="0" t="s">
        <v>305</v>
      </c>
      <c r="AQ1490" s="0" t="s">
        <v>10141</v>
      </c>
      <c r="AR1490" s="0" t="s">
        <v>1807</v>
      </c>
      <c r="AS1490" s="0">
        <v>435</v>
      </c>
      <c r="AT1490" s="0">
        <v>890</v>
      </c>
      <c r="AU1490" s="0">
        <v>1008</v>
      </c>
      <c r="AV1490" s="0" t="s">
        <v>332</v>
      </c>
      <c r="AW1490" s="0" t="s">
        <v>332</v>
      </c>
      <c r="AX1490" s="0" t="s">
        <v>1181</v>
      </c>
      <c r="AY1490" s="0" t="s">
        <v>426</v>
      </c>
      <c r="AZ1490" s="0" t="s">
        <v>1182</v>
      </c>
      <c r="BA1490" s="0">
        <v>577</v>
      </c>
      <c r="BB1490" s="0" t="s">
        <v>232</v>
      </c>
      <c r="BC1490" s="0">
        <v>2</v>
      </c>
      <c r="BD1490" s="0">
        <v>38030</v>
      </c>
      <c r="BE1490" s="0">
        <v>364</v>
      </c>
      <c r="BF1490" s="0">
        <v>4</v>
      </c>
      <c r="BG1490" s="0" t="s">
        <v>10142</v>
      </c>
      <c r="BI1490" s="0">
        <v>3522</v>
      </c>
      <c r="BK1490" s="0" t="s">
        <v>10143</v>
      </c>
    </row>
    <row r="1491">
      <c r="A1491" s="0">
        <v>6293</v>
      </c>
      <c r="B1491" s="0" t="s">
        <v>10144</v>
      </c>
      <c r="C1491" s="0" t="s">
        <v>916</v>
      </c>
      <c r="D1491" s="0" t="s">
        <v>10145</v>
      </c>
      <c r="E1491" s="0" t="s">
        <v>10146</v>
      </c>
      <c r="F1491" s="0">
        <v>1</v>
      </c>
      <c r="G1491" s="0" t="s">
        <v>293</v>
      </c>
      <c r="H1491" s="0" t="s">
        <v>294</v>
      </c>
      <c r="I1491" s="0" t="s">
        <v>295</v>
      </c>
      <c r="P1491" s="0" t="s">
        <v>323</v>
      </c>
      <c r="Q1491" s="0" t="s">
        <v>323</v>
      </c>
      <c r="R1491" s="0" t="s">
        <v>1791</v>
      </c>
      <c r="U1491" s="0" t="s">
        <v>10147</v>
      </c>
      <c r="W1491" s="0" t="s">
        <v>10145</v>
      </c>
      <c r="X1491" s="0" t="s">
        <v>347</v>
      </c>
      <c r="Y1491" s="0" t="s">
        <v>87</v>
      </c>
      <c r="Z1491" s="0" t="s">
        <v>6385</v>
      </c>
      <c r="AA1491" s="0" t="s">
        <v>86</v>
      </c>
      <c r="AB1491" s="0" t="s">
        <v>531</v>
      </c>
      <c r="AC1491" s="0" t="s">
        <v>571</v>
      </c>
      <c r="AF1491" s="0" t="s">
        <v>301</v>
      </c>
      <c r="AM1491" s="0" t="s">
        <v>333</v>
      </c>
      <c r="AN1491" s="0" t="s">
        <v>352</v>
      </c>
      <c r="AO1491" s="0" t="s">
        <v>608</v>
      </c>
      <c r="AP1491" s="0" t="s">
        <v>305</v>
      </c>
      <c r="AQ1491" s="0" t="s">
        <v>424</v>
      </c>
      <c r="AR1491" s="0" t="s">
        <v>373</v>
      </c>
      <c r="AS1491" s="0">
        <v>83</v>
      </c>
      <c r="AT1491" s="0">
        <v>173</v>
      </c>
      <c r="AU1491" s="0">
        <v>190</v>
      </c>
      <c r="AV1491" s="0" t="s">
        <v>332</v>
      </c>
      <c r="AW1491" s="0" t="s">
        <v>332</v>
      </c>
      <c r="AX1491" s="0" t="s">
        <v>701</v>
      </c>
      <c r="AY1491" s="0" t="s">
        <v>2900</v>
      </c>
      <c r="AZ1491" s="0" t="s">
        <v>10148</v>
      </c>
      <c r="BA1491" s="0">
        <v>578</v>
      </c>
      <c r="BB1491" s="0" t="s">
        <v>232</v>
      </c>
      <c r="BC1491" s="0">
        <v>2</v>
      </c>
      <c r="BD1491" s="0">
        <v>15</v>
      </c>
      <c r="BE1491" s="0">
        <v>192</v>
      </c>
      <c r="BF1491" s="0">
        <v>4</v>
      </c>
      <c r="BG1491" s="0" t="s">
        <v>10149</v>
      </c>
      <c r="BI1491" s="0">
        <v>1733</v>
      </c>
      <c r="BK1491" s="0" t="s">
        <v>10150</v>
      </c>
    </row>
    <row r="1492">
      <c r="A1492" s="0">
        <v>6290</v>
      </c>
      <c r="B1492" s="0" t="s">
        <v>1854</v>
      </c>
      <c r="C1492" s="0" t="s">
        <v>1855</v>
      </c>
      <c r="D1492" s="0" t="s">
        <v>10145</v>
      </c>
      <c r="E1492" s="0" t="s">
        <v>1856</v>
      </c>
      <c r="F1492" s="0">
        <v>1</v>
      </c>
      <c r="G1492" s="0" t="s">
        <v>293</v>
      </c>
      <c r="H1492" s="0" t="s">
        <v>294</v>
      </c>
      <c r="I1492" s="0" t="s">
        <v>295</v>
      </c>
      <c r="K1492" s="0" t="s">
        <v>400</v>
      </c>
      <c r="L1492" s="0" t="s">
        <v>295</v>
      </c>
      <c r="P1492" s="0" t="s">
        <v>343</v>
      </c>
      <c r="Q1492" s="0" t="s">
        <v>343</v>
      </c>
      <c r="U1492" s="0" t="s">
        <v>10151</v>
      </c>
      <c r="W1492" s="0" t="s">
        <v>10145</v>
      </c>
      <c r="X1492" s="0" t="s">
        <v>347</v>
      </c>
      <c r="Y1492" s="0" t="s">
        <v>87</v>
      </c>
      <c r="Z1492" s="0" t="s">
        <v>6385</v>
      </c>
      <c r="AA1492" s="0" t="s">
        <v>86</v>
      </c>
      <c r="AB1492" s="0" t="s">
        <v>531</v>
      </c>
      <c r="AC1492" s="0" t="s">
        <v>571</v>
      </c>
      <c r="AF1492" s="0" t="s">
        <v>301</v>
      </c>
      <c r="AP1492" s="0" t="s">
        <v>305</v>
      </c>
      <c r="BA1492" s="0">
        <v>578</v>
      </c>
      <c r="BB1492" s="0" t="s">
        <v>232</v>
      </c>
      <c r="BC1492" s="0">
        <v>2</v>
      </c>
      <c r="BD1492" s="0">
        <v>28</v>
      </c>
      <c r="BE1492" s="0">
        <v>192</v>
      </c>
      <c r="BF1492" s="0">
        <v>4</v>
      </c>
      <c r="BG1492" s="0" t="s">
        <v>10152</v>
      </c>
      <c r="BI1492" s="0">
        <v>838</v>
      </c>
      <c r="BK1492" s="0" t="s">
        <v>10153</v>
      </c>
    </row>
    <row r="1493">
      <c r="A1493" s="0">
        <v>6291</v>
      </c>
      <c r="B1493" s="0" t="s">
        <v>1860</v>
      </c>
      <c r="C1493" s="0" t="s">
        <v>1855</v>
      </c>
      <c r="D1493" s="0" t="s">
        <v>10145</v>
      </c>
      <c r="E1493" s="0" t="s">
        <v>1861</v>
      </c>
      <c r="F1493" s="0">
        <v>1</v>
      </c>
      <c r="G1493" s="0" t="s">
        <v>293</v>
      </c>
      <c r="H1493" s="0" t="s">
        <v>294</v>
      </c>
      <c r="I1493" s="0" t="s">
        <v>295</v>
      </c>
      <c r="K1493" s="0" t="s">
        <v>400</v>
      </c>
      <c r="L1493" s="0" t="s">
        <v>1916</v>
      </c>
      <c r="P1493" s="0" t="s">
        <v>343</v>
      </c>
      <c r="Q1493" s="0" t="s">
        <v>343</v>
      </c>
      <c r="U1493" s="0" t="s">
        <v>10154</v>
      </c>
      <c r="W1493" s="0" t="s">
        <v>10145</v>
      </c>
      <c r="X1493" s="0" t="s">
        <v>347</v>
      </c>
      <c r="Y1493" s="0" t="s">
        <v>87</v>
      </c>
      <c r="Z1493" s="0" t="s">
        <v>6385</v>
      </c>
      <c r="AA1493" s="0" t="s">
        <v>86</v>
      </c>
      <c r="AB1493" s="0" t="s">
        <v>531</v>
      </c>
      <c r="AC1493" s="0" t="s">
        <v>571</v>
      </c>
      <c r="AF1493" s="0" t="s">
        <v>301</v>
      </c>
      <c r="AP1493" s="0" t="s">
        <v>305</v>
      </c>
      <c r="BA1493" s="0">
        <v>578</v>
      </c>
      <c r="BB1493" s="0" t="s">
        <v>232</v>
      </c>
      <c r="BC1493" s="0">
        <v>2</v>
      </c>
      <c r="BD1493" s="0">
        <v>28</v>
      </c>
      <c r="BE1493" s="0">
        <v>192</v>
      </c>
      <c r="BF1493" s="0">
        <v>4</v>
      </c>
      <c r="BG1493" s="0" t="s">
        <v>10155</v>
      </c>
      <c r="BI1493" s="0">
        <v>1165</v>
      </c>
      <c r="BK1493" s="0" t="s">
        <v>10156</v>
      </c>
    </row>
    <row r="1494">
      <c r="A1494" s="0">
        <v>6289</v>
      </c>
      <c r="B1494" s="0" t="s">
        <v>553</v>
      </c>
      <c r="C1494" s="0" t="s">
        <v>315</v>
      </c>
      <c r="D1494" s="0" t="s">
        <v>10145</v>
      </c>
      <c r="E1494" s="0" t="s">
        <v>554</v>
      </c>
      <c r="F1494" s="0">
        <v>1</v>
      </c>
      <c r="G1494" s="0" t="s">
        <v>543</v>
      </c>
      <c r="H1494" s="0" t="s">
        <v>1112</v>
      </c>
      <c r="I1494" s="0" t="s">
        <v>4069</v>
      </c>
      <c r="K1494" s="0" t="s">
        <v>400</v>
      </c>
      <c r="L1494" s="0" t="s">
        <v>2947</v>
      </c>
      <c r="M1494" s="0" t="s">
        <v>293</v>
      </c>
      <c r="N1494" s="0" t="s">
        <v>294</v>
      </c>
      <c r="O1494" s="0" t="s">
        <v>295</v>
      </c>
      <c r="P1494" s="0" t="s">
        <v>323</v>
      </c>
      <c r="Q1494" s="0" t="s">
        <v>323</v>
      </c>
      <c r="R1494" s="0" t="s">
        <v>1783</v>
      </c>
      <c r="U1494" s="0" t="s">
        <v>10157</v>
      </c>
      <c r="W1494" s="0" t="s">
        <v>10145</v>
      </c>
      <c r="X1494" s="0" t="s">
        <v>347</v>
      </c>
      <c r="Y1494" s="0" t="s">
        <v>87</v>
      </c>
      <c r="Z1494" s="0" t="s">
        <v>6385</v>
      </c>
      <c r="AA1494" s="0" t="s">
        <v>86</v>
      </c>
      <c r="AB1494" s="0" t="s">
        <v>531</v>
      </c>
      <c r="AC1494" s="0" t="s">
        <v>571</v>
      </c>
      <c r="AF1494" s="0" t="s">
        <v>301</v>
      </c>
      <c r="AP1494" s="0" t="s">
        <v>305</v>
      </c>
      <c r="BA1494" s="0">
        <v>578</v>
      </c>
      <c r="BB1494" s="0" t="s">
        <v>232</v>
      </c>
      <c r="BC1494" s="0">
        <v>2</v>
      </c>
      <c r="BD1494" s="0">
        <v>374043</v>
      </c>
      <c r="BE1494" s="0">
        <v>192</v>
      </c>
      <c r="BF1494" s="0">
        <v>4</v>
      </c>
      <c r="BG1494" s="0" t="s">
        <v>10158</v>
      </c>
      <c r="BI1494" s="0">
        <v>448</v>
      </c>
      <c r="BK1494" s="0" t="s">
        <v>10159</v>
      </c>
    </row>
    <row r="1495">
      <c r="A1495" s="0">
        <v>6292</v>
      </c>
      <c r="B1495" s="0" t="s">
        <v>1895</v>
      </c>
      <c r="C1495" s="0" t="s">
        <v>1139</v>
      </c>
      <c r="D1495" s="0" t="s">
        <v>10145</v>
      </c>
      <c r="E1495" s="0" t="s">
        <v>1896</v>
      </c>
      <c r="F1495" s="0">
        <v>1</v>
      </c>
      <c r="G1495" s="0" t="s">
        <v>293</v>
      </c>
      <c r="H1495" s="0" t="s">
        <v>294</v>
      </c>
      <c r="I1495" s="0" t="s">
        <v>295</v>
      </c>
      <c r="P1495" s="0" t="s">
        <v>343</v>
      </c>
      <c r="Q1495" s="0" t="s">
        <v>343</v>
      </c>
      <c r="U1495" s="0" t="s">
        <v>10160</v>
      </c>
      <c r="W1495" s="0" t="s">
        <v>10145</v>
      </c>
      <c r="X1495" s="0" t="s">
        <v>347</v>
      </c>
      <c r="Y1495" s="0" t="s">
        <v>87</v>
      </c>
      <c r="Z1495" s="0" t="s">
        <v>6385</v>
      </c>
      <c r="AA1495" s="0" t="s">
        <v>86</v>
      </c>
      <c r="AB1495" s="0" t="s">
        <v>531</v>
      </c>
      <c r="AC1495" s="0" t="s">
        <v>571</v>
      </c>
      <c r="AF1495" s="0" t="s">
        <v>301</v>
      </c>
      <c r="AM1495" s="0" t="s">
        <v>422</v>
      </c>
      <c r="AN1495" s="0" t="s">
        <v>1899</v>
      </c>
      <c r="AO1495" s="0" t="s">
        <v>487</v>
      </c>
      <c r="AP1495" s="0" t="s">
        <v>305</v>
      </c>
      <c r="AQ1495" s="0" t="s">
        <v>8649</v>
      </c>
      <c r="AR1495" s="0" t="s">
        <v>5953</v>
      </c>
      <c r="AS1495" s="0">
        <v>201</v>
      </c>
      <c r="AT1495" s="0">
        <v>427</v>
      </c>
      <c r="AU1495" s="0">
        <v>486</v>
      </c>
      <c r="AV1495" s="0" t="s">
        <v>332</v>
      </c>
      <c r="AX1495" s="0" t="s">
        <v>4158</v>
      </c>
      <c r="AY1495" s="0" t="s">
        <v>426</v>
      </c>
      <c r="AZ1495" s="0" t="s">
        <v>8650</v>
      </c>
      <c r="BA1495" s="0">
        <v>578</v>
      </c>
      <c r="BB1495" s="0" t="s">
        <v>232</v>
      </c>
      <c r="BC1495" s="0">
        <v>2</v>
      </c>
      <c r="BD1495" s="0">
        <v>38030</v>
      </c>
      <c r="BE1495" s="0">
        <v>192</v>
      </c>
      <c r="BF1495" s="0">
        <v>4</v>
      </c>
      <c r="BG1495" s="0" t="s">
        <v>10161</v>
      </c>
      <c r="BI1495" s="0">
        <v>1464</v>
      </c>
      <c r="BK1495" s="0" t="s">
        <v>10162</v>
      </c>
    </row>
    <row r="1496">
      <c r="A1496" s="0">
        <v>6294</v>
      </c>
      <c r="B1496" s="0" t="s">
        <v>10163</v>
      </c>
      <c r="C1496" s="0" t="s">
        <v>656</v>
      </c>
      <c r="D1496" s="0" t="s">
        <v>10164</v>
      </c>
      <c r="E1496" s="0" t="s">
        <v>1626</v>
      </c>
      <c r="F1496" s="0">
        <v>1</v>
      </c>
      <c r="G1496" s="0" t="s">
        <v>293</v>
      </c>
      <c r="H1496" s="0" t="s">
        <v>294</v>
      </c>
      <c r="I1496" s="0" t="s">
        <v>295</v>
      </c>
      <c r="P1496" s="0" t="s">
        <v>323</v>
      </c>
      <c r="Q1496" s="0" t="s">
        <v>323</v>
      </c>
      <c r="R1496" s="0" t="s">
        <v>1791</v>
      </c>
      <c r="T1496" s="0" t="s">
        <v>10165</v>
      </c>
      <c r="W1496" s="0" t="s">
        <v>10164</v>
      </c>
      <c r="X1496" s="0" t="s">
        <v>529</v>
      </c>
      <c r="Y1496" s="0" t="s">
        <v>71</v>
      </c>
      <c r="Z1496" s="0" t="s">
        <v>4923</v>
      </c>
      <c r="AA1496" s="0" t="s">
        <v>70</v>
      </c>
      <c r="AB1496" s="0" t="s">
        <v>300</v>
      </c>
      <c r="AC1496" s="0" t="s">
        <v>532</v>
      </c>
      <c r="AD1496" s="0" t="s">
        <v>7953</v>
      </c>
      <c r="AE1496" s="0" t="s">
        <v>10166</v>
      </c>
      <c r="AF1496" s="0" t="s">
        <v>1688</v>
      </c>
      <c r="AP1496" s="0" t="s">
        <v>305</v>
      </c>
      <c r="BA1496" s="0">
        <v>579</v>
      </c>
      <c r="BB1496" s="0" t="s">
        <v>232</v>
      </c>
      <c r="BC1496" s="0">
        <v>3</v>
      </c>
      <c r="BD1496" s="0">
        <v>10</v>
      </c>
      <c r="BE1496" s="0">
        <v>518908</v>
      </c>
      <c r="BF1496" s="0">
        <v>2</v>
      </c>
      <c r="BG1496" s="0" t="s">
        <v>10167</v>
      </c>
      <c r="BI1496" s="0">
        <v>455</v>
      </c>
      <c r="BK1496" s="0" t="s">
        <v>10168</v>
      </c>
    </row>
    <row r="1497">
      <c r="A1497" s="0">
        <v>6295</v>
      </c>
      <c r="B1497" s="0" t="s">
        <v>10169</v>
      </c>
      <c r="C1497" s="0" t="s">
        <v>315</v>
      </c>
      <c r="D1497" s="0" t="s">
        <v>10170</v>
      </c>
      <c r="E1497" s="0" t="s">
        <v>10171</v>
      </c>
      <c r="F1497" s="0">
        <v>1</v>
      </c>
      <c r="G1497" s="0" t="s">
        <v>555</v>
      </c>
      <c r="H1497" s="0" t="s">
        <v>1020</v>
      </c>
      <c r="I1497" s="0" t="s">
        <v>10172</v>
      </c>
      <c r="J1497" s="0" t="s">
        <v>6090</v>
      </c>
      <c r="K1497" s="0" t="s">
        <v>6091</v>
      </c>
      <c r="L1497" s="0" t="s">
        <v>10172</v>
      </c>
      <c r="M1497" s="0" t="s">
        <v>400</v>
      </c>
      <c r="O1497" s="0" t="s">
        <v>7988</v>
      </c>
      <c r="P1497" s="0" t="s">
        <v>323</v>
      </c>
      <c r="Q1497" s="0" t="s">
        <v>323</v>
      </c>
      <c r="R1497" s="0" t="s">
        <v>1612</v>
      </c>
      <c r="T1497" s="0" t="s">
        <v>10173</v>
      </c>
      <c r="U1497" s="0" t="s">
        <v>10174</v>
      </c>
      <c r="W1497" s="0" t="s">
        <v>10170</v>
      </c>
      <c r="X1497" s="0" t="s">
        <v>347</v>
      </c>
      <c r="Y1497" s="0" t="s">
        <v>83</v>
      </c>
      <c r="Z1497" s="0" t="s">
        <v>10175</v>
      </c>
      <c r="AA1497" s="0" t="s">
        <v>82</v>
      </c>
      <c r="AB1497" s="0" t="s">
        <v>300</v>
      </c>
      <c r="AD1497" s="0" t="s">
        <v>2465</v>
      </c>
      <c r="AE1497" s="0" t="s">
        <v>10176</v>
      </c>
      <c r="AF1497" s="0" t="s">
        <v>301</v>
      </c>
      <c r="AP1497" s="0" t="s">
        <v>305</v>
      </c>
      <c r="BA1497" s="0">
        <v>580</v>
      </c>
      <c r="BB1497" s="0" t="s">
        <v>232</v>
      </c>
      <c r="BC1497" s="0">
        <v>2</v>
      </c>
      <c r="BD1497" s="0">
        <v>374043</v>
      </c>
      <c r="BE1497" s="0">
        <v>90899</v>
      </c>
      <c r="BF1497" s="0">
        <v>4</v>
      </c>
      <c r="BG1497" s="0" t="s">
        <v>10177</v>
      </c>
      <c r="BI1497" s="0">
        <v>449</v>
      </c>
      <c r="BK1497" s="0" t="s">
        <v>10178</v>
      </c>
    </row>
    <row r="1498">
      <c r="A1498" s="0">
        <v>6296</v>
      </c>
      <c r="B1498" s="0" t="s">
        <v>10169</v>
      </c>
      <c r="C1498" s="0" t="s">
        <v>315</v>
      </c>
      <c r="D1498" s="0" t="s">
        <v>10170</v>
      </c>
      <c r="E1498" s="0" t="s">
        <v>10171</v>
      </c>
      <c r="F1498" s="0">
        <v>1</v>
      </c>
      <c r="G1498" s="0" t="s">
        <v>555</v>
      </c>
      <c r="H1498" s="0" t="s">
        <v>1020</v>
      </c>
      <c r="I1498" s="0" t="s">
        <v>10179</v>
      </c>
      <c r="J1498" s="0" t="s">
        <v>6090</v>
      </c>
      <c r="K1498" s="0" t="s">
        <v>6091</v>
      </c>
      <c r="L1498" s="0" t="s">
        <v>10179</v>
      </c>
      <c r="M1498" s="0" t="s">
        <v>400</v>
      </c>
      <c r="O1498" s="0" t="s">
        <v>7988</v>
      </c>
      <c r="P1498" s="0" t="s">
        <v>323</v>
      </c>
      <c r="Q1498" s="0" t="s">
        <v>323</v>
      </c>
      <c r="R1498" s="0" t="s">
        <v>8757</v>
      </c>
      <c r="T1498" s="0" t="s">
        <v>10180</v>
      </c>
      <c r="U1498" s="0" t="s">
        <v>10181</v>
      </c>
      <c r="W1498" s="0" t="s">
        <v>10170</v>
      </c>
      <c r="X1498" s="0" t="s">
        <v>347</v>
      </c>
      <c r="Y1498" s="0" t="s">
        <v>83</v>
      </c>
      <c r="Z1498" s="0" t="s">
        <v>10175</v>
      </c>
      <c r="AA1498" s="0" t="s">
        <v>82</v>
      </c>
      <c r="AB1498" s="0" t="s">
        <v>300</v>
      </c>
      <c r="AD1498" s="0" t="s">
        <v>2465</v>
      </c>
      <c r="AE1498" s="0" t="s">
        <v>10176</v>
      </c>
      <c r="AF1498" s="0" t="s">
        <v>301</v>
      </c>
      <c r="AP1498" s="0" t="s">
        <v>305</v>
      </c>
      <c r="BA1498" s="0">
        <v>580</v>
      </c>
      <c r="BB1498" s="0" t="s">
        <v>232</v>
      </c>
      <c r="BC1498" s="0">
        <v>2</v>
      </c>
      <c r="BD1498" s="0">
        <v>374043</v>
      </c>
      <c r="BE1498" s="0">
        <v>90899</v>
      </c>
      <c r="BF1498" s="0">
        <v>4</v>
      </c>
      <c r="BG1498" s="0" t="s">
        <v>10182</v>
      </c>
      <c r="BI1498" s="0">
        <v>839</v>
      </c>
      <c r="BK1498" s="0" t="s">
        <v>10183</v>
      </c>
    </row>
    <row r="1499">
      <c r="A1499" s="0">
        <v>6297</v>
      </c>
      <c r="B1499" s="0" t="s">
        <v>10169</v>
      </c>
      <c r="C1499" s="0" t="s">
        <v>315</v>
      </c>
      <c r="D1499" s="0" t="s">
        <v>10170</v>
      </c>
      <c r="E1499" s="0" t="s">
        <v>10171</v>
      </c>
      <c r="F1499" s="0">
        <v>1</v>
      </c>
      <c r="G1499" s="0" t="s">
        <v>555</v>
      </c>
      <c r="H1499" s="0" t="s">
        <v>1020</v>
      </c>
      <c r="I1499" s="0" t="s">
        <v>10184</v>
      </c>
      <c r="J1499" s="0" t="s">
        <v>6090</v>
      </c>
      <c r="L1499" s="0" t="s">
        <v>10184</v>
      </c>
      <c r="M1499" s="0" t="s">
        <v>400</v>
      </c>
      <c r="O1499" s="0" t="s">
        <v>469</v>
      </c>
      <c r="P1499" s="0" t="s">
        <v>323</v>
      </c>
      <c r="Q1499" s="0" t="s">
        <v>323</v>
      </c>
      <c r="R1499" s="0" t="s">
        <v>3028</v>
      </c>
      <c r="T1499" s="0" t="s">
        <v>10185</v>
      </c>
      <c r="U1499" s="0" t="s">
        <v>10186</v>
      </c>
      <c r="W1499" s="0" t="s">
        <v>10170</v>
      </c>
      <c r="X1499" s="0" t="s">
        <v>347</v>
      </c>
      <c r="Y1499" s="0" t="s">
        <v>83</v>
      </c>
      <c r="Z1499" s="0" t="s">
        <v>10175</v>
      </c>
      <c r="AA1499" s="0" t="s">
        <v>82</v>
      </c>
      <c r="AB1499" s="0" t="s">
        <v>300</v>
      </c>
      <c r="AD1499" s="0" t="s">
        <v>2465</v>
      </c>
      <c r="AE1499" s="0" t="s">
        <v>10176</v>
      </c>
      <c r="AF1499" s="0" t="s">
        <v>301</v>
      </c>
      <c r="AP1499" s="0" t="s">
        <v>305</v>
      </c>
      <c r="BA1499" s="0">
        <v>580</v>
      </c>
      <c r="BB1499" s="0" t="s">
        <v>232</v>
      </c>
      <c r="BC1499" s="0">
        <v>2</v>
      </c>
      <c r="BD1499" s="0">
        <v>374043</v>
      </c>
      <c r="BE1499" s="0">
        <v>90899</v>
      </c>
      <c r="BF1499" s="0">
        <v>4</v>
      </c>
      <c r="BG1499" s="0" t="s">
        <v>10187</v>
      </c>
      <c r="BI1499" s="0">
        <v>1167</v>
      </c>
      <c r="BK1499" s="0" t="s">
        <v>10188</v>
      </c>
    </row>
    <row r="1500">
      <c r="A1500" s="0">
        <v>6298</v>
      </c>
      <c r="B1500" s="0" t="s">
        <v>7374</v>
      </c>
      <c r="E1500" s="0" t="s">
        <v>7376</v>
      </c>
      <c r="F1500" s="0">
        <v>3</v>
      </c>
      <c r="G1500" s="0" t="s">
        <v>555</v>
      </c>
      <c r="H1500" s="0" t="s">
        <v>1112</v>
      </c>
      <c r="I1500" s="0" t="s">
        <v>4748</v>
      </c>
      <c r="J1500" s="0" t="s">
        <v>525</v>
      </c>
      <c r="K1500" s="0" t="s">
        <v>400</v>
      </c>
      <c r="L1500" s="0" t="s">
        <v>4749</v>
      </c>
      <c r="P1500" s="0" t="s">
        <v>343</v>
      </c>
      <c r="Q1500" s="0" t="s">
        <v>343</v>
      </c>
      <c r="T1500" s="0" t="s">
        <v>10189</v>
      </c>
      <c r="X1500" s="0" t="s">
        <v>1116</v>
      </c>
      <c r="Y1500" s="0" t="s">
        <v>36</v>
      </c>
      <c r="Z1500" s="0" t="s">
        <v>4002</v>
      </c>
      <c r="AA1500" s="0" t="s">
        <v>226</v>
      </c>
      <c r="AB1500" s="0" t="s">
        <v>531</v>
      </c>
      <c r="AC1500" s="0" t="s">
        <v>532</v>
      </c>
      <c r="AF1500" s="0" t="s">
        <v>1688</v>
      </c>
      <c r="AP1500" s="0" t="s">
        <v>305</v>
      </c>
      <c r="BA1500" s="0">
        <v>581</v>
      </c>
      <c r="BB1500" s="0" t="s">
        <v>232</v>
      </c>
      <c r="BC1500" s="0">
        <v>3</v>
      </c>
      <c r="BE1500" s="0">
        <v>134783</v>
      </c>
      <c r="BF1500" s="0">
        <v>1</v>
      </c>
      <c r="BG1500" s="0" t="s">
        <v>10190</v>
      </c>
      <c r="BI1500" s="0">
        <v>46</v>
      </c>
      <c r="BK1500" s="0" t="s">
        <v>10191</v>
      </c>
    </row>
    <row r="1501">
      <c r="A1501" s="0">
        <v>6299</v>
      </c>
      <c r="B1501" s="0" t="s">
        <v>7382</v>
      </c>
      <c r="E1501" s="0" t="s">
        <v>7383</v>
      </c>
      <c r="F1501" s="0">
        <v>3</v>
      </c>
      <c r="G1501" s="0" t="s">
        <v>555</v>
      </c>
      <c r="H1501" s="0" t="s">
        <v>1112</v>
      </c>
      <c r="I1501" s="0" t="s">
        <v>4748</v>
      </c>
      <c r="J1501" s="0" t="s">
        <v>525</v>
      </c>
      <c r="K1501" s="0" t="s">
        <v>400</v>
      </c>
      <c r="L1501" s="0" t="s">
        <v>4749</v>
      </c>
      <c r="M1501" s="0" t="s">
        <v>5287</v>
      </c>
      <c r="N1501" s="0" t="s">
        <v>6181</v>
      </c>
      <c r="O1501" s="0" t="s">
        <v>343</v>
      </c>
      <c r="P1501" s="0" t="s">
        <v>343</v>
      </c>
      <c r="Q1501" s="0" t="s">
        <v>343</v>
      </c>
      <c r="T1501" s="0" t="s">
        <v>10192</v>
      </c>
      <c r="X1501" s="0" t="s">
        <v>1116</v>
      </c>
      <c r="Y1501" s="0" t="s">
        <v>36</v>
      </c>
      <c r="Z1501" s="0" t="s">
        <v>4002</v>
      </c>
      <c r="AA1501" s="0" t="s">
        <v>226</v>
      </c>
      <c r="AB1501" s="0" t="s">
        <v>531</v>
      </c>
      <c r="AC1501" s="0" t="s">
        <v>532</v>
      </c>
      <c r="AF1501" s="0" t="s">
        <v>1688</v>
      </c>
      <c r="AP1501" s="0" t="s">
        <v>305</v>
      </c>
      <c r="BA1501" s="0">
        <v>581</v>
      </c>
      <c r="BB1501" s="0" t="s">
        <v>232</v>
      </c>
      <c r="BC1501" s="0">
        <v>3</v>
      </c>
      <c r="BE1501" s="0">
        <v>134783</v>
      </c>
      <c r="BF1501" s="0">
        <v>1</v>
      </c>
      <c r="BG1501" s="0" t="s">
        <v>10193</v>
      </c>
      <c r="BI1501" s="0">
        <v>506</v>
      </c>
      <c r="BK1501" s="0" t="s">
        <v>10194</v>
      </c>
    </row>
    <row r="1502">
      <c r="A1502" s="0">
        <v>6319</v>
      </c>
      <c r="B1502" s="0" t="s">
        <v>9546</v>
      </c>
      <c r="E1502" s="0" t="s">
        <v>9547</v>
      </c>
      <c r="F1502" s="0">
        <v>2</v>
      </c>
      <c r="G1502" s="0" t="s">
        <v>319</v>
      </c>
      <c r="H1502" s="0" t="s">
        <v>9548</v>
      </c>
      <c r="I1502" s="0" t="s">
        <v>7389</v>
      </c>
      <c r="P1502" s="0" t="s">
        <v>323</v>
      </c>
      <c r="Q1502" s="0" t="s">
        <v>343</v>
      </c>
      <c r="R1502" s="0" t="s">
        <v>2393</v>
      </c>
      <c r="T1502" s="0" t="s">
        <v>10195</v>
      </c>
      <c r="X1502" s="0" t="s">
        <v>1116</v>
      </c>
      <c r="Y1502" s="0" t="s">
        <v>36</v>
      </c>
      <c r="Z1502" s="0" t="s">
        <v>4002</v>
      </c>
      <c r="AA1502" s="0" t="s">
        <v>226</v>
      </c>
      <c r="AB1502" s="0" t="s">
        <v>531</v>
      </c>
      <c r="AC1502" s="0" t="s">
        <v>532</v>
      </c>
      <c r="AF1502" s="0" t="s">
        <v>1688</v>
      </c>
      <c r="AP1502" s="0" t="s">
        <v>305</v>
      </c>
      <c r="BA1502" s="0">
        <v>581</v>
      </c>
      <c r="BB1502" s="0" t="s">
        <v>232</v>
      </c>
      <c r="BC1502" s="0">
        <v>3</v>
      </c>
      <c r="BE1502" s="0">
        <v>134783</v>
      </c>
      <c r="BF1502" s="0">
        <v>1</v>
      </c>
      <c r="BG1502" s="0" t="s">
        <v>10196</v>
      </c>
      <c r="BI1502" s="0">
        <v>4099</v>
      </c>
      <c r="BK1502" s="0" t="s">
        <v>10197</v>
      </c>
    </row>
    <row r="1503">
      <c r="A1503" s="0">
        <v>6316</v>
      </c>
      <c r="B1503" s="0" t="s">
        <v>9553</v>
      </c>
      <c r="E1503" s="0" t="s">
        <v>9554</v>
      </c>
      <c r="F1503" s="0">
        <v>2</v>
      </c>
      <c r="G1503" s="0" t="s">
        <v>319</v>
      </c>
      <c r="H1503" s="0" t="s">
        <v>9548</v>
      </c>
      <c r="I1503" s="0" t="s">
        <v>7389</v>
      </c>
      <c r="P1503" s="0" t="s">
        <v>323</v>
      </c>
      <c r="Q1503" s="0" t="s">
        <v>323</v>
      </c>
      <c r="R1503" s="0" t="s">
        <v>2393</v>
      </c>
      <c r="T1503" s="0" t="s">
        <v>10198</v>
      </c>
      <c r="X1503" s="0" t="s">
        <v>1116</v>
      </c>
      <c r="Y1503" s="0" t="s">
        <v>36</v>
      </c>
      <c r="Z1503" s="0" t="s">
        <v>4002</v>
      </c>
      <c r="AA1503" s="0" t="s">
        <v>226</v>
      </c>
      <c r="AB1503" s="0" t="s">
        <v>531</v>
      </c>
      <c r="AC1503" s="0" t="s">
        <v>532</v>
      </c>
      <c r="AF1503" s="0" t="s">
        <v>1688</v>
      </c>
      <c r="AP1503" s="0" t="s">
        <v>305</v>
      </c>
      <c r="BA1503" s="0">
        <v>581</v>
      </c>
      <c r="BB1503" s="0" t="s">
        <v>232</v>
      </c>
      <c r="BC1503" s="0">
        <v>3</v>
      </c>
      <c r="BE1503" s="0">
        <v>134783</v>
      </c>
      <c r="BF1503" s="0">
        <v>1</v>
      </c>
      <c r="BG1503" s="0" t="s">
        <v>10199</v>
      </c>
      <c r="BI1503" s="0">
        <v>3844</v>
      </c>
      <c r="BK1503" s="0" t="s">
        <v>10200</v>
      </c>
    </row>
    <row r="1504">
      <c r="A1504" s="0">
        <v>6317</v>
      </c>
      <c r="B1504" s="0" t="s">
        <v>9562</v>
      </c>
      <c r="E1504" s="0" t="s">
        <v>9563</v>
      </c>
      <c r="F1504" s="0">
        <v>2</v>
      </c>
      <c r="G1504" s="0" t="s">
        <v>319</v>
      </c>
      <c r="H1504" s="0" t="s">
        <v>9548</v>
      </c>
      <c r="I1504" s="0" t="s">
        <v>7389</v>
      </c>
      <c r="P1504" s="0" t="s">
        <v>323</v>
      </c>
      <c r="Q1504" s="0" t="s">
        <v>323</v>
      </c>
      <c r="R1504" s="0" t="s">
        <v>2393</v>
      </c>
      <c r="T1504" s="0" t="s">
        <v>10201</v>
      </c>
      <c r="X1504" s="0" t="s">
        <v>1116</v>
      </c>
      <c r="Y1504" s="0" t="s">
        <v>36</v>
      </c>
      <c r="Z1504" s="0" t="s">
        <v>4002</v>
      </c>
      <c r="AA1504" s="0" t="s">
        <v>226</v>
      </c>
      <c r="AB1504" s="0" t="s">
        <v>531</v>
      </c>
      <c r="AC1504" s="0" t="s">
        <v>532</v>
      </c>
      <c r="AF1504" s="0" t="s">
        <v>1688</v>
      </c>
      <c r="AP1504" s="0" t="s">
        <v>305</v>
      </c>
      <c r="BA1504" s="0">
        <v>581</v>
      </c>
      <c r="BB1504" s="0" t="s">
        <v>232</v>
      </c>
      <c r="BC1504" s="0">
        <v>3</v>
      </c>
      <c r="BE1504" s="0">
        <v>134783</v>
      </c>
      <c r="BF1504" s="0">
        <v>1</v>
      </c>
      <c r="BG1504" s="0" t="s">
        <v>10202</v>
      </c>
      <c r="BI1504" s="0">
        <v>3938</v>
      </c>
      <c r="BK1504" s="0" t="s">
        <v>10203</v>
      </c>
    </row>
    <row r="1505">
      <c r="A1505" s="0">
        <v>6318</v>
      </c>
      <c r="B1505" s="0" t="s">
        <v>9570</v>
      </c>
      <c r="E1505" s="0" t="s">
        <v>9571</v>
      </c>
      <c r="F1505" s="0">
        <v>2</v>
      </c>
      <c r="G1505" s="0" t="s">
        <v>319</v>
      </c>
      <c r="H1505" s="0" t="s">
        <v>9548</v>
      </c>
      <c r="I1505" s="0" t="s">
        <v>7389</v>
      </c>
      <c r="P1505" s="0" t="s">
        <v>323</v>
      </c>
      <c r="Q1505" s="0" t="s">
        <v>323</v>
      </c>
      <c r="R1505" s="0" t="s">
        <v>10204</v>
      </c>
      <c r="T1505" s="0" t="s">
        <v>10201</v>
      </c>
      <c r="X1505" s="0" t="s">
        <v>1116</v>
      </c>
      <c r="Y1505" s="0" t="s">
        <v>36</v>
      </c>
      <c r="Z1505" s="0" t="s">
        <v>4002</v>
      </c>
      <c r="AA1505" s="0" t="s">
        <v>226</v>
      </c>
      <c r="AB1505" s="0" t="s">
        <v>531</v>
      </c>
      <c r="AC1505" s="0" t="s">
        <v>532</v>
      </c>
      <c r="AF1505" s="0" t="s">
        <v>1688</v>
      </c>
      <c r="AP1505" s="0" t="s">
        <v>305</v>
      </c>
      <c r="BA1505" s="0">
        <v>581</v>
      </c>
      <c r="BB1505" s="0" t="s">
        <v>232</v>
      </c>
      <c r="BC1505" s="0">
        <v>3</v>
      </c>
      <c r="BE1505" s="0">
        <v>134783</v>
      </c>
      <c r="BF1505" s="0">
        <v>1</v>
      </c>
      <c r="BG1505" s="0" t="s">
        <v>10205</v>
      </c>
      <c r="BI1505" s="0">
        <v>4017</v>
      </c>
      <c r="BK1505" s="0" t="s">
        <v>10206</v>
      </c>
    </row>
    <row r="1506">
      <c r="A1506" s="0">
        <v>6320</v>
      </c>
      <c r="B1506" s="0" t="s">
        <v>9575</v>
      </c>
      <c r="E1506" s="0" t="s">
        <v>9576</v>
      </c>
      <c r="F1506" s="0">
        <v>2</v>
      </c>
      <c r="G1506" s="0" t="s">
        <v>319</v>
      </c>
      <c r="H1506" s="0" t="s">
        <v>9548</v>
      </c>
      <c r="I1506" s="0" t="s">
        <v>7389</v>
      </c>
      <c r="P1506" s="0" t="s">
        <v>323</v>
      </c>
      <c r="Q1506" s="0" t="s">
        <v>323</v>
      </c>
      <c r="R1506" s="0" t="s">
        <v>2393</v>
      </c>
      <c r="T1506" s="0" t="s">
        <v>10195</v>
      </c>
      <c r="X1506" s="0" t="s">
        <v>1116</v>
      </c>
      <c r="Y1506" s="0" t="s">
        <v>36</v>
      </c>
      <c r="Z1506" s="0" t="s">
        <v>4002</v>
      </c>
      <c r="AA1506" s="0" t="s">
        <v>226</v>
      </c>
      <c r="AB1506" s="0" t="s">
        <v>531</v>
      </c>
      <c r="AC1506" s="0" t="s">
        <v>532</v>
      </c>
      <c r="AF1506" s="0" t="s">
        <v>1688</v>
      </c>
      <c r="AP1506" s="0" t="s">
        <v>305</v>
      </c>
      <c r="BA1506" s="0">
        <v>581</v>
      </c>
      <c r="BB1506" s="0" t="s">
        <v>232</v>
      </c>
      <c r="BC1506" s="0">
        <v>3</v>
      </c>
      <c r="BE1506" s="0">
        <v>134783</v>
      </c>
      <c r="BF1506" s="0">
        <v>1</v>
      </c>
      <c r="BG1506" s="0" t="s">
        <v>10207</v>
      </c>
      <c r="BI1506" s="0">
        <v>4172</v>
      </c>
      <c r="BK1506" s="0" t="s">
        <v>10208</v>
      </c>
    </row>
    <row r="1507">
      <c r="A1507" s="0">
        <v>6300</v>
      </c>
      <c r="B1507" s="0" t="s">
        <v>10209</v>
      </c>
      <c r="E1507" s="0" t="s">
        <v>10210</v>
      </c>
      <c r="F1507" s="0">
        <v>2</v>
      </c>
      <c r="G1507" s="0" t="s">
        <v>555</v>
      </c>
      <c r="H1507" s="0" t="s">
        <v>1112</v>
      </c>
      <c r="I1507" s="0" t="s">
        <v>4748</v>
      </c>
      <c r="J1507" s="0" t="s">
        <v>594</v>
      </c>
      <c r="K1507" s="0" t="s">
        <v>1190</v>
      </c>
      <c r="L1507" s="0" t="s">
        <v>7417</v>
      </c>
      <c r="M1507" s="0" t="s">
        <v>343</v>
      </c>
      <c r="P1507" s="0" t="s">
        <v>323</v>
      </c>
      <c r="Q1507" s="0" t="s">
        <v>323</v>
      </c>
      <c r="R1507" s="0" t="s">
        <v>3998</v>
      </c>
      <c r="T1507" s="0" t="s">
        <v>10211</v>
      </c>
      <c r="X1507" s="0" t="s">
        <v>1116</v>
      </c>
      <c r="Y1507" s="0" t="s">
        <v>36</v>
      </c>
      <c r="Z1507" s="0" t="s">
        <v>4002</v>
      </c>
      <c r="AA1507" s="0" t="s">
        <v>226</v>
      </c>
      <c r="AB1507" s="0" t="s">
        <v>531</v>
      </c>
      <c r="AC1507" s="0" t="s">
        <v>532</v>
      </c>
      <c r="AF1507" s="0" t="s">
        <v>1688</v>
      </c>
      <c r="AP1507" s="0" t="s">
        <v>305</v>
      </c>
      <c r="BA1507" s="0">
        <v>581</v>
      </c>
      <c r="BB1507" s="0" t="s">
        <v>232</v>
      </c>
      <c r="BC1507" s="0">
        <v>3</v>
      </c>
      <c r="BE1507" s="0">
        <v>134783</v>
      </c>
      <c r="BF1507" s="0">
        <v>1</v>
      </c>
      <c r="BG1507" s="0" t="s">
        <v>10212</v>
      </c>
      <c r="BI1507" s="0">
        <v>865</v>
      </c>
      <c r="BK1507" s="0" t="s">
        <v>10213</v>
      </c>
    </row>
    <row r="1508">
      <c r="A1508" s="0">
        <v>6301</v>
      </c>
      <c r="B1508" s="0" t="s">
        <v>10214</v>
      </c>
      <c r="E1508" s="0" t="s">
        <v>10215</v>
      </c>
      <c r="F1508" s="0">
        <v>3</v>
      </c>
      <c r="G1508" s="0" t="s">
        <v>555</v>
      </c>
      <c r="H1508" s="0" t="s">
        <v>1112</v>
      </c>
      <c r="I1508" s="0" t="s">
        <v>4748</v>
      </c>
      <c r="J1508" s="0" t="s">
        <v>594</v>
      </c>
      <c r="K1508" s="0" t="s">
        <v>1190</v>
      </c>
      <c r="L1508" s="0" t="s">
        <v>7417</v>
      </c>
      <c r="P1508" s="0" t="s">
        <v>323</v>
      </c>
      <c r="Q1508" s="0" t="s">
        <v>323</v>
      </c>
      <c r="R1508" s="0" t="s">
        <v>3998</v>
      </c>
      <c r="T1508" s="0" t="s">
        <v>10216</v>
      </c>
      <c r="X1508" s="0" t="s">
        <v>1116</v>
      </c>
      <c r="Y1508" s="0" t="s">
        <v>36</v>
      </c>
      <c r="Z1508" s="0" t="s">
        <v>4002</v>
      </c>
      <c r="AA1508" s="0" t="s">
        <v>226</v>
      </c>
      <c r="AB1508" s="0" t="s">
        <v>531</v>
      </c>
      <c r="AC1508" s="0" t="s">
        <v>532</v>
      </c>
      <c r="AF1508" s="0" t="s">
        <v>1688</v>
      </c>
      <c r="AP1508" s="0" t="s">
        <v>305</v>
      </c>
      <c r="BA1508" s="0">
        <v>581</v>
      </c>
      <c r="BB1508" s="0" t="s">
        <v>232</v>
      </c>
      <c r="BC1508" s="0">
        <v>3</v>
      </c>
      <c r="BE1508" s="0">
        <v>134783</v>
      </c>
      <c r="BF1508" s="0">
        <v>1</v>
      </c>
      <c r="BG1508" s="0" t="s">
        <v>10217</v>
      </c>
      <c r="BI1508" s="0">
        <v>1211</v>
      </c>
      <c r="BK1508" s="0" t="s">
        <v>10218</v>
      </c>
    </row>
    <row r="1509">
      <c r="A1509" s="0">
        <v>6313</v>
      </c>
      <c r="B1509" s="0" t="s">
        <v>4644</v>
      </c>
      <c r="E1509" s="0" t="s">
        <v>4645</v>
      </c>
      <c r="F1509" s="0">
        <v>9</v>
      </c>
      <c r="G1509" s="0" t="s">
        <v>319</v>
      </c>
      <c r="H1509" s="0" t="s">
        <v>9548</v>
      </c>
      <c r="I1509" s="0" t="s">
        <v>3997</v>
      </c>
      <c r="J1509" s="0" t="s">
        <v>594</v>
      </c>
      <c r="P1509" s="0" t="s">
        <v>323</v>
      </c>
      <c r="Q1509" s="0" t="s">
        <v>343</v>
      </c>
      <c r="R1509" s="0" t="s">
        <v>2393</v>
      </c>
      <c r="T1509" s="0" t="s">
        <v>10219</v>
      </c>
      <c r="X1509" s="0" t="s">
        <v>1116</v>
      </c>
      <c r="Y1509" s="0" t="s">
        <v>36</v>
      </c>
      <c r="Z1509" s="0" t="s">
        <v>4002</v>
      </c>
      <c r="AA1509" s="0" t="s">
        <v>226</v>
      </c>
      <c r="AB1509" s="0" t="s">
        <v>531</v>
      </c>
      <c r="AC1509" s="0" t="s">
        <v>532</v>
      </c>
      <c r="AF1509" s="0" t="s">
        <v>1688</v>
      </c>
      <c r="AP1509" s="0" t="s">
        <v>305</v>
      </c>
      <c r="BA1509" s="0">
        <v>581</v>
      </c>
      <c r="BB1509" s="0" t="s">
        <v>232</v>
      </c>
      <c r="BC1509" s="0">
        <v>3</v>
      </c>
      <c r="BE1509" s="0">
        <v>134783</v>
      </c>
      <c r="BF1509" s="0">
        <v>1</v>
      </c>
      <c r="BG1509" s="0" t="s">
        <v>10220</v>
      </c>
      <c r="BI1509" s="0">
        <v>3538</v>
      </c>
      <c r="BK1509" s="0" t="s">
        <v>10221</v>
      </c>
    </row>
    <row r="1510">
      <c r="A1510" s="0">
        <v>6312</v>
      </c>
      <c r="B1510" s="0" t="s">
        <v>4644</v>
      </c>
      <c r="E1510" s="0" t="s">
        <v>4645</v>
      </c>
      <c r="F1510" s="0">
        <v>9</v>
      </c>
      <c r="G1510" s="0" t="s">
        <v>319</v>
      </c>
      <c r="H1510" s="0" t="s">
        <v>9548</v>
      </c>
      <c r="I1510" s="0" t="s">
        <v>7389</v>
      </c>
      <c r="J1510" s="0" t="s">
        <v>594</v>
      </c>
      <c r="K1510" s="0" t="s">
        <v>508</v>
      </c>
      <c r="P1510" s="0" t="s">
        <v>323</v>
      </c>
      <c r="Q1510" s="0" t="s">
        <v>343</v>
      </c>
      <c r="R1510" s="0" t="s">
        <v>2393</v>
      </c>
      <c r="T1510" s="0" t="s">
        <v>10222</v>
      </c>
      <c r="X1510" s="0" t="s">
        <v>1116</v>
      </c>
      <c r="Y1510" s="0" t="s">
        <v>36</v>
      </c>
      <c r="Z1510" s="0" t="s">
        <v>4002</v>
      </c>
      <c r="AA1510" s="0" t="s">
        <v>226</v>
      </c>
      <c r="AB1510" s="0" t="s">
        <v>531</v>
      </c>
      <c r="AC1510" s="0" t="s">
        <v>532</v>
      </c>
      <c r="AF1510" s="0" t="s">
        <v>1688</v>
      </c>
      <c r="AP1510" s="0" t="s">
        <v>305</v>
      </c>
      <c r="BA1510" s="0">
        <v>581</v>
      </c>
      <c r="BB1510" s="0" t="s">
        <v>232</v>
      </c>
      <c r="BC1510" s="0">
        <v>3</v>
      </c>
      <c r="BE1510" s="0">
        <v>134783</v>
      </c>
      <c r="BF1510" s="0">
        <v>1</v>
      </c>
      <c r="BG1510" s="0" t="s">
        <v>10223</v>
      </c>
      <c r="BI1510" s="0">
        <v>3423</v>
      </c>
      <c r="BK1510" s="0" t="s">
        <v>10224</v>
      </c>
    </row>
    <row r="1511">
      <c r="A1511" s="0">
        <v>6333</v>
      </c>
      <c r="B1511" s="0" t="s">
        <v>10225</v>
      </c>
      <c r="E1511" s="0" t="s">
        <v>10226</v>
      </c>
      <c r="F1511" s="0">
        <v>1</v>
      </c>
      <c r="G1511" s="0" t="s">
        <v>555</v>
      </c>
      <c r="H1511" s="0" t="s">
        <v>10227</v>
      </c>
      <c r="I1511" s="0" t="s">
        <v>1204</v>
      </c>
      <c r="J1511" s="0" t="s">
        <v>594</v>
      </c>
      <c r="K1511" s="0" t="s">
        <v>1190</v>
      </c>
      <c r="L1511" s="0" t="s">
        <v>1204</v>
      </c>
      <c r="P1511" s="0" t="s">
        <v>343</v>
      </c>
      <c r="Q1511" s="0" t="s">
        <v>343</v>
      </c>
      <c r="X1511" s="0" t="s">
        <v>1116</v>
      </c>
      <c r="Y1511" s="0" t="s">
        <v>36</v>
      </c>
      <c r="Z1511" s="0" t="s">
        <v>4002</v>
      </c>
      <c r="AA1511" s="0" t="s">
        <v>226</v>
      </c>
      <c r="AB1511" s="0" t="s">
        <v>531</v>
      </c>
      <c r="AC1511" s="0" t="s">
        <v>532</v>
      </c>
      <c r="AF1511" s="0" t="s">
        <v>1688</v>
      </c>
      <c r="AP1511" s="0" t="s">
        <v>305</v>
      </c>
      <c r="BA1511" s="0">
        <v>581</v>
      </c>
      <c r="BB1511" s="0" t="s">
        <v>232</v>
      </c>
      <c r="BC1511" s="0">
        <v>3</v>
      </c>
      <c r="BE1511" s="0">
        <v>134783</v>
      </c>
      <c r="BF1511" s="0">
        <v>1</v>
      </c>
      <c r="BG1511" s="0" t="s">
        <v>10228</v>
      </c>
      <c r="BI1511" s="0">
        <v>4757</v>
      </c>
      <c r="BK1511" s="0" t="s">
        <v>10229</v>
      </c>
    </row>
    <row r="1512">
      <c r="A1512" s="0">
        <v>6334</v>
      </c>
      <c r="B1512" s="0" t="s">
        <v>10230</v>
      </c>
      <c r="E1512" s="0" t="s">
        <v>10226</v>
      </c>
      <c r="F1512" s="0">
        <v>1</v>
      </c>
      <c r="G1512" s="0" t="s">
        <v>555</v>
      </c>
      <c r="H1512" s="0" t="s">
        <v>10227</v>
      </c>
      <c r="I1512" s="0" t="s">
        <v>549</v>
      </c>
      <c r="J1512" s="0" t="s">
        <v>594</v>
      </c>
      <c r="K1512" s="0" t="s">
        <v>1190</v>
      </c>
      <c r="L1512" s="0" t="s">
        <v>549</v>
      </c>
      <c r="P1512" s="0" t="s">
        <v>343</v>
      </c>
      <c r="Q1512" s="0" t="s">
        <v>343</v>
      </c>
      <c r="X1512" s="0" t="s">
        <v>1116</v>
      </c>
      <c r="Y1512" s="0" t="s">
        <v>36</v>
      </c>
      <c r="Z1512" s="0" t="s">
        <v>4002</v>
      </c>
      <c r="AA1512" s="0" t="s">
        <v>226</v>
      </c>
      <c r="AB1512" s="0" t="s">
        <v>531</v>
      </c>
      <c r="AC1512" s="0" t="s">
        <v>532</v>
      </c>
      <c r="AF1512" s="0" t="s">
        <v>1688</v>
      </c>
      <c r="AP1512" s="0" t="s">
        <v>305</v>
      </c>
      <c r="BA1512" s="0">
        <v>581</v>
      </c>
      <c r="BB1512" s="0" t="s">
        <v>232</v>
      </c>
      <c r="BC1512" s="0">
        <v>3</v>
      </c>
      <c r="BE1512" s="0">
        <v>134783</v>
      </c>
      <c r="BF1512" s="0">
        <v>1</v>
      </c>
      <c r="BG1512" s="0" t="s">
        <v>10231</v>
      </c>
      <c r="BI1512" s="0">
        <v>4776</v>
      </c>
      <c r="BK1512" s="0" t="s">
        <v>10232</v>
      </c>
    </row>
    <row r="1513">
      <c r="A1513" s="0">
        <v>6340</v>
      </c>
      <c r="B1513" s="0" t="s">
        <v>10225</v>
      </c>
      <c r="E1513" s="0" t="s">
        <v>10226</v>
      </c>
      <c r="F1513" s="0">
        <v>1</v>
      </c>
      <c r="G1513" s="0" t="s">
        <v>555</v>
      </c>
      <c r="H1513" s="0" t="s">
        <v>10227</v>
      </c>
      <c r="I1513" s="0" t="s">
        <v>1189</v>
      </c>
      <c r="J1513" s="0" t="s">
        <v>594</v>
      </c>
      <c r="K1513" s="0" t="s">
        <v>1190</v>
      </c>
      <c r="L1513" s="0" t="s">
        <v>1189</v>
      </c>
      <c r="P1513" s="0" t="s">
        <v>343</v>
      </c>
      <c r="Q1513" s="0" t="s">
        <v>343</v>
      </c>
      <c r="X1513" s="0" t="s">
        <v>1116</v>
      </c>
      <c r="Y1513" s="0" t="s">
        <v>36</v>
      </c>
      <c r="Z1513" s="0" t="s">
        <v>4002</v>
      </c>
      <c r="AA1513" s="0" t="s">
        <v>226</v>
      </c>
      <c r="AB1513" s="0" t="s">
        <v>531</v>
      </c>
      <c r="AC1513" s="0" t="s">
        <v>532</v>
      </c>
      <c r="AF1513" s="0" t="s">
        <v>1688</v>
      </c>
      <c r="AP1513" s="0" t="s">
        <v>305</v>
      </c>
      <c r="BA1513" s="0">
        <v>581</v>
      </c>
      <c r="BB1513" s="0" t="s">
        <v>232</v>
      </c>
      <c r="BC1513" s="0">
        <v>3</v>
      </c>
      <c r="BE1513" s="0">
        <v>134783</v>
      </c>
      <c r="BF1513" s="0">
        <v>1</v>
      </c>
      <c r="BG1513" s="0" t="s">
        <v>10233</v>
      </c>
      <c r="BI1513" s="0">
        <v>4886</v>
      </c>
      <c r="BK1513" s="0" t="s">
        <v>10234</v>
      </c>
    </row>
    <row r="1514">
      <c r="A1514" s="0">
        <v>6341</v>
      </c>
      <c r="E1514" s="0" t="s">
        <v>10235</v>
      </c>
      <c r="F1514" s="0">
        <v>1</v>
      </c>
      <c r="G1514" s="0" t="s">
        <v>555</v>
      </c>
      <c r="H1514" s="0" t="s">
        <v>10227</v>
      </c>
      <c r="I1514" s="0" t="s">
        <v>1204</v>
      </c>
      <c r="P1514" s="0" t="s">
        <v>343</v>
      </c>
      <c r="Q1514" s="0" t="s">
        <v>343</v>
      </c>
      <c r="X1514" s="0" t="s">
        <v>1116</v>
      </c>
      <c r="Y1514" s="0" t="s">
        <v>36</v>
      </c>
      <c r="Z1514" s="0" t="s">
        <v>4002</v>
      </c>
      <c r="AA1514" s="0" t="s">
        <v>226</v>
      </c>
      <c r="AB1514" s="0" t="s">
        <v>531</v>
      </c>
      <c r="AC1514" s="0" t="s">
        <v>532</v>
      </c>
      <c r="AF1514" s="0" t="s">
        <v>1688</v>
      </c>
      <c r="AP1514" s="0" t="s">
        <v>305</v>
      </c>
      <c r="BA1514" s="0">
        <v>581</v>
      </c>
      <c r="BB1514" s="0" t="s">
        <v>232</v>
      </c>
      <c r="BC1514" s="0">
        <v>3</v>
      </c>
      <c r="BE1514" s="0">
        <v>134783</v>
      </c>
      <c r="BF1514" s="0">
        <v>1</v>
      </c>
      <c r="BG1514" s="0" t="s">
        <v>10236</v>
      </c>
      <c r="BI1514" s="0">
        <v>4902</v>
      </c>
      <c r="BK1514" s="0" t="s">
        <v>10237</v>
      </c>
    </row>
    <row r="1515">
      <c r="A1515" s="0">
        <v>6342</v>
      </c>
      <c r="E1515" s="0" t="s">
        <v>10235</v>
      </c>
      <c r="F1515" s="0">
        <v>1</v>
      </c>
      <c r="G1515" s="0" t="s">
        <v>555</v>
      </c>
      <c r="H1515" s="0" t="s">
        <v>10227</v>
      </c>
      <c r="I1515" s="0" t="s">
        <v>1189</v>
      </c>
      <c r="J1515" s="0" t="s">
        <v>594</v>
      </c>
      <c r="K1515" s="0" t="s">
        <v>1190</v>
      </c>
      <c r="L1515" s="0" t="s">
        <v>1189</v>
      </c>
      <c r="P1515" s="0" t="s">
        <v>343</v>
      </c>
      <c r="Q1515" s="0" t="s">
        <v>343</v>
      </c>
      <c r="X1515" s="0" t="s">
        <v>1116</v>
      </c>
      <c r="Y1515" s="0" t="s">
        <v>36</v>
      </c>
      <c r="Z1515" s="0" t="s">
        <v>4002</v>
      </c>
      <c r="AA1515" s="0" t="s">
        <v>226</v>
      </c>
      <c r="AB1515" s="0" t="s">
        <v>531</v>
      </c>
      <c r="AC1515" s="0" t="s">
        <v>532</v>
      </c>
      <c r="AF1515" s="0" t="s">
        <v>1688</v>
      </c>
      <c r="AP1515" s="0" t="s">
        <v>305</v>
      </c>
      <c r="BA1515" s="0">
        <v>581</v>
      </c>
      <c r="BB1515" s="0" t="s">
        <v>232</v>
      </c>
      <c r="BC1515" s="0">
        <v>3</v>
      </c>
      <c r="BE1515" s="0">
        <v>134783</v>
      </c>
      <c r="BF1515" s="0">
        <v>1</v>
      </c>
      <c r="BG1515" s="0" t="s">
        <v>10238</v>
      </c>
      <c r="BI1515" s="0">
        <v>4917</v>
      </c>
      <c r="BK1515" s="0" t="s">
        <v>10239</v>
      </c>
    </row>
    <row r="1516">
      <c r="A1516" s="0">
        <v>6343</v>
      </c>
      <c r="E1516" s="0" t="s">
        <v>10235</v>
      </c>
      <c r="F1516" s="0">
        <v>1</v>
      </c>
      <c r="G1516" s="0" t="s">
        <v>555</v>
      </c>
      <c r="H1516" s="0" t="s">
        <v>10227</v>
      </c>
      <c r="I1516" s="0" t="s">
        <v>10240</v>
      </c>
      <c r="J1516" s="0" t="s">
        <v>594</v>
      </c>
      <c r="K1516" s="0" t="s">
        <v>1190</v>
      </c>
      <c r="L1516" s="0" t="s">
        <v>10240</v>
      </c>
      <c r="P1516" s="0" t="s">
        <v>343</v>
      </c>
      <c r="Q1516" s="0" t="s">
        <v>343</v>
      </c>
      <c r="X1516" s="0" t="s">
        <v>1116</v>
      </c>
      <c r="Y1516" s="0" t="s">
        <v>36</v>
      </c>
      <c r="Z1516" s="0" t="s">
        <v>4002</v>
      </c>
      <c r="AA1516" s="0" t="s">
        <v>226</v>
      </c>
      <c r="AB1516" s="0" t="s">
        <v>531</v>
      </c>
      <c r="AC1516" s="0" t="s">
        <v>532</v>
      </c>
      <c r="AF1516" s="0" t="s">
        <v>1688</v>
      </c>
      <c r="AP1516" s="0" t="s">
        <v>305</v>
      </c>
      <c r="BA1516" s="0">
        <v>581</v>
      </c>
      <c r="BB1516" s="0" t="s">
        <v>232</v>
      </c>
      <c r="BC1516" s="0">
        <v>3</v>
      </c>
      <c r="BE1516" s="0">
        <v>134783</v>
      </c>
      <c r="BF1516" s="0">
        <v>1</v>
      </c>
      <c r="BG1516" s="0" t="s">
        <v>10241</v>
      </c>
      <c r="BI1516" s="0">
        <v>4932</v>
      </c>
      <c r="BK1516" s="0" t="s">
        <v>10242</v>
      </c>
    </row>
    <row r="1517">
      <c r="A1517" s="0">
        <v>6344</v>
      </c>
      <c r="E1517" s="0" t="s">
        <v>10235</v>
      </c>
      <c r="F1517" s="0">
        <v>1</v>
      </c>
      <c r="G1517" s="0" t="s">
        <v>555</v>
      </c>
      <c r="H1517" s="0" t="s">
        <v>10227</v>
      </c>
      <c r="I1517" s="0" t="s">
        <v>549</v>
      </c>
      <c r="J1517" s="0" t="s">
        <v>594</v>
      </c>
      <c r="K1517" s="0" t="s">
        <v>1190</v>
      </c>
      <c r="L1517" s="0" t="s">
        <v>549</v>
      </c>
      <c r="P1517" s="0" t="s">
        <v>343</v>
      </c>
      <c r="Q1517" s="0" t="s">
        <v>343</v>
      </c>
      <c r="X1517" s="0" t="s">
        <v>1116</v>
      </c>
      <c r="Y1517" s="0" t="s">
        <v>36</v>
      </c>
      <c r="Z1517" s="0" t="s">
        <v>4002</v>
      </c>
      <c r="AA1517" s="0" t="s">
        <v>226</v>
      </c>
      <c r="AB1517" s="0" t="s">
        <v>531</v>
      </c>
      <c r="AC1517" s="0" t="s">
        <v>532</v>
      </c>
      <c r="AF1517" s="0" t="s">
        <v>1688</v>
      </c>
      <c r="AP1517" s="0" t="s">
        <v>305</v>
      </c>
      <c r="BA1517" s="0">
        <v>581</v>
      </c>
      <c r="BB1517" s="0" t="s">
        <v>232</v>
      </c>
      <c r="BC1517" s="0">
        <v>3</v>
      </c>
      <c r="BE1517" s="0">
        <v>134783</v>
      </c>
      <c r="BF1517" s="0">
        <v>1</v>
      </c>
      <c r="BG1517" s="0" t="s">
        <v>10243</v>
      </c>
      <c r="BI1517" s="0">
        <v>4948</v>
      </c>
      <c r="BK1517" s="0" t="s">
        <v>10244</v>
      </c>
    </row>
    <row r="1518">
      <c r="A1518" s="0">
        <v>6345</v>
      </c>
      <c r="E1518" s="0" t="s">
        <v>10235</v>
      </c>
      <c r="F1518" s="0">
        <v>1</v>
      </c>
      <c r="G1518" s="0" t="s">
        <v>555</v>
      </c>
      <c r="H1518" s="0" t="s">
        <v>10227</v>
      </c>
      <c r="I1518" s="0" t="s">
        <v>4748</v>
      </c>
      <c r="J1518" s="0" t="s">
        <v>594</v>
      </c>
      <c r="K1518" s="0" t="s">
        <v>1190</v>
      </c>
      <c r="L1518" s="0" t="s">
        <v>4748</v>
      </c>
      <c r="P1518" s="0" t="s">
        <v>343</v>
      </c>
      <c r="Q1518" s="0" t="s">
        <v>343</v>
      </c>
      <c r="X1518" s="0" t="s">
        <v>1116</v>
      </c>
      <c r="Y1518" s="0" t="s">
        <v>36</v>
      </c>
      <c r="Z1518" s="0" t="s">
        <v>4002</v>
      </c>
      <c r="AA1518" s="0" t="s">
        <v>226</v>
      </c>
      <c r="AB1518" s="0" t="s">
        <v>531</v>
      </c>
      <c r="AC1518" s="0" t="s">
        <v>532</v>
      </c>
      <c r="AF1518" s="0" t="s">
        <v>1688</v>
      </c>
      <c r="AP1518" s="0" t="s">
        <v>305</v>
      </c>
      <c r="BA1518" s="0">
        <v>581</v>
      </c>
      <c r="BB1518" s="0" t="s">
        <v>232</v>
      </c>
      <c r="BC1518" s="0">
        <v>3</v>
      </c>
      <c r="BE1518" s="0">
        <v>134783</v>
      </c>
      <c r="BF1518" s="0">
        <v>1</v>
      </c>
      <c r="BG1518" s="0" t="s">
        <v>10245</v>
      </c>
      <c r="BI1518" s="0">
        <v>4960</v>
      </c>
      <c r="BK1518" s="0" t="s">
        <v>10246</v>
      </c>
    </row>
    <row r="1519">
      <c r="A1519" s="0">
        <v>6339</v>
      </c>
      <c r="B1519" s="0" t="s">
        <v>10247</v>
      </c>
      <c r="E1519" s="0" t="s">
        <v>10248</v>
      </c>
      <c r="F1519" s="0">
        <v>1</v>
      </c>
      <c r="G1519" s="0" t="s">
        <v>555</v>
      </c>
      <c r="H1519" s="0" t="s">
        <v>10227</v>
      </c>
      <c r="I1519" s="0" t="s">
        <v>4748</v>
      </c>
      <c r="J1519" s="0" t="s">
        <v>594</v>
      </c>
      <c r="K1519" s="0" t="s">
        <v>1190</v>
      </c>
      <c r="L1519" s="0" t="s">
        <v>4748</v>
      </c>
      <c r="P1519" s="0" t="s">
        <v>343</v>
      </c>
      <c r="Q1519" s="0" t="s">
        <v>343</v>
      </c>
      <c r="X1519" s="0" t="s">
        <v>1116</v>
      </c>
      <c r="Y1519" s="0" t="s">
        <v>36</v>
      </c>
      <c r="Z1519" s="0" t="s">
        <v>4002</v>
      </c>
      <c r="AA1519" s="0" t="s">
        <v>226</v>
      </c>
      <c r="AB1519" s="0" t="s">
        <v>531</v>
      </c>
      <c r="AC1519" s="0" t="s">
        <v>532</v>
      </c>
      <c r="AF1519" s="0" t="s">
        <v>1688</v>
      </c>
      <c r="AP1519" s="0" t="s">
        <v>305</v>
      </c>
      <c r="BA1519" s="0">
        <v>581</v>
      </c>
      <c r="BB1519" s="0" t="s">
        <v>232</v>
      </c>
      <c r="BC1519" s="0">
        <v>3</v>
      </c>
      <c r="BE1519" s="0">
        <v>134783</v>
      </c>
      <c r="BF1519" s="0">
        <v>1</v>
      </c>
      <c r="BG1519" s="0" t="s">
        <v>10249</v>
      </c>
      <c r="BI1519" s="0">
        <v>4869</v>
      </c>
      <c r="BK1519" s="0" t="s">
        <v>10250</v>
      </c>
    </row>
    <row r="1520">
      <c r="A1520" s="0">
        <v>6337</v>
      </c>
      <c r="B1520" s="0" t="s">
        <v>10247</v>
      </c>
      <c r="E1520" s="0" t="s">
        <v>10248</v>
      </c>
      <c r="F1520" s="0">
        <v>1</v>
      </c>
      <c r="G1520" s="0" t="s">
        <v>555</v>
      </c>
      <c r="H1520" s="0" t="s">
        <v>10227</v>
      </c>
      <c r="I1520" s="0" t="s">
        <v>10240</v>
      </c>
      <c r="J1520" s="0" t="s">
        <v>594</v>
      </c>
      <c r="K1520" s="0" t="s">
        <v>1190</v>
      </c>
      <c r="L1520" s="0" t="s">
        <v>10240</v>
      </c>
      <c r="P1520" s="0" t="s">
        <v>343</v>
      </c>
      <c r="Q1520" s="0" t="s">
        <v>343</v>
      </c>
      <c r="X1520" s="0" t="s">
        <v>1116</v>
      </c>
      <c r="Y1520" s="0" t="s">
        <v>36</v>
      </c>
      <c r="Z1520" s="0" t="s">
        <v>4002</v>
      </c>
      <c r="AA1520" s="0" t="s">
        <v>226</v>
      </c>
      <c r="AB1520" s="0" t="s">
        <v>531</v>
      </c>
      <c r="AC1520" s="0" t="s">
        <v>532</v>
      </c>
      <c r="AF1520" s="0" t="s">
        <v>1688</v>
      </c>
      <c r="AP1520" s="0" t="s">
        <v>305</v>
      </c>
      <c r="BA1520" s="0">
        <v>581</v>
      </c>
      <c r="BB1520" s="0" t="s">
        <v>232</v>
      </c>
      <c r="BC1520" s="0">
        <v>3</v>
      </c>
      <c r="BE1520" s="0">
        <v>134783</v>
      </c>
      <c r="BF1520" s="0">
        <v>1</v>
      </c>
      <c r="BG1520" s="0" t="s">
        <v>10251</v>
      </c>
      <c r="BI1520" s="0">
        <v>4831</v>
      </c>
      <c r="BK1520" s="0" t="s">
        <v>10252</v>
      </c>
    </row>
    <row r="1521">
      <c r="A1521" s="0">
        <v>6338</v>
      </c>
      <c r="B1521" s="0" t="s">
        <v>10247</v>
      </c>
      <c r="E1521" s="0" t="s">
        <v>10248</v>
      </c>
      <c r="F1521" s="0">
        <v>1</v>
      </c>
      <c r="G1521" s="0" t="s">
        <v>555</v>
      </c>
      <c r="H1521" s="0" t="s">
        <v>10227</v>
      </c>
      <c r="I1521" s="0" t="s">
        <v>549</v>
      </c>
      <c r="J1521" s="0" t="s">
        <v>594</v>
      </c>
      <c r="K1521" s="0" t="s">
        <v>1190</v>
      </c>
      <c r="L1521" s="0" t="s">
        <v>549</v>
      </c>
      <c r="P1521" s="0" t="s">
        <v>343</v>
      </c>
      <c r="Q1521" s="0" t="s">
        <v>343</v>
      </c>
      <c r="X1521" s="0" t="s">
        <v>1116</v>
      </c>
      <c r="Y1521" s="0" t="s">
        <v>36</v>
      </c>
      <c r="Z1521" s="0" t="s">
        <v>4002</v>
      </c>
      <c r="AA1521" s="0" t="s">
        <v>226</v>
      </c>
      <c r="AB1521" s="0" t="s">
        <v>531</v>
      </c>
      <c r="AC1521" s="0" t="s">
        <v>532</v>
      </c>
      <c r="AF1521" s="0" t="s">
        <v>1688</v>
      </c>
      <c r="AP1521" s="0" t="s">
        <v>305</v>
      </c>
      <c r="BA1521" s="0">
        <v>581</v>
      </c>
      <c r="BB1521" s="0" t="s">
        <v>232</v>
      </c>
      <c r="BC1521" s="0">
        <v>3</v>
      </c>
      <c r="BE1521" s="0">
        <v>134783</v>
      </c>
      <c r="BF1521" s="0">
        <v>1</v>
      </c>
      <c r="BG1521" s="0" t="s">
        <v>10253</v>
      </c>
      <c r="BI1521" s="0">
        <v>4850</v>
      </c>
      <c r="BK1521" s="0" t="s">
        <v>10254</v>
      </c>
    </row>
    <row r="1522">
      <c r="A1522" s="0">
        <v>6335</v>
      </c>
      <c r="B1522" s="0" t="s">
        <v>10247</v>
      </c>
      <c r="E1522" s="0" t="s">
        <v>10248</v>
      </c>
      <c r="F1522" s="0">
        <v>1</v>
      </c>
      <c r="G1522" s="0" t="s">
        <v>555</v>
      </c>
      <c r="H1522" s="0" t="s">
        <v>10227</v>
      </c>
      <c r="I1522" s="0" t="s">
        <v>1204</v>
      </c>
      <c r="J1522" s="0" t="s">
        <v>594</v>
      </c>
      <c r="K1522" s="0" t="s">
        <v>1190</v>
      </c>
      <c r="L1522" s="0" t="s">
        <v>1204</v>
      </c>
      <c r="P1522" s="0" t="s">
        <v>343</v>
      </c>
      <c r="Q1522" s="0" t="s">
        <v>343</v>
      </c>
      <c r="X1522" s="0" t="s">
        <v>1116</v>
      </c>
      <c r="Y1522" s="0" t="s">
        <v>36</v>
      </c>
      <c r="Z1522" s="0" t="s">
        <v>4002</v>
      </c>
      <c r="AA1522" s="0" t="s">
        <v>226</v>
      </c>
      <c r="AB1522" s="0" t="s">
        <v>531</v>
      </c>
      <c r="AC1522" s="0" t="s">
        <v>532</v>
      </c>
      <c r="AF1522" s="0" t="s">
        <v>1688</v>
      </c>
      <c r="AP1522" s="0" t="s">
        <v>305</v>
      </c>
      <c r="BA1522" s="0">
        <v>581</v>
      </c>
      <c r="BB1522" s="0" t="s">
        <v>232</v>
      </c>
      <c r="BC1522" s="0">
        <v>3</v>
      </c>
      <c r="BE1522" s="0">
        <v>134783</v>
      </c>
      <c r="BF1522" s="0">
        <v>1</v>
      </c>
      <c r="BG1522" s="0" t="s">
        <v>10255</v>
      </c>
      <c r="BI1522" s="0">
        <v>4794</v>
      </c>
      <c r="BK1522" s="0" t="s">
        <v>10256</v>
      </c>
    </row>
    <row r="1523">
      <c r="A1523" s="0">
        <v>6336</v>
      </c>
      <c r="B1523" s="0" t="s">
        <v>10247</v>
      </c>
      <c r="E1523" s="0" t="s">
        <v>10248</v>
      </c>
      <c r="F1523" s="0">
        <v>1</v>
      </c>
      <c r="G1523" s="0" t="s">
        <v>555</v>
      </c>
      <c r="H1523" s="0" t="s">
        <v>10227</v>
      </c>
      <c r="I1523" s="0" t="s">
        <v>10240</v>
      </c>
      <c r="J1523" s="0" t="s">
        <v>594</v>
      </c>
      <c r="K1523" s="0" t="s">
        <v>1190</v>
      </c>
      <c r="L1523" s="0" t="s">
        <v>10240</v>
      </c>
      <c r="P1523" s="0" t="s">
        <v>343</v>
      </c>
      <c r="Q1523" s="0" t="s">
        <v>343</v>
      </c>
      <c r="X1523" s="0" t="s">
        <v>1116</v>
      </c>
      <c r="Y1523" s="0" t="s">
        <v>36</v>
      </c>
      <c r="Z1523" s="0" t="s">
        <v>4002</v>
      </c>
      <c r="AA1523" s="0" t="s">
        <v>226</v>
      </c>
      <c r="AB1523" s="0" t="s">
        <v>531</v>
      </c>
      <c r="AC1523" s="0" t="s">
        <v>532</v>
      </c>
      <c r="AF1523" s="0" t="s">
        <v>1688</v>
      </c>
      <c r="AP1523" s="0" t="s">
        <v>305</v>
      </c>
      <c r="BA1523" s="0">
        <v>581</v>
      </c>
      <c r="BB1523" s="0" t="s">
        <v>232</v>
      </c>
      <c r="BC1523" s="0">
        <v>3</v>
      </c>
      <c r="BE1523" s="0">
        <v>134783</v>
      </c>
      <c r="BF1523" s="0">
        <v>1</v>
      </c>
      <c r="BG1523" s="0" t="s">
        <v>10257</v>
      </c>
      <c r="BI1523" s="0">
        <v>4812</v>
      </c>
      <c r="BK1523" s="0" t="s">
        <v>10258</v>
      </c>
    </row>
    <row r="1524">
      <c r="A1524" s="0">
        <v>6321</v>
      </c>
      <c r="B1524" s="0" t="s">
        <v>7414</v>
      </c>
      <c r="E1524" s="0" t="s">
        <v>7416</v>
      </c>
      <c r="F1524" s="0">
        <v>9</v>
      </c>
      <c r="G1524" s="0" t="s">
        <v>319</v>
      </c>
      <c r="H1524" s="0" t="s">
        <v>398</v>
      </c>
      <c r="I1524" s="0" t="s">
        <v>2166</v>
      </c>
      <c r="J1524" s="0" t="s">
        <v>594</v>
      </c>
      <c r="K1524" s="0" t="s">
        <v>1190</v>
      </c>
      <c r="L1524" s="0" t="s">
        <v>7417</v>
      </c>
      <c r="P1524" s="0" t="s">
        <v>323</v>
      </c>
      <c r="Q1524" s="0" t="s">
        <v>343</v>
      </c>
      <c r="R1524" s="0" t="s">
        <v>556</v>
      </c>
      <c r="T1524" s="0" t="s">
        <v>10259</v>
      </c>
      <c r="X1524" s="0" t="s">
        <v>1116</v>
      </c>
      <c r="Y1524" s="0" t="s">
        <v>36</v>
      </c>
      <c r="Z1524" s="0" t="s">
        <v>4002</v>
      </c>
      <c r="AA1524" s="0" t="s">
        <v>226</v>
      </c>
      <c r="AB1524" s="0" t="s">
        <v>531</v>
      </c>
      <c r="AC1524" s="0" t="s">
        <v>532</v>
      </c>
      <c r="AF1524" s="0" t="s">
        <v>1688</v>
      </c>
      <c r="AP1524" s="0" t="s">
        <v>305</v>
      </c>
      <c r="BA1524" s="0">
        <v>581</v>
      </c>
      <c r="BB1524" s="0" t="s">
        <v>232</v>
      </c>
      <c r="BC1524" s="0">
        <v>3</v>
      </c>
      <c r="BE1524" s="0">
        <v>134783</v>
      </c>
      <c r="BF1524" s="0">
        <v>1</v>
      </c>
      <c r="BG1524" s="0" t="s">
        <v>10260</v>
      </c>
      <c r="BI1524" s="0">
        <v>4244</v>
      </c>
      <c r="BK1524" s="0" t="s">
        <v>10261</v>
      </c>
    </row>
    <row r="1525">
      <c r="A1525" s="0">
        <v>6322</v>
      </c>
      <c r="B1525" s="0" t="s">
        <v>7317</v>
      </c>
      <c r="E1525" s="0" t="s">
        <v>7318</v>
      </c>
      <c r="F1525" s="0">
        <v>2</v>
      </c>
      <c r="G1525" s="0" t="s">
        <v>319</v>
      </c>
      <c r="H1525" s="0" t="s">
        <v>398</v>
      </c>
      <c r="I1525" s="0" t="s">
        <v>2166</v>
      </c>
      <c r="J1525" s="0" t="s">
        <v>594</v>
      </c>
      <c r="K1525" s="0" t="s">
        <v>1190</v>
      </c>
      <c r="L1525" s="0" t="s">
        <v>7417</v>
      </c>
      <c r="P1525" s="0" t="s">
        <v>323</v>
      </c>
      <c r="Q1525" s="0" t="s">
        <v>323</v>
      </c>
      <c r="R1525" s="0" t="s">
        <v>556</v>
      </c>
      <c r="T1525" s="0" t="s">
        <v>10262</v>
      </c>
      <c r="X1525" s="0" t="s">
        <v>1116</v>
      </c>
      <c r="Y1525" s="0" t="s">
        <v>36</v>
      </c>
      <c r="Z1525" s="0" t="s">
        <v>4002</v>
      </c>
      <c r="AA1525" s="0" t="s">
        <v>226</v>
      </c>
      <c r="AB1525" s="0" t="s">
        <v>531</v>
      </c>
      <c r="AC1525" s="0" t="s">
        <v>532</v>
      </c>
      <c r="AF1525" s="0" t="s">
        <v>1688</v>
      </c>
      <c r="AP1525" s="0" t="s">
        <v>305</v>
      </c>
      <c r="BA1525" s="0">
        <v>581</v>
      </c>
      <c r="BB1525" s="0" t="s">
        <v>232</v>
      </c>
      <c r="BC1525" s="0">
        <v>3</v>
      </c>
      <c r="BE1525" s="0">
        <v>134783</v>
      </c>
      <c r="BF1525" s="0">
        <v>1</v>
      </c>
      <c r="BG1525" s="0" t="s">
        <v>10263</v>
      </c>
      <c r="BI1525" s="0">
        <v>4312</v>
      </c>
      <c r="BK1525" s="0" t="s">
        <v>10264</v>
      </c>
    </row>
    <row r="1526">
      <c r="A1526" s="0">
        <v>6323</v>
      </c>
      <c r="B1526" s="0" t="s">
        <v>7322</v>
      </c>
      <c r="E1526" s="0" t="s">
        <v>7323</v>
      </c>
      <c r="F1526" s="0">
        <v>3</v>
      </c>
      <c r="G1526" s="0" t="s">
        <v>319</v>
      </c>
      <c r="H1526" s="0" t="s">
        <v>398</v>
      </c>
      <c r="I1526" s="0" t="s">
        <v>2166</v>
      </c>
      <c r="P1526" s="0" t="s">
        <v>323</v>
      </c>
      <c r="Q1526" s="0" t="s">
        <v>323</v>
      </c>
      <c r="R1526" s="0" t="s">
        <v>556</v>
      </c>
      <c r="T1526" s="0" t="s">
        <v>10265</v>
      </c>
      <c r="X1526" s="0" t="s">
        <v>1116</v>
      </c>
      <c r="Y1526" s="0" t="s">
        <v>36</v>
      </c>
      <c r="Z1526" s="0" t="s">
        <v>4002</v>
      </c>
      <c r="AA1526" s="0" t="s">
        <v>226</v>
      </c>
      <c r="AB1526" s="0" t="s">
        <v>531</v>
      </c>
      <c r="AC1526" s="0" t="s">
        <v>532</v>
      </c>
      <c r="AF1526" s="0" t="s">
        <v>1688</v>
      </c>
      <c r="AP1526" s="0" t="s">
        <v>305</v>
      </c>
      <c r="BA1526" s="0">
        <v>581</v>
      </c>
      <c r="BB1526" s="0" t="s">
        <v>232</v>
      </c>
      <c r="BC1526" s="0">
        <v>3</v>
      </c>
      <c r="BE1526" s="0">
        <v>134783</v>
      </c>
      <c r="BF1526" s="0">
        <v>1</v>
      </c>
      <c r="BG1526" s="0" t="s">
        <v>10266</v>
      </c>
      <c r="BI1526" s="0">
        <v>4372</v>
      </c>
      <c r="BK1526" s="0" t="s">
        <v>10267</v>
      </c>
    </row>
    <row r="1527">
      <c r="A1527" s="0">
        <v>6325</v>
      </c>
      <c r="B1527" s="0" t="s">
        <v>10268</v>
      </c>
      <c r="E1527" s="0" t="s">
        <v>10269</v>
      </c>
      <c r="F1527" s="0">
        <v>1</v>
      </c>
      <c r="G1527" s="0" t="s">
        <v>581</v>
      </c>
      <c r="H1527" s="0" t="s">
        <v>581</v>
      </c>
      <c r="I1527" s="0" t="s">
        <v>583</v>
      </c>
      <c r="J1527" s="0" t="s">
        <v>594</v>
      </c>
      <c r="K1527" s="0" t="s">
        <v>1190</v>
      </c>
      <c r="L1527" s="0" t="s">
        <v>7417</v>
      </c>
      <c r="P1527" s="0" t="s">
        <v>343</v>
      </c>
      <c r="Q1527" s="0" t="s">
        <v>343</v>
      </c>
      <c r="T1527" s="0" t="s">
        <v>10270</v>
      </c>
      <c r="X1527" s="0" t="s">
        <v>1116</v>
      </c>
      <c r="Y1527" s="0" t="s">
        <v>36</v>
      </c>
      <c r="Z1527" s="0" t="s">
        <v>4002</v>
      </c>
      <c r="AA1527" s="0" t="s">
        <v>226</v>
      </c>
      <c r="AB1527" s="0" t="s">
        <v>531</v>
      </c>
      <c r="AC1527" s="0" t="s">
        <v>532</v>
      </c>
      <c r="AF1527" s="0" t="s">
        <v>1688</v>
      </c>
      <c r="AP1527" s="0" t="s">
        <v>305</v>
      </c>
      <c r="BA1527" s="0">
        <v>581</v>
      </c>
      <c r="BB1527" s="0" t="s">
        <v>232</v>
      </c>
      <c r="BC1527" s="0">
        <v>3</v>
      </c>
      <c r="BE1527" s="0">
        <v>134783</v>
      </c>
      <c r="BF1527" s="0">
        <v>1</v>
      </c>
      <c r="BG1527" s="0" t="s">
        <v>10271</v>
      </c>
      <c r="BI1527" s="0">
        <v>4477</v>
      </c>
      <c r="BK1527" s="0" t="s">
        <v>10272</v>
      </c>
    </row>
    <row r="1528">
      <c r="A1528" s="0">
        <v>6324</v>
      </c>
      <c r="B1528" s="0" t="s">
        <v>10268</v>
      </c>
      <c r="E1528" s="0" t="s">
        <v>10269</v>
      </c>
      <c r="F1528" s="0">
        <v>1</v>
      </c>
      <c r="G1528" s="0" t="s">
        <v>581</v>
      </c>
      <c r="H1528" s="0" t="s">
        <v>581</v>
      </c>
      <c r="I1528" s="0" t="s">
        <v>583</v>
      </c>
      <c r="J1528" s="0" t="s">
        <v>293</v>
      </c>
      <c r="K1528" s="0" t="s">
        <v>294</v>
      </c>
      <c r="L1528" s="0" t="s">
        <v>9609</v>
      </c>
      <c r="P1528" s="0" t="s">
        <v>343</v>
      </c>
      <c r="Q1528" s="0" t="s">
        <v>343</v>
      </c>
      <c r="T1528" s="0" t="s">
        <v>10273</v>
      </c>
      <c r="X1528" s="0" t="s">
        <v>1116</v>
      </c>
      <c r="Y1528" s="0" t="s">
        <v>36</v>
      </c>
      <c r="Z1528" s="0" t="s">
        <v>4002</v>
      </c>
      <c r="AA1528" s="0" t="s">
        <v>226</v>
      </c>
      <c r="AB1528" s="0" t="s">
        <v>531</v>
      </c>
      <c r="AC1528" s="0" t="s">
        <v>532</v>
      </c>
      <c r="AF1528" s="0" t="s">
        <v>1688</v>
      </c>
      <c r="AP1528" s="0" t="s">
        <v>305</v>
      </c>
      <c r="BA1528" s="0">
        <v>581</v>
      </c>
      <c r="BB1528" s="0" t="s">
        <v>232</v>
      </c>
      <c r="BC1528" s="0">
        <v>3</v>
      </c>
      <c r="BE1528" s="0">
        <v>134783</v>
      </c>
      <c r="BF1528" s="0">
        <v>1</v>
      </c>
      <c r="BG1528" s="0" t="s">
        <v>10274</v>
      </c>
      <c r="BI1528" s="0">
        <v>4431</v>
      </c>
      <c r="BK1528" s="0" t="s">
        <v>10275</v>
      </c>
    </row>
    <row r="1529">
      <c r="A1529" s="0">
        <v>6302</v>
      </c>
      <c r="B1529" s="0" t="s">
        <v>9607</v>
      </c>
      <c r="E1529" s="0" t="s">
        <v>7433</v>
      </c>
      <c r="F1529" s="0">
        <v>2</v>
      </c>
      <c r="G1529" s="0" t="s">
        <v>543</v>
      </c>
      <c r="H1529" s="0" t="s">
        <v>1112</v>
      </c>
      <c r="I1529" s="0" t="s">
        <v>9608</v>
      </c>
      <c r="J1529" s="0" t="s">
        <v>293</v>
      </c>
      <c r="K1529" s="0" t="s">
        <v>294</v>
      </c>
      <c r="L1529" s="0" t="s">
        <v>9609</v>
      </c>
      <c r="P1529" s="0" t="s">
        <v>323</v>
      </c>
      <c r="Q1529" s="0" t="s">
        <v>323</v>
      </c>
      <c r="R1529" s="0" t="s">
        <v>2393</v>
      </c>
      <c r="T1529" s="0" t="s">
        <v>10276</v>
      </c>
      <c r="X1529" s="0" t="s">
        <v>1116</v>
      </c>
      <c r="Y1529" s="0" t="s">
        <v>36</v>
      </c>
      <c r="Z1529" s="0" t="s">
        <v>4002</v>
      </c>
      <c r="AA1529" s="0" t="s">
        <v>226</v>
      </c>
      <c r="AB1529" s="0" t="s">
        <v>531</v>
      </c>
      <c r="AC1529" s="0" t="s">
        <v>532</v>
      </c>
      <c r="AF1529" s="0" t="s">
        <v>1688</v>
      </c>
      <c r="AP1529" s="0" t="s">
        <v>305</v>
      </c>
      <c r="BA1529" s="0">
        <v>581</v>
      </c>
      <c r="BB1529" s="0" t="s">
        <v>232</v>
      </c>
      <c r="BC1529" s="0">
        <v>3</v>
      </c>
      <c r="BE1529" s="0">
        <v>134783</v>
      </c>
      <c r="BF1529" s="0">
        <v>1</v>
      </c>
      <c r="BG1529" s="0" t="s">
        <v>10277</v>
      </c>
      <c r="BI1529" s="0">
        <v>1503</v>
      </c>
      <c r="BK1529" s="0" t="s">
        <v>10278</v>
      </c>
    </row>
    <row r="1530">
      <c r="A1530" s="0">
        <v>6303</v>
      </c>
      <c r="B1530" s="0" t="s">
        <v>10279</v>
      </c>
      <c r="E1530" s="0" t="s">
        <v>7439</v>
      </c>
      <c r="F1530" s="0">
        <v>3</v>
      </c>
      <c r="G1530" s="0" t="s">
        <v>543</v>
      </c>
      <c r="H1530" s="0" t="s">
        <v>1112</v>
      </c>
      <c r="I1530" s="0" t="s">
        <v>524</v>
      </c>
      <c r="J1530" s="0" t="s">
        <v>293</v>
      </c>
      <c r="K1530" s="0" t="s">
        <v>294</v>
      </c>
      <c r="L1530" s="0" t="s">
        <v>9609</v>
      </c>
      <c r="P1530" s="0" t="s">
        <v>323</v>
      </c>
      <c r="Q1530" s="0" t="s">
        <v>323</v>
      </c>
      <c r="R1530" s="0" t="s">
        <v>10204</v>
      </c>
      <c r="T1530" s="0" t="s">
        <v>10280</v>
      </c>
      <c r="X1530" s="0" t="s">
        <v>1116</v>
      </c>
      <c r="Y1530" s="0" t="s">
        <v>36</v>
      </c>
      <c r="Z1530" s="0" t="s">
        <v>4002</v>
      </c>
      <c r="AA1530" s="0" t="s">
        <v>226</v>
      </c>
      <c r="AB1530" s="0" t="s">
        <v>531</v>
      </c>
      <c r="AC1530" s="0" t="s">
        <v>532</v>
      </c>
      <c r="AF1530" s="0" t="s">
        <v>1688</v>
      </c>
      <c r="AP1530" s="0" t="s">
        <v>305</v>
      </c>
      <c r="BA1530" s="0">
        <v>581</v>
      </c>
      <c r="BB1530" s="0" t="s">
        <v>232</v>
      </c>
      <c r="BC1530" s="0">
        <v>3</v>
      </c>
      <c r="BE1530" s="0">
        <v>134783</v>
      </c>
      <c r="BF1530" s="0">
        <v>1</v>
      </c>
      <c r="BG1530" s="0" t="s">
        <v>10281</v>
      </c>
      <c r="BI1530" s="0">
        <v>1749</v>
      </c>
      <c r="BK1530" s="0" t="s">
        <v>10282</v>
      </c>
    </row>
    <row r="1531">
      <c r="A1531" s="0">
        <v>6315</v>
      </c>
      <c r="B1531" s="0" t="s">
        <v>10283</v>
      </c>
      <c r="E1531" s="0" t="s">
        <v>10284</v>
      </c>
      <c r="F1531" s="0">
        <v>2</v>
      </c>
      <c r="G1531" s="0" t="s">
        <v>319</v>
      </c>
      <c r="H1531" s="0" t="s">
        <v>398</v>
      </c>
      <c r="I1531" s="0" t="s">
        <v>471</v>
      </c>
      <c r="J1531" s="0" t="s">
        <v>594</v>
      </c>
      <c r="K1531" s="0" t="s">
        <v>1190</v>
      </c>
      <c r="L1531" s="0" t="s">
        <v>7417</v>
      </c>
      <c r="P1531" s="0" t="s">
        <v>323</v>
      </c>
      <c r="Q1531" s="0" t="s">
        <v>323</v>
      </c>
      <c r="R1531" s="0" t="s">
        <v>2488</v>
      </c>
      <c r="T1531" s="0" t="s">
        <v>10285</v>
      </c>
      <c r="X1531" s="0" t="s">
        <v>1116</v>
      </c>
      <c r="Y1531" s="0" t="s">
        <v>36</v>
      </c>
      <c r="Z1531" s="0" t="s">
        <v>4002</v>
      </c>
      <c r="AA1531" s="0" t="s">
        <v>226</v>
      </c>
      <c r="AB1531" s="0" t="s">
        <v>531</v>
      </c>
      <c r="AC1531" s="0" t="s">
        <v>532</v>
      </c>
      <c r="AF1531" s="0" t="s">
        <v>1688</v>
      </c>
      <c r="AP1531" s="0" t="s">
        <v>305</v>
      </c>
      <c r="BA1531" s="0">
        <v>581</v>
      </c>
      <c r="BB1531" s="0" t="s">
        <v>232</v>
      </c>
      <c r="BC1531" s="0">
        <v>3</v>
      </c>
      <c r="BE1531" s="0">
        <v>134783</v>
      </c>
      <c r="BF1531" s="0">
        <v>1</v>
      </c>
      <c r="BG1531" s="0" t="s">
        <v>10286</v>
      </c>
      <c r="BI1531" s="0">
        <v>3759</v>
      </c>
      <c r="BK1531" s="0" t="s">
        <v>10287</v>
      </c>
    </row>
    <row r="1532">
      <c r="A1532" s="0">
        <v>6314</v>
      </c>
      <c r="B1532" s="0" t="s">
        <v>7450</v>
      </c>
      <c r="E1532" s="0" t="s">
        <v>7451</v>
      </c>
      <c r="F1532" s="0">
        <v>3</v>
      </c>
      <c r="G1532" s="0" t="s">
        <v>319</v>
      </c>
      <c r="H1532" s="0" t="s">
        <v>398</v>
      </c>
      <c r="I1532" s="0" t="s">
        <v>471</v>
      </c>
      <c r="J1532" s="0" t="s">
        <v>594</v>
      </c>
      <c r="K1532" s="0" t="s">
        <v>1190</v>
      </c>
      <c r="L1532" s="0" t="s">
        <v>7417</v>
      </c>
      <c r="P1532" s="0" t="s">
        <v>323</v>
      </c>
      <c r="Q1532" s="0" t="s">
        <v>323</v>
      </c>
      <c r="R1532" s="0" t="s">
        <v>2488</v>
      </c>
      <c r="T1532" s="0" t="s">
        <v>10288</v>
      </c>
      <c r="X1532" s="0" t="s">
        <v>1116</v>
      </c>
      <c r="Y1532" s="0" t="s">
        <v>36</v>
      </c>
      <c r="Z1532" s="0" t="s">
        <v>4002</v>
      </c>
      <c r="AA1532" s="0" t="s">
        <v>226</v>
      </c>
      <c r="AB1532" s="0" t="s">
        <v>531</v>
      </c>
      <c r="AC1532" s="0" t="s">
        <v>532</v>
      </c>
      <c r="AF1532" s="0" t="s">
        <v>1688</v>
      </c>
      <c r="AP1532" s="0" t="s">
        <v>305</v>
      </c>
      <c r="BA1532" s="0">
        <v>581</v>
      </c>
      <c r="BB1532" s="0" t="s">
        <v>232</v>
      </c>
      <c r="BC1532" s="0">
        <v>3</v>
      </c>
      <c r="BE1532" s="0">
        <v>134783</v>
      </c>
      <c r="BF1532" s="0">
        <v>1</v>
      </c>
      <c r="BG1532" s="0" t="s">
        <v>10289</v>
      </c>
      <c r="BI1532" s="0">
        <v>3656</v>
      </c>
      <c r="BK1532" s="0" t="s">
        <v>10290</v>
      </c>
    </row>
    <row r="1533">
      <c r="A1533" s="0">
        <v>6326</v>
      </c>
      <c r="B1533" s="0" t="s">
        <v>6319</v>
      </c>
      <c r="E1533" s="0" t="s">
        <v>4652</v>
      </c>
      <c r="F1533" s="0">
        <v>9</v>
      </c>
      <c r="G1533" s="0" t="s">
        <v>543</v>
      </c>
      <c r="H1533" s="0" t="s">
        <v>1112</v>
      </c>
      <c r="I1533" s="0" t="s">
        <v>2166</v>
      </c>
      <c r="P1533" s="0" t="s">
        <v>323</v>
      </c>
      <c r="Q1533" s="0" t="s">
        <v>4015</v>
      </c>
      <c r="R1533" s="0" t="s">
        <v>3998</v>
      </c>
      <c r="T1533" s="0" t="s">
        <v>10291</v>
      </c>
      <c r="X1533" s="0" t="s">
        <v>1116</v>
      </c>
      <c r="Y1533" s="0" t="s">
        <v>36</v>
      </c>
      <c r="Z1533" s="0" t="s">
        <v>4002</v>
      </c>
      <c r="AA1533" s="0" t="s">
        <v>226</v>
      </c>
      <c r="AB1533" s="0" t="s">
        <v>531</v>
      </c>
      <c r="AC1533" s="0" t="s">
        <v>532</v>
      </c>
      <c r="AF1533" s="0" t="s">
        <v>1688</v>
      </c>
      <c r="AP1533" s="0" t="s">
        <v>305</v>
      </c>
      <c r="BA1533" s="0">
        <v>581</v>
      </c>
      <c r="BB1533" s="0" t="s">
        <v>232</v>
      </c>
      <c r="BC1533" s="0">
        <v>3</v>
      </c>
      <c r="BE1533" s="0">
        <v>134783</v>
      </c>
      <c r="BF1533" s="0">
        <v>1</v>
      </c>
      <c r="BG1533" s="0" t="s">
        <v>10292</v>
      </c>
      <c r="BI1533" s="0">
        <v>4579</v>
      </c>
      <c r="BK1533" s="0" t="s">
        <v>10293</v>
      </c>
    </row>
    <row r="1534">
      <c r="A1534" s="0">
        <v>6329</v>
      </c>
      <c r="B1534" s="0" t="s">
        <v>7456</v>
      </c>
      <c r="E1534" s="0" t="s">
        <v>7457</v>
      </c>
      <c r="F1534" s="0">
        <v>9</v>
      </c>
      <c r="G1534" s="0" t="s">
        <v>543</v>
      </c>
      <c r="H1534" s="0" t="s">
        <v>1112</v>
      </c>
      <c r="I1534" s="0" t="s">
        <v>524</v>
      </c>
      <c r="P1534" s="0" t="s">
        <v>323</v>
      </c>
      <c r="Q1534" s="0" t="s">
        <v>4015</v>
      </c>
      <c r="R1534" s="0" t="s">
        <v>3998</v>
      </c>
      <c r="X1534" s="0" t="s">
        <v>1116</v>
      </c>
      <c r="Y1534" s="0" t="s">
        <v>36</v>
      </c>
      <c r="Z1534" s="0" t="s">
        <v>4002</v>
      </c>
      <c r="AA1534" s="0" t="s">
        <v>226</v>
      </c>
      <c r="AB1534" s="0" t="s">
        <v>531</v>
      </c>
      <c r="AC1534" s="0" t="s">
        <v>532</v>
      </c>
      <c r="AF1534" s="0" t="s">
        <v>1688</v>
      </c>
      <c r="AP1534" s="0" t="s">
        <v>305</v>
      </c>
      <c r="BA1534" s="0">
        <v>581</v>
      </c>
      <c r="BB1534" s="0" t="s">
        <v>232</v>
      </c>
      <c r="BC1534" s="0">
        <v>3</v>
      </c>
      <c r="BE1534" s="0">
        <v>134783</v>
      </c>
      <c r="BF1534" s="0">
        <v>1</v>
      </c>
      <c r="BG1534" s="0" t="s">
        <v>10294</v>
      </c>
      <c r="BI1534" s="0">
        <v>4529</v>
      </c>
      <c r="BK1534" s="0" t="s">
        <v>10295</v>
      </c>
    </row>
    <row r="1535">
      <c r="A1535" s="0">
        <v>6304</v>
      </c>
      <c r="B1535" s="0" t="s">
        <v>10296</v>
      </c>
      <c r="E1535" s="0" t="s">
        <v>10297</v>
      </c>
      <c r="F1535" s="0">
        <v>3</v>
      </c>
      <c r="G1535" s="0" t="s">
        <v>319</v>
      </c>
      <c r="H1535" s="0" t="s">
        <v>523</v>
      </c>
      <c r="I1535" s="0" t="s">
        <v>1268</v>
      </c>
      <c r="J1535" s="0" t="s">
        <v>525</v>
      </c>
      <c r="K1535" s="0" t="s">
        <v>508</v>
      </c>
      <c r="L1535" s="0" t="s">
        <v>5473</v>
      </c>
      <c r="M1535" s="0" t="s">
        <v>594</v>
      </c>
      <c r="N1535" s="0" t="s">
        <v>1190</v>
      </c>
      <c r="O1535" s="0" t="s">
        <v>7417</v>
      </c>
      <c r="P1535" s="0" t="s">
        <v>343</v>
      </c>
      <c r="Q1535" s="0" t="s">
        <v>343</v>
      </c>
      <c r="T1535" s="0" t="s">
        <v>10298</v>
      </c>
      <c r="X1535" s="0" t="s">
        <v>1116</v>
      </c>
      <c r="Y1535" s="0" t="s">
        <v>36</v>
      </c>
      <c r="Z1535" s="0" t="s">
        <v>4002</v>
      </c>
      <c r="AA1535" s="0" t="s">
        <v>226</v>
      </c>
      <c r="AB1535" s="0" t="s">
        <v>531</v>
      </c>
      <c r="AC1535" s="0" t="s">
        <v>532</v>
      </c>
      <c r="AF1535" s="0" t="s">
        <v>1688</v>
      </c>
      <c r="AP1535" s="0" t="s">
        <v>305</v>
      </c>
      <c r="BA1535" s="0">
        <v>581</v>
      </c>
      <c r="BB1535" s="0" t="s">
        <v>232</v>
      </c>
      <c r="BC1535" s="0">
        <v>3</v>
      </c>
      <c r="BE1535" s="0">
        <v>134783</v>
      </c>
      <c r="BF1535" s="0">
        <v>1</v>
      </c>
      <c r="BG1535" s="0" t="s">
        <v>10299</v>
      </c>
      <c r="BI1535" s="0">
        <v>1991</v>
      </c>
      <c r="BK1535" s="0" t="s">
        <v>10300</v>
      </c>
    </row>
    <row r="1536">
      <c r="A1536" s="0">
        <v>6305</v>
      </c>
      <c r="B1536" s="0" t="s">
        <v>10296</v>
      </c>
      <c r="E1536" s="0" t="s">
        <v>10297</v>
      </c>
      <c r="F1536" s="0">
        <v>3</v>
      </c>
      <c r="G1536" s="0" t="s">
        <v>319</v>
      </c>
      <c r="H1536" s="0" t="s">
        <v>470</v>
      </c>
      <c r="I1536" s="0" t="s">
        <v>471</v>
      </c>
      <c r="J1536" s="0" t="s">
        <v>594</v>
      </c>
      <c r="K1536" s="0" t="s">
        <v>508</v>
      </c>
      <c r="L1536" s="0" t="s">
        <v>3204</v>
      </c>
      <c r="M1536" s="0" t="s">
        <v>594</v>
      </c>
      <c r="N1536" s="0" t="s">
        <v>1190</v>
      </c>
      <c r="O1536" s="0" t="s">
        <v>7417</v>
      </c>
      <c r="P1536" s="0" t="s">
        <v>343</v>
      </c>
      <c r="Q1536" s="0" t="s">
        <v>343</v>
      </c>
      <c r="T1536" s="0" t="s">
        <v>10301</v>
      </c>
      <c r="X1536" s="0" t="s">
        <v>1116</v>
      </c>
      <c r="Y1536" s="0" t="s">
        <v>36</v>
      </c>
      <c r="Z1536" s="0" t="s">
        <v>4002</v>
      </c>
      <c r="AA1536" s="0" t="s">
        <v>226</v>
      </c>
      <c r="AB1536" s="0" t="s">
        <v>531</v>
      </c>
      <c r="AC1536" s="0" t="s">
        <v>532</v>
      </c>
      <c r="AF1536" s="0" t="s">
        <v>1688</v>
      </c>
      <c r="AP1536" s="0" t="s">
        <v>305</v>
      </c>
      <c r="BA1536" s="0">
        <v>581</v>
      </c>
      <c r="BB1536" s="0" t="s">
        <v>232</v>
      </c>
      <c r="BC1536" s="0">
        <v>3</v>
      </c>
      <c r="BE1536" s="0">
        <v>134783</v>
      </c>
      <c r="BF1536" s="0">
        <v>1</v>
      </c>
      <c r="BG1536" s="0" t="s">
        <v>10302</v>
      </c>
      <c r="BI1536" s="0">
        <v>2217</v>
      </c>
      <c r="BK1536" s="0" t="s">
        <v>10303</v>
      </c>
    </row>
    <row r="1537">
      <c r="A1537" s="0">
        <v>6306</v>
      </c>
      <c r="B1537" s="0" t="s">
        <v>9637</v>
      </c>
      <c r="E1537" s="0" t="s">
        <v>9638</v>
      </c>
      <c r="F1537" s="0">
        <v>2</v>
      </c>
      <c r="G1537" s="0" t="s">
        <v>319</v>
      </c>
      <c r="H1537" s="0" t="s">
        <v>398</v>
      </c>
      <c r="I1537" s="0" t="s">
        <v>2166</v>
      </c>
      <c r="J1537" s="0" t="s">
        <v>293</v>
      </c>
      <c r="K1537" s="0" t="s">
        <v>294</v>
      </c>
      <c r="L1537" s="0" t="s">
        <v>9525</v>
      </c>
      <c r="P1537" s="0" t="s">
        <v>323</v>
      </c>
      <c r="Q1537" s="0" t="s">
        <v>323</v>
      </c>
      <c r="R1537" s="0" t="s">
        <v>556</v>
      </c>
      <c r="T1537" s="0" t="s">
        <v>10304</v>
      </c>
      <c r="X1537" s="0" t="s">
        <v>1116</v>
      </c>
      <c r="Y1537" s="0" t="s">
        <v>36</v>
      </c>
      <c r="Z1537" s="0" t="s">
        <v>4002</v>
      </c>
      <c r="AA1537" s="0" t="s">
        <v>226</v>
      </c>
      <c r="AB1537" s="0" t="s">
        <v>531</v>
      </c>
      <c r="AC1537" s="0" t="s">
        <v>532</v>
      </c>
      <c r="AF1537" s="0" t="s">
        <v>1688</v>
      </c>
      <c r="AP1537" s="0" t="s">
        <v>305</v>
      </c>
      <c r="BA1537" s="0">
        <v>581</v>
      </c>
      <c r="BB1537" s="0" t="s">
        <v>232</v>
      </c>
      <c r="BC1537" s="0">
        <v>3</v>
      </c>
      <c r="BE1537" s="0">
        <v>134783</v>
      </c>
      <c r="BF1537" s="0">
        <v>1</v>
      </c>
      <c r="BG1537" s="0" t="s">
        <v>10305</v>
      </c>
      <c r="BI1537" s="0">
        <v>2421</v>
      </c>
      <c r="BK1537" s="0" t="s">
        <v>10306</v>
      </c>
    </row>
    <row r="1538">
      <c r="A1538" s="0">
        <v>6309</v>
      </c>
      <c r="B1538" s="0" t="s">
        <v>9637</v>
      </c>
      <c r="E1538" s="0" t="s">
        <v>9638</v>
      </c>
      <c r="F1538" s="0">
        <v>1</v>
      </c>
      <c r="G1538" s="0" t="s">
        <v>319</v>
      </c>
      <c r="H1538" s="0" t="s">
        <v>398</v>
      </c>
      <c r="I1538" s="0" t="s">
        <v>9639</v>
      </c>
      <c r="J1538" s="0" t="s">
        <v>293</v>
      </c>
      <c r="K1538" s="0" t="s">
        <v>294</v>
      </c>
      <c r="L1538" s="0" t="s">
        <v>9609</v>
      </c>
      <c r="P1538" s="0" t="s">
        <v>323</v>
      </c>
      <c r="Q1538" s="0" t="s">
        <v>323</v>
      </c>
      <c r="R1538" s="0" t="s">
        <v>2393</v>
      </c>
      <c r="T1538" s="0" t="s">
        <v>10307</v>
      </c>
      <c r="X1538" s="0" t="s">
        <v>1116</v>
      </c>
      <c r="Y1538" s="0" t="s">
        <v>36</v>
      </c>
      <c r="Z1538" s="0" t="s">
        <v>4002</v>
      </c>
      <c r="AA1538" s="0" t="s">
        <v>226</v>
      </c>
      <c r="AB1538" s="0" t="s">
        <v>531</v>
      </c>
      <c r="AC1538" s="0" t="s">
        <v>532</v>
      </c>
      <c r="AF1538" s="0" t="s">
        <v>1688</v>
      </c>
      <c r="AP1538" s="0" t="s">
        <v>305</v>
      </c>
      <c r="BA1538" s="0">
        <v>581</v>
      </c>
      <c r="BB1538" s="0" t="s">
        <v>232</v>
      </c>
      <c r="BC1538" s="0">
        <v>3</v>
      </c>
      <c r="BE1538" s="0">
        <v>134783</v>
      </c>
      <c r="BF1538" s="0">
        <v>1</v>
      </c>
      <c r="BG1538" s="0" t="s">
        <v>10308</v>
      </c>
      <c r="BI1538" s="0">
        <v>2974</v>
      </c>
      <c r="BK1538" s="0" t="s">
        <v>10309</v>
      </c>
    </row>
    <row r="1539">
      <c r="A1539" s="0">
        <v>6310</v>
      </c>
      <c r="B1539" s="0" t="s">
        <v>7327</v>
      </c>
      <c r="E1539" s="0" t="s">
        <v>7328</v>
      </c>
      <c r="F1539" s="0">
        <v>2</v>
      </c>
      <c r="G1539" s="0" t="s">
        <v>319</v>
      </c>
      <c r="H1539" s="0" t="s">
        <v>398</v>
      </c>
      <c r="I1539" s="0" t="s">
        <v>9639</v>
      </c>
      <c r="J1539" s="0" t="s">
        <v>293</v>
      </c>
      <c r="K1539" s="0" t="s">
        <v>294</v>
      </c>
      <c r="L1539" s="0" t="s">
        <v>9609</v>
      </c>
      <c r="P1539" s="0" t="s">
        <v>323</v>
      </c>
      <c r="Q1539" s="0" t="s">
        <v>323</v>
      </c>
      <c r="R1539" s="0" t="s">
        <v>2393</v>
      </c>
      <c r="T1539" s="0" t="s">
        <v>10310</v>
      </c>
      <c r="X1539" s="0" t="s">
        <v>1116</v>
      </c>
      <c r="Y1539" s="0" t="s">
        <v>36</v>
      </c>
      <c r="Z1539" s="0" t="s">
        <v>4002</v>
      </c>
      <c r="AA1539" s="0" t="s">
        <v>226</v>
      </c>
      <c r="AB1539" s="0" t="s">
        <v>531</v>
      </c>
      <c r="AC1539" s="0" t="s">
        <v>532</v>
      </c>
      <c r="AF1539" s="0" t="s">
        <v>1688</v>
      </c>
      <c r="AP1539" s="0" t="s">
        <v>305</v>
      </c>
      <c r="BA1539" s="0">
        <v>581</v>
      </c>
      <c r="BB1539" s="0" t="s">
        <v>232</v>
      </c>
      <c r="BC1539" s="0">
        <v>3</v>
      </c>
      <c r="BE1539" s="0">
        <v>134783</v>
      </c>
      <c r="BF1539" s="0">
        <v>1</v>
      </c>
      <c r="BG1539" s="0" t="s">
        <v>10311</v>
      </c>
      <c r="BI1539" s="0">
        <v>3140</v>
      </c>
      <c r="BK1539" s="0" t="s">
        <v>10312</v>
      </c>
    </row>
    <row r="1540">
      <c r="A1540" s="0">
        <v>6307</v>
      </c>
      <c r="B1540" s="0" t="s">
        <v>7327</v>
      </c>
      <c r="E1540" s="0" t="s">
        <v>7328</v>
      </c>
      <c r="F1540" s="0">
        <v>3</v>
      </c>
      <c r="G1540" s="0" t="s">
        <v>319</v>
      </c>
      <c r="H1540" s="0" t="s">
        <v>398</v>
      </c>
      <c r="I1540" s="0" t="s">
        <v>2166</v>
      </c>
      <c r="J1540" s="0" t="s">
        <v>293</v>
      </c>
      <c r="K1540" s="0" t="s">
        <v>294</v>
      </c>
      <c r="L1540" s="0" t="s">
        <v>9609</v>
      </c>
      <c r="P1540" s="0" t="s">
        <v>323</v>
      </c>
      <c r="Q1540" s="0" t="s">
        <v>323</v>
      </c>
      <c r="R1540" s="0" t="s">
        <v>556</v>
      </c>
      <c r="T1540" s="0" t="s">
        <v>10313</v>
      </c>
      <c r="X1540" s="0" t="s">
        <v>1116</v>
      </c>
      <c r="Y1540" s="0" t="s">
        <v>36</v>
      </c>
      <c r="Z1540" s="0" t="s">
        <v>4002</v>
      </c>
      <c r="AA1540" s="0" t="s">
        <v>226</v>
      </c>
      <c r="AB1540" s="0" t="s">
        <v>531</v>
      </c>
      <c r="AC1540" s="0" t="s">
        <v>532</v>
      </c>
      <c r="AF1540" s="0" t="s">
        <v>1688</v>
      </c>
      <c r="AP1540" s="0" t="s">
        <v>305</v>
      </c>
      <c r="BA1540" s="0">
        <v>581</v>
      </c>
      <c r="BB1540" s="0" t="s">
        <v>232</v>
      </c>
      <c r="BC1540" s="0">
        <v>3</v>
      </c>
      <c r="BE1540" s="0">
        <v>134783</v>
      </c>
      <c r="BF1540" s="0">
        <v>1</v>
      </c>
      <c r="BG1540" s="0" t="s">
        <v>10314</v>
      </c>
      <c r="BI1540" s="0">
        <v>2631</v>
      </c>
      <c r="BK1540" s="0" t="s">
        <v>10315</v>
      </c>
    </row>
    <row r="1541">
      <c r="A1541" s="0">
        <v>6308</v>
      </c>
      <c r="B1541" s="0" t="s">
        <v>9654</v>
      </c>
      <c r="E1541" s="0" t="s">
        <v>9655</v>
      </c>
      <c r="F1541" s="0">
        <v>3</v>
      </c>
      <c r="G1541" s="0" t="s">
        <v>319</v>
      </c>
      <c r="H1541" s="0" t="s">
        <v>398</v>
      </c>
      <c r="I1541" s="0" t="s">
        <v>2166</v>
      </c>
      <c r="J1541" s="0" t="s">
        <v>293</v>
      </c>
      <c r="K1541" s="0" t="s">
        <v>294</v>
      </c>
      <c r="L1541" s="0" t="s">
        <v>9609</v>
      </c>
      <c r="M1541" s="0" t="s">
        <v>594</v>
      </c>
      <c r="N1541" s="0" t="s">
        <v>1190</v>
      </c>
      <c r="O1541" s="0" t="s">
        <v>7417</v>
      </c>
      <c r="P1541" s="0" t="s">
        <v>343</v>
      </c>
      <c r="Q1541" s="0" t="s">
        <v>343</v>
      </c>
      <c r="T1541" s="0" t="s">
        <v>10316</v>
      </c>
      <c r="X1541" s="0" t="s">
        <v>1116</v>
      </c>
      <c r="Y1541" s="0" t="s">
        <v>36</v>
      </c>
      <c r="Z1541" s="0" t="s">
        <v>4002</v>
      </c>
      <c r="AA1541" s="0" t="s">
        <v>226</v>
      </c>
      <c r="AB1541" s="0" t="s">
        <v>531</v>
      </c>
      <c r="AC1541" s="0" t="s">
        <v>532</v>
      </c>
      <c r="AF1541" s="0" t="s">
        <v>1688</v>
      </c>
      <c r="AP1541" s="0" t="s">
        <v>305</v>
      </c>
      <c r="BA1541" s="0">
        <v>581</v>
      </c>
      <c r="BB1541" s="0" t="s">
        <v>232</v>
      </c>
      <c r="BC1541" s="0">
        <v>3</v>
      </c>
      <c r="BE1541" s="0">
        <v>134783</v>
      </c>
      <c r="BF1541" s="0">
        <v>1</v>
      </c>
      <c r="BG1541" s="0" t="s">
        <v>10317</v>
      </c>
      <c r="BI1541" s="0">
        <v>2806</v>
      </c>
      <c r="BK1541" s="0" t="s">
        <v>10318</v>
      </c>
    </row>
    <row r="1542">
      <c r="A1542" s="0">
        <v>6311</v>
      </c>
      <c r="B1542" s="0" t="s">
        <v>9654</v>
      </c>
      <c r="E1542" s="0" t="s">
        <v>9655</v>
      </c>
      <c r="F1542" s="0">
        <v>2</v>
      </c>
      <c r="G1542" s="0" t="s">
        <v>319</v>
      </c>
      <c r="H1542" s="0" t="s">
        <v>398</v>
      </c>
      <c r="I1542" s="0" t="s">
        <v>9639</v>
      </c>
      <c r="J1542" s="0" t="s">
        <v>293</v>
      </c>
      <c r="K1542" s="0" t="s">
        <v>294</v>
      </c>
      <c r="L1542" s="0" t="s">
        <v>9609</v>
      </c>
      <c r="M1542" s="0" t="s">
        <v>594</v>
      </c>
      <c r="N1542" s="0" t="s">
        <v>1190</v>
      </c>
      <c r="O1542" s="0" t="s">
        <v>7417</v>
      </c>
      <c r="P1542" s="0" t="s">
        <v>343</v>
      </c>
      <c r="Q1542" s="0" t="s">
        <v>343</v>
      </c>
      <c r="T1542" s="0" t="s">
        <v>10319</v>
      </c>
      <c r="X1542" s="0" t="s">
        <v>1116</v>
      </c>
      <c r="Y1542" s="0" t="s">
        <v>36</v>
      </c>
      <c r="Z1542" s="0" t="s">
        <v>4002</v>
      </c>
      <c r="AA1542" s="0" t="s">
        <v>226</v>
      </c>
      <c r="AB1542" s="0" t="s">
        <v>531</v>
      </c>
      <c r="AC1542" s="0" t="s">
        <v>532</v>
      </c>
      <c r="AF1542" s="0" t="s">
        <v>1688</v>
      </c>
      <c r="AP1542" s="0" t="s">
        <v>305</v>
      </c>
      <c r="BA1542" s="0">
        <v>581</v>
      </c>
      <c r="BB1542" s="0" t="s">
        <v>232</v>
      </c>
      <c r="BC1542" s="0">
        <v>3</v>
      </c>
      <c r="BE1542" s="0">
        <v>134783</v>
      </c>
      <c r="BF1542" s="0">
        <v>1</v>
      </c>
      <c r="BG1542" s="0" t="s">
        <v>10320</v>
      </c>
      <c r="BI1542" s="0">
        <v>3289</v>
      </c>
      <c r="BK1542" s="0" t="s">
        <v>10321</v>
      </c>
    </row>
    <row r="1543">
      <c r="A1543" s="0">
        <v>6328</v>
      </c>
      <c r="B1543" s="0" t="s">
        <v>9666</v>
      </c>
      <c r="E1543" s="0" t="s">
        <v>9668</v>
      </c>
      <c r="F1543" s="0">
        <v>8</v>
      </c>
      <c r="G1543" s="0" t="s">
        <v>543</v>
      </c>
      <c r="H1543" s="0" t="s">
        <v>1112</v>
      </c>
      <c r="I1543" s="0" t="s">
        <v>2166</v>
      </c>
      <c r="P1543" s="0" t="s">
        <v>323</v>
      </c>
      <c r="Q1543" s="0" t="s">
        <v>343</v>
      </c>
      <c r="R1543" s="0" t="s">
        <v>10322</v>
      </c>
      <c r="T1543" s="0" t="s">
        <v>10323</v>
      </c>
      <c r="X1543" s="0" t="s">
        <v>1116</v>
      </c>
      <c r="Y1543" s="0" t="s">
        <v>36</v>
      </c>
      <c r="Z1543" s="0" t="s">
        <v>4002</v>
      </c>
      <c r="AA1543" s="0" t="s">
        <v>226</v>
      </c>
      <c r="AB1543" s="0" t="s">
        <v>531</v>
      </c>
      <c r="AC1543" s="0" t="s">
        <v>532</v>
      </c>
      <c r="AF1543" s="0" t="s">
        <v>1688</v>
      </c>
      <c r="AP1543" s="0" t="s">
        <v>305</v>
      </c>
      <c r="BA1543" s="0">
        <v>581</v>
      </c>
      <c r="BB1543" s="0" t="s">
        <v>232</v>
      </c>
      <c r="BC1543" s="0">
        <v>3</v>
      </c>
      <c r="BE1543" s="0">
        <v>134783</v>
      </c>
      <c r="BF1543" s="0">
        <v>1</v>
      </c>
      <c r="BG1543" s="0" t="s">
        <v>10324</v>
      </c>
      <c r="BI1543" s="0">
        <v>4655</v>
      </c>
      <c r="BK1543" s="0" t="s">
        <v>10325</v>
      </c>
    </row>
    <row r="1544">
      <c r="A1544" s="0">
        <v>6327</v>
      </c>
      <c r="B1544" s="0" t="s">
        <v>9666</v>
      </c>
      <c r="E1544" s="0" t="s">
        <v>9668</v>
      </c>
      <c r="F1544" s="0">
        <v>8</v>
      </c>
      <c r="G1544" s="0" t="s">
        <v>543</v>
      </c>
      <c r="H1544" s="0" t="s">
        <v>10227</v>
      </c>
      <c r="I1544" s="0" t="s">
        <v>524</v>
      </c>
      <c r="P1544" s="0" t="s">
        <v>323</v>
      </c>
      <c r="Q1544" s="0" t="s">
        <v>343</v>
      </c>
      <c r="R1544" s="0" t="s">
        <v>661</v>
      </c>
      <c r="T1544" s="0" t="s">
        <v>10323</v>
      </c>
      <c r="X1544" s="0" t="s">
        <v>1116</v>
      </c>
      <c r="Y1544" s="0" t="s">
        <v>36</v>
      </c>
      <c r="Z1544" s="0" t="s">
        <v>4002</v>
      </c>
      <c r="AA1544" s="0" t="s">
        <v>226</v>
      </c>
      <c r="AB1544" s="0" t="s">
        <v>531</v>
      </c>
      <c r="AC1544" s="0" t="s">
        <v>532</v>
      </c>
      <c r="AF1544" s="0" t="s">
        <v>1688</v>
      </c>
      <c r="AP1544" s="0" t="s">
        <v>305</v>
      </c>
      <c r="BA1544" s="0">
        <v>581</v>
      </c>
      <c r="BB1544" s="0" t="s">
        <v>232</v>
      </c>
      <c r="BC1544" s="0">
        <v>3</v>
      </c>
      <c r="BE1544" s="0">
        <v>134783</v>
      </c>
      <c r="BF1544" s="0">
        <v>1</v>
      </c>
      <c r="BG1544" s="0" t="s">
        <v>10326</v>
      </c>
      <c r="BI1544" s="0">
        <v>4620</v>
      </c>
      <c r="BK1544" s="0" t="s">
        <v>10327</v>
      </c>
    </row>
    <row r="1545">
      <c r="A1545" s="0">
        <v>6330</v>
      </c>
      <c r="B1545" s="0" t="s">
        <v>7484</v>
      </c>
      <c r="E1545" s="0" t="s">
        <v>7485</v>
      </c>
      <c r="F1545" s="0">
        <v>9</v>
      </c>
      <c r="G1545" s="0" t="s">
        <v>319</v>
      </c>
      <c r="H1545" s="0" t="s">
        <v>9684</v>
      </c>
      <c r="I1545" s="0" t="s">
        <v>10328</v>
      </c>
      <c r="J1545" s="0" t="s">
        <v>594</v>
      </c>
      <c r="K1545" s="0" t="s">
        <v>1190</v>
      </c>
      <c r="L1545" s="0" t="s">
        <v>7417</v>
      </c>
      <c r="P1545" s="0" t="s">
        <v>323</v>
      </c>
      <c r="Q1545" s="0" t="s">
        <v>343</v>
      </c>
      <c r="R1545" s="0" t="s">
        <v>2393</v>
      </c>
      <c r="T1545" s="0" t="s">
        <v>10329</v>
      </c>
      <c r="X1545" s="0" t="s">
        <v>1116</v>
      </c>
      <c r="Y1545" s="0" t="s">
        <v>36</v>
      </c>
      <c r="Z1545" s="0" t="s">
        <v>4002</v>
      </c>
      <c r="AA1545" s="0" t="s">
        <v>226</v>
      </c>
      <c r="AB1545" s="0" t="s">
        <v>531</v>
      </c>
      <c r="AC1545" s="0" t="s">
        <v>532</v>
      </c>
      <c r="AF1545" s="0" t="s">
        <v>1688</v>
      </c>
      <c r="AP1545" s="0" t="s">
        <v>305</v>
      </c>
      <c r="BA1545" s="0">
        <v>581</v>
      </c>
      <c r="BB1545" s="0" t="s">
        <v>232</v>
      </c>
      <c r="BC1545" s="0">
        <v>3</v>
      </c>
      <c r="BE1545" s="0">
        <v>134783</v>
      </c>
      <c r="BF1545" s="0">
        <v>1</v>
      </c>
      <c r="BG1545" s="0" t="s">
        <v>10330</v>
      </c>
      <c r="BI1545" s="0">
        <v>4685</v>
      </c>
      <c r="BK1545" s="0" t="s">
        <v>10331</v>
      </c>
    </row>
    <row r="1546">
      <c r="A1546" s="0">
        <v>6331</v>
      </c>
      <c r="B1546" s="0" t="s">
        <v>7484</v>
      </c>
      <c r="E1546" s="0" t="s">
        <v>7485</v>
      </c>
      <c r="F1546" s="0">
        <v>9</v>
      </c>
      <c r="G1546" s="0" t="s">
        <v>319</v>
      </c>
      <c r="H1546" s="0" t="s">
        <v>9684</v>
      </c>
      <c r="I1546" s="0" t="s">
        <v>7123</v>
      </c>
      <c r="J1546" s="0" t="s">
        <v>594</v>
      </c>
      <c r="K1546" s="0" t="s">
        <v>1190</v>
      </c>
      <c r="L1546" s="0" t="s">
        <v>7417</v>
      </c>
      <c r="P1546" s="0" t="s">
        <v>323</v>
      </c>
      <c r="Q1546" s="0" t="s">
        <v>343</v>
      </c>
      <c r="R1546" s="0" t="s">
        <v>3998</v>
      </c>
      <c r="T1546" s="0" t="s">
        <v>10332</v>
      </c>
      <c r="X1546" s="0" t="s">
        <v>1116</v>
      </c>
      <c r="Y1546" s="0" t="s">
        <v>36</v>
      </c>
      <c r="Z1546" s="0" t="s">
        <v>4002</v>
      </c>
      <c r="AA1546" s="0" t="s">
        <v>226</v>
      </c>
      <c r="AB1546" s="0" t="s">
        <v>531</v>
      </c>
      <c r="AC1546" s="0" t="s">
        <v>532</v>
      </c>
      <c r="AF1546" s="0" t="s">
        <v>1688</v>
      </c>
      <c r="AP1546" s="0" t="s">
        <v>305</v>
      </c>
      <c r="BA1546" s="0">
        <v>581</v>
      </c>
      <c r="BB1546" s="0" t="s">
        <v>232</v>
      </c>
      <c r="BC1546" s="0">
        <v>3</v>
      </c>
      <c r="BE1546" s="0">
        <v>134783</v>
      </c>
      <c r="BF1546" s="0">
        <v>1</v>
      </c>
      <c r="BG1546" s="0" t="s">
        <v>10333</v>
      </c>
      <c r="BI1546" s="0">
        <v>4716</v>
      </c>
      <c r="BK1546" s="0" t="s">
        <v>10334</v>
      </c>
    </row>
    <row r="1547">
      <c r="A1547" s="0">
        <v>6332</v>
      </c>
      <c r="B1547" s="0" t="s">
        <v>7484</v>
      </c>
      <c r="E1547" s="0" t="s">
        <v>7485</v>
      </c>
      <c r="F1547" s="0">
        <v>9</v>
      </c>
      <c r="G1547" s="0" t="s">
        <v>319</v>
      </c>
      <c r="H1547" s="0" t="s">
        <v>9684</v>
      </c>
      <c r="I1547" s="0" t="s">
        <v>9691</v>
      </c>
      <c r="P1547" s="0" t="s">
        <v>323</v>
      </c>
      <c r="Q1547" s="0" t="s">
        <v>343</v>
      </c>
      <c r="R1547" s="0" t="s">
        <v>3998</v>
      </c>
      <c r="T1547" s="0" t="s">
        <v>10335</v>
      </c>
      <c r="X1547" s="0" t="s">
        <v>1116</v>
      </c>
      <c r="Y1547" s="0" t="s">
        <v>36</v>
      </c>
      <c r="Z1547" s="0" t="s">
        <v>4002</v>
      </c>
      <c r="AA1547" s="0" t="s">
        <v>226</v>
      </c>
      <c r="AB1547" s="0" t="s">
        <v>531</v>
      </c>
      <c r="AC1547" s="0" t="s">
        <v>532</v>
      </c>
      <c r="AF1547" s="0" t="s">
        <v>1688</v>
      </c>
      <c r="AP1547" s="0" t="s">
        <v>305</v>
      </c>
      <c r="BA1547" s="0">
        <v>581</v>
      </c>
      <c r="BB1547" s="0" t="s">
        <v>232</v>
      </c>
      <c r="BC1547" s="0">
        <v>3</v>
      </c>
      <c r="BE1547" s="0">
        <v>134783</v>
      </c>
      <c r="BF1547" s="0">
        <v>1</v>
      </c>
      <c r="BG1547" s="0" t="s">
        <v>10336</v>
      </c>
      <c r="BI1547" s="0">
        <v>4739</v>
      </c>
      <c r="BK1547" s="0" t="s">
        <v>10337</v>
      </c>
    </row>
    <row r="1548">
      <c r="A1548" s="0">
        <v>6356</v>
      </c>
      <c r="B1548" s="0" t="s">
        <v>10338</v>
      </c>
      <c r="C1548" s="0" t="s">
        <v>339</v>
      </c>
      <c r="D1548" s="0" t="s">
        <v>10339</v>
      </c>
      <c r="E1548" s="0" t="s">
        <v>10340</v>
      </c>
      <c r="F1548" s="0">
        <v>1</v>
      </c>
      <c r="G1548" s="0" t="s">
        <v>508</v>
      </c>
      <c r="H1548" s="0" t="s">
        <v>508</v>
      </c>
      <c r="I1548" s="0" t="s">
        <v>1268</v>
      </c>
      <c r="J1548" s="0" t="s">
        <v>319</v>
      </c>
      <c r="K1548" s="0" t="s">
        <v>523</v>
      </c>
      <c r="L1548" s="0" t="s">
        <v>1268</v>
      </c>
      <c r="P1548" s="0" t="s">
        <v>323</v>
      </c>
      <c r="Q1548" s="0" t="s">
        <v>343</v>
      </c>
      <c r="R1548" s="0" t="s">
        <v>2488</v>
      </c>
      <c r="T1548" s="0" t="s">
        <v>10341</v>
      </c>
      <c r="W1548" s="0" t="s">
        <v>10339</v>
      </c>
      <c r="X1548" s="0" t="s">
        <v>529</v>
      </c>
      <c r="Y1548" s="0" t="s">
        <v>50</v>
      </c>
      <c r="Z1548" s="0" t="s">
        <v>9723</v>
      </c>
      <c r="AA1548" s="0" t="s">
        <v>78</v>
      </c>
      <c r="AB1548" s="0" t="s">
        <v>3740</v>
      </c>
      <c r="AC1548" s="0" t="s">
        <v>532</v>
      </c>
      <c r="AE1548" s="0" t="s">
        <v>10342</v>
      </c>
      <c r="AF1548" s="0" t="s">
        <v>1688</v>
      </c>
      <c r="AP1548" s="0" t="s">
        <v>305</v>
      </c>
      <c r="BA1548" s="0">
        <v>583</v>
      </c>
      <c r="BB1548" s="0" t="s">
        <v>232</v>
      </c>
      <c r="BC1548" s="0">
        <v>3</v>
      </c>
      <c r="BD1548" s="0">
        <v>8</v>
      </c>
      <c r="BE1548" s="0">
        <v>519208</v>
      </c>
      <c r="BF1548" s="0">
        <v>2</v>
      </c>
      <c r="BG1548" s="0" t="s">
        <v>10343</v>
      </c>
      <c r="BI1548" s="0">
        <v>451</v>
      </c>
      <c r="BK1548" s="0" t="s">
        <v>10344</v>
      </c>
    </row>
    <row r="1549">
      <c r="A1549" s="0">
        <v>6366</v>
      </c>
      <c r="B1549" s="0" t="s">
        <v>10345</v>
      </c>
      <c r="C1549" s="0" t="s">
        <v>10346</v>
      </c>
      <c r="D1549" s="0" t="s">
        <v>10347</v>
      </c>
      <c r="E1549" s="0" t="s">
        <v>10348</v>
      </c>
      <c r="F1549" s="0">
        <v>1</v>
      </c>
      <c r="G1549" s="0" t="s">
        <v>293</v>
      </c>
      <c r="H1549" s="0" t="s">
        <v>294</v>
      </c>
      <c r="I1549" s="0" t="s">
        <v>295</v>
      </c>
      <c r="P1549" s="0" t="s">
        <v>323</v>
      </c>
      <c r="Q1549" s="0" t="s">
        <v>323</v>
      </c>
      <c r="R1549" s="0" t="s">
        <v>661</v>
      </c>
      <c r="T1549" s="0" t="s">
        <v>10349</v>
      </c>
      <c r="X1549" s="0" t="s">
        <v>1116</v>
      </c>
      <c r="Y1549" s="0" t="s">
        <v>42</v>
      </c>
      <c r="Z1549" s="0" t="s">
        <v>2384</v>
      </c>
      <c r="AA1549" s="0" t="s">
        <v>227</v>
      </c>
      <c r="AB1549" s="0" t="s">
        <v>3740</v>
      </c>
      <c r="AE1549" s="0" t="s">
        <v>10350</v>
      </c>
      <c r="AF1549" s="0" t="s">
        <v>301</v>
      </c>
      <c r="AM1549" s="0" t="s">
        <v>816</v>
      </c>
      <c r="AN1549" s="0" t="s">
        <v>1503</v>
      </c>
      <c r="AO1549" s="0" t="s">
        <v>387</v>
      </c>
      <c r="AP1549" s="0" t="s">
        <v>305</v>
      </c>
      <c r="BA1549" s="0">
        <v>584</v>
      </c>
      <c r="BB1549" s="0" t="s">
        <v>232</v>
      </c>
      <c r="BC1549" s="0">
        <v>2</v>
      </c>
      <c r="BD1549" s="0">
        <v>374075</v>
      </c>
      <c r="BE1549" s="0">
        <v>70560</v>
      </c>
      <c r="BF1549" s="0">
        <v>1</v>
      </c>
      <c r="BG1549" s="0" t="s">
        <v>10351</v>
      </c>
      <c r="BI1549" s="0">
        <v>841</v>
      </c>
      <c r="BK1549" s="0" t="s">
        <v>10352</v>
      </c>
    </row>
    <row r="1550">
      <c r="A1550" s="0">
        <v>6360</v>
      </c>
      <c r="B1550" s="0" t="s">
        <v>1625</v>
      </c>
      <c r="C1550" s="0" t="s">
        <v>656</v>
      </c>
      <c r="D1550" s="0" t="s">
        <v>10347</v>
      </c>
      <c r="E1550" s="0" t="s">
        <v>1626</v>
      </c>
      <c r="F1550" s="0">
        <v>1</v>
      </c>
      <c r="G1550" s="0" t="s">
        <v>293</v>
      </c>
      <c r="H1550" s="0" t="s">
        <v>294</v>
      </c>
      <c r="I1550" s="0" t="s">
        <v>295</v>
      </c>
      <c r="P1550" s="0" t="s">
        <v>323</v>
      </c>
      <c r="Q1550" s="0" t="s">
        <v>323</v>
      </c>
      <c r="R1550" s="0" t="s">
        <v>661</v>
      </c>
      <c r="U1550" s="0" t="s">
        <v>10353</v>
      </c>
      <c r="X1550" s="0" t="s">
        <v>347</v>
      </c>
      <c r="Y1550" s="0" t="s">
        <v>42</v>
      </c>
      <c r="Z1550" s="0" t="s">
        <v>2384</v>
      </c>
      <c r="AA1550" s="0" t="s">
        <v>227</v>
      </c>
      <c r="AB1550" s="0" t="s">
        <v>3740</v>
      </c>
      <c r="AE1550" s="0" t="s">
        <v>10350</v>
      </c>
      <c r="AF1550" s="0" t="s">
        <v>301</v>
      </c>
      <c r="AM1550" s="0" t="s">
        <v>10354</v>
      </c>
      <c r="AN1550" s="0" t="s">
        <v>7724</v>
      </c>
      <c r="AO1550" s="0" t="s">
        <v>10355</v>
      </c>
      <c r="AP1550" s="0" t="s">
        <v>305</v>
      </c>
      <c r="AQ1550" s="0" t="s">
        <v>10356</v>
      </c>
      <c r="AR1550" s="0" t="s">
        <v>10357</v>
      </c>
      <c r="AS1550" s="0">
        <v>35</v>
      </c>
      <c r="AT1550" s="0">
        <v>73</v>
      </c>
      <c r="AU1550" s="0">
        <v>85</v>
      </c>
      <c r="AV1550" s="0" t="s">
        <v>3800</v>
      </c>
      <c r="AX1550" s="0" t="s">
        <v>10358</v>
      </c>
      <c r="AY1550" s="0" t="s">
        <v>10359</v>
      </c>
      <c r="AZ1550" s="0" t="s">
        <v>10360</v>
      </c>
      <c r="BA1550" s="0">
        <v>584</v>
      </c>
      <c r="BB1550" s="0" t="s">
        <v>232</v>
      </c>
      <c r="BC1550" s="0">
        <v>2</v>
      </c>
      <c r="BD1550" s="0">
        <v>10</v>
      </c>
      <c r="BE1550" s="0">
        <v>70560</v>
      </c>
      <c r="BF1550" s="0">
        <v>4</v>
      </c>
      <c r="BG1550" s="0" t="s">
        <v>10361</v>
      </c>
      <c r="BI1550" s="0">
        <v>840</v>
      </c>
      <c r="BK1550" s="0" t="s">
        <v>10362</v>
      </c>
    </row>
    <row r="1551">
      <c r="A1551" s="0">
        <v>6363</v>
      </c>
      <c r="B1551" s="0" t="s">
        <v>10363</v>
      </c>
      <c r="C1551" s="0" t="s">
        <v>579</v>
      </c>
      <c r="D1551" s="0" t="s">
        <v>10364</v>
      </c>
      <c r="E1551" s="0" t="s">
        <v>10365</v>
      </c>
      <c r="F1551" s="0">
        <v>1</v>
      </c>
      <c r="G1551" s="0" t="s">
        <v>3140</v>
      </c>
      <c r="H1551" s="0" t="s">
        <v>3140</v>
      </c>
      <c r="I1551" s="0" t="s">
        <v>583</v>
      </c>
      <c r="J1551" s="0" t="s">
        <v>293</v>
      </c>
      <c r="K1551" s="0" t="s">
        <v>294</v>
      </c>
      <c r="L1551" s="0" t="s">
        <v>295</v>
      </c>
      <c r="P1551" s="0" t="s">
        <v>343</v>
      </c>
      <c r="Q1551" s="0" t="s">
        <v>343</v>
      </c>
      <c r="T1551" s="0" t="s">
        <v>10366</v>
      </c>
      <c r="U1551" s="0" t="s">
        <v>10367</v>
      </c>
      <c r="W1551" s="0" t="s">
        <v>10364</v>
      </c>
      <c r="X1551" s="0" t="s">
        <v>347</v>
      </c>
      <c r="Y1551" s="0" t="s">
        <v>75</v>
      </c>
      <c r="Z1551" s="0" t="s">
        <v>1195</v>
      </c>
      <c r="AA1551" s="0" t="s">
        <v>74</v>
      </c>
      <c r="AB1551" s="0" t="s">
        <v>3740</v>
      </c>
      <c r="AD1551" s="0" t="s">
        <v>2465</v>
      </c>
      <c r="AE1551" s="0" t="s">
        <v>10368</v>
      </c>
      <c r="AF1551" s="0" t="s">
        <v>301</v>
      </c>
      <c r="AP1551" s="0" t="s">
        <v>305</v>
      </c>
      <c r="BA1551" s="0">
        <v>585</v>
      </c>
      <c r="BB1551" s="0" t="s">
        <v>232</v>
      </c>
      <c r="BC1551" s="0">
        <v>2</v>
      </c>
      <c r="BD1551" s="0">
        <v>374046</v>
      </c>
      <c r="BE1551" s="0">
        <v>90875</v>
      </c>
      <c r="BF1551" s="0">
        <v>4</v>
      </c>
      <c r="BG1551" s="0" t="s">
        <v>10369</v>
      </c>
      <c r="BI1551" s="0">
        <v>1169</v>
      </c>
      <c r="BK1551" s="0" t="s">
        <v>10370</v>
      </c>
    </row>
    <row r="1552">
      <c r="A1552" s="0">
        <v>6361</v>
      </c>
      <c r="B1552" s="0" t="s">
        <v>8460</v>
      </c>
      <c r="C1552" s="0" t="s">
        <v>1139</v>
      </c>
      <c r="D1552" s="0" t="s">
        <v>10364</v>
      </c>
      <c r="E1552" s="0" t="s">
        <v>8461</v>
      </c>
      <c r="F1552" s="0">
        <v>1</v>
      </c>
      <c r="G1552" s="0" t="s">
        <v>293</v>
      </c>
      <c r="H1552" s="0" t="s">
        <v>294</v>
      </c>
      <c r="I1552" s="0" t="s">
        <v>918</v>
      </c>
      <c r="P1552" s="0" t="s">
        <v>323</v>
      </c>
      <c r="Q1552" s="0" t="s">
        <v>343</v>
      </c>
      <c r="R1552" s="0" t="s">
        <v>1142</v>
      </c>
      <c r="T1552" s="0" t="s">
        <v>10371</v>
      </c>
      <c r="U1552" s="0" t="s">
        <v>10372</v>
      </c>
      <c r="W1552" s="0" t="s">
        <v>10364</v>
      </c>
      <c r="X1552" s="0" t="s">
        <v>347</v>
      </c>
      <c r="Y1552" s="0" t="s">
        <v>75</v>
      </c>
      <c r="Z1552" s="0" t="s">
        <v>1195</v>
      </c>
      <c r="AA1552" s="0" t="s">
        <v>74</v>
      </c>
      <c r="AB1552" s="0" t="s">
        <v>3740</v>
      </c>
      <c r="AD1552" s="0" t="s">
        <v>2465</v>
      </c>
      <c r="AE1552" s="0" t="s">
        <v>10368</v>
      </c>
      <c r="AF1552" s="0" t="s">
        <v>301</v>
      </c>
      <c r="AP1552" s="0" t="s">
        <v>305</v>
      </c>
      <c r="BA1552" s="0">
        <v>585</v>
      </c>
      <c r="BB1552" s="0" t="s">
        <v>232</v>
      </c>
      <c r="BC1552" s="0">
        <v>2</v>
      </c>
      <c r="BD1552" s="0">
        <v>38030</v>
      </c>
      <c r="BE1552" s="0">
        <v>90875</v>
      </c>
      <c r="BF1552" s="0">
        <v>4</v>
      </c>
      <c r="BG1552" s="0" t="s">
        <v>10373</v>
      </c>
      <c r="BI1552" s="0">
        <v>453</v>
      </c>
      <c r="BK1552" s="0" t="s">
        <v>10374</v>
      </c>
    </row>
    <row r="1553">
      <c r="A1553" s="0">
        <v>6362</v>
      </c>
      <c r="B1553" s="0" t="s">
        <v>10375</v>
      </c>
      <c r="C1553" s="0" t="s">
        <v>656</v>
      </c>
      <c r="D1553" s="0" t="s">
        <v>10364</v>
      </c>
      <c r="E1553" s="0" t="s">
        <v>10376</v>
      </c>
      <c r="F1553" s="0">
        <v>1</v>
      </c>
      <c r="G1553" s="0" t="s">
        <v>6090</v>
      </c>
      <c r="H1553" s="0" t="s">
        <v>10377</v>
      </c>
      <c r="I1553" s="0" t="s">
        <v>469</v>
      </c>
      <c r="J1553" s="0" t="s">
        <v>293</v>
      </c>
      <c r="K1553" s="0" t="s">
        <v>294</v>
      </c>
      <c r="L1553" s="0" t="s">
        <v>918</v>
      </c>
      <c r="P1553" s="0" t="s">
        <v>323</v>
      </c>
      <c r="Q1553" s="0" t="s">
        <v>323</v>
      </c>
      <c r="R1553" s="0" t="s">
        <v>661</v>
      </c>
      <c r="T1553" s="0" t="s">
        <v>10378</v>
      </c>
      <c r="W1553" s="0" t="s">
        <v>10364</v>
      </c>
      <c r="X1553" s="0" t="s">
        <v>529</v>
      </c>
      <c r="Y1553" s="0" t="s">
        <v>75</v>
      </c>
      <c r="Z1553" s="0" t="s">
        <v>1195</v>
      </c>
      <c r="AA1553" s="0" t="s">
        <v>74</v>
      </c>
      <c r="AB1553" s="0" t="s">
        <v>3740</v>
      </c>
      <c r="AD1553" s="0" t="s">
        <v>2465</v>
      </c>
      <c r="AE1553" s="0" t="s">
        <v>10368</v>
      </c>
      <c r="AF1553" s="0" t="s">
        <v>301</v>
      </c>
      <c r="AP1553" s="0" t="s">
        <v>305</v>
      </c>
      <c r="BA1553" s="0">
        <v>585</v>
      </c>
      <c r="BB1553" s="0" t="s">
        <v>232</v>
      </c>
      <c r="BC1553" s="0">
        <v>2</v>
      </c>
      <c r="BD1553" s="0">
        <v>10</v>
      </c>
      <c r="BE1553" s="0">
        <v>90875</v>
      </c>
      <c r="BF1553" s="0">
        <v>2</v>
      </c>
      <c r="BG1553" s="0" t="s">
        <v>10379</v>
      </c>
      <c r="BI1553" s="0">
        <v>844</v>
      </c>
      <c r="BK1553" s="0" t="s">
        <v>10380</v>
      </c>
    </row>
    <row r="1554">
      <c r="A1554" s="0">
        <v>6365</v>
      </c>
      <c r="B1554" s="0" t="s">
        <v>10381</v>
      </c>
      <c r="C1554" s="0" t="s">
        <v>656</v>
      </c>
      <c r="D1554" s="0" t="s">
        <v>10364</v>
      </c>
      <c r="E1554" s="0" t="s">
        <v>10382</v>
      </c>
      <c r="F1554" s="0">
        <v>1</v>
      </c>
      <c r="G1554" s="0" t="s">
        <v>319</v>
      </c>
      <c r="H1554" s="0" t="s">
        <v>470</v>
      </c>
      <c r="I1554" s="0" t="s">
        <v>524</v>
      </c>
      <c r="J1554" s="0" t="s">
        <v>293</v>
      </c>
      <c r="K1554" s="0" t="s">
        <v>294</v>
      </c>
      <c r="L1554" s="0" t="s">
        <v>295</v>
      </c>
      <c r="P1554" s="0" t="s">
        <v>1089</v>
      </c>
      <c r="Q1554" s="0" t="s">
        <v>4192</v>
      </c>
      <c r="R1554" s="0" t="s">
        <v>1783</v>
      </c>
      <c r="T1554" s="0" t="s">
        <v>10383</v>
      </c>
      <c r="W1554" s="0" t="s">
        <v>10364</v>
      </c>
      <c r="X1554" s="0" t="s">
        <v>529</v>
      </c>
      <c r="Y1554" s="0" t="s">
        <v>75</v>
      </c>
      <c r="Z1554" s="0" t="s">
        <v>1195</v>
      </c>
      <c r="AA1554" s="0" t="s">
        <v>74</v>
      </c>
      <c r="AB1554" s="0" t="s">
        <v>3740</v>
      </c>
      <c r="AD1554" s="0" t="s">
        <v>2465</v>
      </c>
      <c r="AE1554" s="0" t="s">
        <v>10368</v>
      </c>
      <c r="AF1554" s="0" t="s">
        <v>301</v>
      </c>
      <c r="AP1554" s="0" t="s">
        <v>305</v>
      </c>
      <c r="BA1554" s="0">
        <v>585</v>
      </c>
      <c r="BB1554" s="0" t="s">
        <v>232</v>
      </c>
      <c r="BC1554" s="0">
        <v>2</v>
      </c>
      <c r="BD1554" s="0">
        <v>10</v>
      </c>
      <c r="BE1554" s="0">
        <v>90875</v>
      </c>
      <c r="BF1554" s="0">
        <v>2</v>
      </c>
      <c r="BG1554" s="0" t="s">
        <v>10384</v>
      </c>
      <c r="BI1554" s="0">
        <v>1735</v>
      </c>
      <c r="BK1554" s="0" t="s">
        <v>10385</v>
      </c>
    </row>
    <row r="1555">
      <c r="A1555" s="0">
        <v>6364</v>
      </c>
      <c r="B1555" s="0" t="s">
        <v>10386</v>
      </c>
      <c r="C1555" s="0" t="s">
        <v>656</v>
      </c>
      <c r="D1555" s="0" t="s">
        <v>10364</v>
      </c>
      <c r="E1555" s="0" t="s">
        <v>10387</v>
      </c>
      <c r="F1555" s="0">
        <v>1</v>
      </c>
      <c r="G1555" s="0" t="s">
        <v>319</v>
      </c>
      <c r="H1555" s="0" t="s">
        <v>470</v>
      </c>
      <c r="I1555" s="0" t="s">
        <v>524</v>
      </c>
      <c r="J1555" s="0" t="s">
        <v>293</v>
      </c>
      <c r="K1555" s="0" t="s">
        <v>294</v>
      </c>
      <c r="L1555" s="0" t="s">
        <v>295</v>
      </c>
      <c r="P1555" s="0" t="s">
        <v>343</v>
      </c>
      <c r="Q1555" s="0" t="s">
        <v>343</v>
      </c>
      <c r="T1555" s="0" t="s">
        <v>10388</v>
      </c>
      <c r="W1555" s="0" t="s">
        <v>10364</v>
      </c>
      <c r="X1555" s="0" t="s">
        <v>529</v>
      </c>
      <c r="Y1555" s="0" t="s">
        <v>75</v>
      </c>
      <c r="Z1555" s="0" t="s">
        <v>1195</v>
      </c>
      <c r="AA1555" s="0" t="s">
        <v>74</v>
      </c>
      <c r="AB1555" s="0" t="s">
        <v>3740</v>
      </c>
      <c r="AD1555" s="0" t="s">
        <v>2465</v>
      </c>
      <c r="AE1555" s="0" t="s">
        <v>10368</v>
      </c>
      <c r="AF1555" s="0" t="s">
        <v>301</v>
      </c>
      <c r="AP1555" s="0" t="s">
        <v>305</v>
      </c>
      <c r="BA1555" s="0">
        <v>585</v>
      </c>
      <c r="BB1555" s="0" t="s">
        <v>232</v>
      </c>
      <c r="BC1555" s="0">
        <v>2</v>
      </c>
      <c r="BD1555" s="0">
        <v>10</v>
      </c>
      <c r="BE1555" s="0">
        <v>90875</v>
      </c>
      <c r="BF1555" s="0">
        <v>2</v>
      </c>
      <c r="BG1555" s="0" t="s">
        <v>10389</v>
      </c>
      <c r="BI1555" s="0">
        <v>1467</v>
      </c>
      <c r="BK1555" s="0" t="s">
        <v>10390</v>
      </c>
    </row>
    <row r="1556">
      <c r="A1556" s="0">
        <v>6371</v>
      </c>
      <c r="C1556" s="0" t="s">
        <v>315</v>
      </c>
      <c r="D1556" s="0" t="s">
        <v>10391</v>
      </c>
      <c r="E1556" s="0" t="s">
        <v>10392</v>
      </c>
      <c r="F1556" s="0">
        <v>2</v>
      </c>
      <c r="G1556" s="0" t="s">
        <v>319</v>
      </c>
      <c r="H1556" s="0" t="s">
        <v>483</v>
      </c>
      <c r="I1556" s="0" t="s">
        <v>4063</v>
      </c>
      <c r="J1556" s="0" t="s">
        <v>293</v>
      </c>
      <c r="K1556" s="0" t="s">
        <v>294</v>
      </c>
      <c r="L1556" s="0" t="s">
        <v>295</v>
      </c>
      <c r="P1556" s="0" t="s">
        <v>343</v>
      </c>
      <c r="Q1556" s="0" t="s">
        <v>343</v>
      </c>
      <c r="T1556" s="0" t="s">
        <v>10393</v>
      </c>
      <c r="U1556" s="0" t="s">
        <v>10394</v>
      </c>
      <c r="W1556" s="0" t="s">
        <v>10164</v>
      </c>
      <c r="X1556" s="0" t="s">
        <v>1116</v>
      </c>
      <c r="Y1556" s="0" t="s">
        <v>73</v>
      </c>
      <c r="Z1556" s="0" t="s">
        <v>10395</v>
      </c>
      <c r="AA1556" s="0" t="s">
        <v>72</v>
      </c>
      <c r="AB1556" s="0" t="s">
        <v>531</v>
      </c>
      <c r="AD1556" s="0" t="s">
        <v>2465</v>
      </c>
      <c r="AE1556" s="0" t="s">
        <v>10396</v>
      </c>
      <c r="AF1556" s="0" t="s">
        <v>301</v>
      </c>
      <c r="AP1556" s="0" t="s">
        <v>305</v>
      </c>
      <c r="BA1556" s="0">
        <v>586</v>
      </c>
      <c r="BB1556" s="0" t="s">
        <v>232</v>
      </c>
      <c r="BC1556" s="0">
        <v>2</v>
      </c>
      <c r="BD1556" s="0">
        <v>374043</v>
      </c>
      <c r="BE1556" s="0">
        <v>520231</v>
      </c>
      <c r="BF1556" s="0">
        <v>1</v>
      </c>
      <c r="BG1556" s="0" t="s">
        <v>10397</v>
      </c>
      <c r="BI1556" s="0">
        <v>1730</v>
      </c>
      <c r="BK1556" s="0" t="s">
        <v>10398</v>
      </c>
    </row>
    <row r="1557">
      <c r="A1557" s="0">
        <v>6373</v>
      </c>
      <c r="B1557" s="0" t="s">
        <v>10399</v>
      </c>
      <c r="C1557" s="0" t="s">
        <v>579</v>
      </c>
      <c r="D1557" s="0" t="s">
        <v>10400</v>
      </c>
      <c r="E1557" s="0" t="s">
        <v>10401</v>
      </c>
      <c r="F1557" s="0">
        <v>1</v>
      </c>
      <c r="G1557" s="0" t="s">
        <v>581</v>
      </c>
      <c r="H1557" s="0" t="s">
        <v>581</v>
      </c>
      <c r="I1557" s="0" t="s">
        <v>583</v>
      </c>
      <c r="J1557" s="0" t="s">
        <v>594</v>
      </c>
      <c r="K1557" s="0" t="s">
        <v>1190</v>
      </c>
      <c r="L1557" s="0" t="s">
        <v>469</v>
      </c>
      <c r="P1557" s="0" t="s">
        <v>343</v>
      </c>
      <c r="Q1557" s="0" t="s">
        <v>343</v>
      </c>
      <c r="T1557" s="0" t="s">
        <v>10402</v>
      </c>
      <c r="U1557" s="0" t="s">
        <v>10403</v>
      </c>
      <c r="W1557" s="0" t="s">
        <v>10164</v>
      </c>
      <c r="X1557" s="0" t="s">
        <v>347</v>
      </c>
      <c r="Y1557" s="0" t="s">
        <v>73</v>
      </c>
      <c r="Z1557" s="0" t="s">
        <v>10395</v>
      </c>
      <c r="AA1557" s="0" t="s">
        <v>72</v>
      </c>
      <c r="AB1557" s="0" t="s">
        <v>531</v>
      </c>
      <c r="AD1557" s="0" t="s">
        <v>2465</v>
      </c>
      <c r="AE1557" s="0" t="s">
        <v>10396</v>
      </c>
      <c r="AF1557" s="0" t="s">
        <v>301</v>
      </c>
      <c r="AP1557" s="0" t="s">
        <v>305</v>
      </c>
      <c r="BA1557" s="0">
        <v>586</v>
      </c>
      <c r="BB1557" s="0" t="s">
        <v>232</v>
      </c>
      <c r="BC1557" s="0">
        <v>2</v>
      </c>
      <c r="BD1557" s="0">
        <v>374046</v>
      </c>
      <c r="BE1557" s="0">
        <v>520231</v>
      </c>
      <c r="BF1557" s="0">
        <v>4</v>
      </c>
      <c r="BG1557" s="0" t="s">
        <v>10404</v>
      </c>
      <c r="BI1557" s="0">
        <v>2203</v>
      </c>
      <c r="BK1557" s="0" t="s">
        <v>10405</v>
      </c>
    </row>
    <row r="1558">
      <c r="A1558" s="0">
        <v>6372</v>
      </c>
      <c r="B1558" s="0" t="s">
        <v>10406</v>
      </c>
      <c r="C1558" s="0" t="s">
        <v>579</v>
      </c>
      <c r="D1558" s="0" t="s">
        <v>10400</v>
      </c>
      <c r="E1558" s="0" t="s">
        <v>10407</v>
      </c>
      <c r="F1558" s="0">
        <v>1</v>
      </c>
      <c r="G1558" s="0" t="s">
        <v>581</v>
      </c>
      <c r="H1558" s="0" t="s">
        <v>581</v>
      </c>
      <c r="I1558" s="0" t="s">
        <v>583</v>
      </c>
      <c r="J1558" s="0" t="s">
        <v>293</v>
      </c>
      <c r="K1558" s="0" t="s">
        <v>294</v>
      </c>
      <c r="L1558" s="0" t="s">
        <v>918</v>
      </c>
      <c r="P1558" s="0" t="s">
        <v>343</v>
      </c>
      <c r="Q1558" s="0" t="s">
        <v>343</v>
      </c>
      <c r="U1558" s="0" t="s">
        <v>10408</v>
      </c>
      <c r="W1558" s="0" t="s">
        <v>10164</v>
      </c>
      <c r="X1558" s="0" t="s">
        <v>347</v>
      </c>
      <c r="Y1558" s="0" t="s">
        <v>73</v>
      </c>
      <c r="Z1558" s="0" t="s">
        <v>10395</v>
      </c>
      <c r="AA1558" s="0" t="s">
        <v>72</v>
      </c>
      <c r="AB1558" s="0" t="s">
        <v>531</v>
      </c>
      <c r="AD1558" s="0" t="s">
        <v>2465</v>
      </c>
      <c r="AE1558" s="0" t="s">
        <v>10396</v>
      </c>
      <c r="AF1558" s="0" t="s">
        <v>301</v>
      </c>
      <c r="AP1558" s="0" t="s">
        <v>305</v>
      </c>
      <c r="BA1558" s="0">
        <v>586</v>
      </c>
      <c r="BB1558" s="0" t="s">
        <v>232</v>
      </c>
      <c r="BC1558" s="0">
        <v>2</v>
      </c>
      <c r="BD1558" s="0">
        <v>374046</v>
      </c>
      <c r="BE1558" s="0">
        <v>520231</v>
      </c>
      <c r="BF1558" s="0">
        <v>4</v>
      </c>
      <c r="BG1558" s="0" t="s">
        <v>10409</v>
      </c>
      <c r="BI1558" s="0">
        <v>1976</v>
      </c>
      <c r="BK1558" s="0" t="s">
        <v>10410</v>
      </c>
    </row>
    <row r="1559">
      <c r="A1559" s="0">
        <v>6370</v>
      </c>
      <c r="B1559" s="0" t="s">
        <v>8553</v>
      </c>
      <c r="C1559" s="0" t="s">
        <v>5861</v>
      </c>
      <c r="D1559" s="0" t="s">
        <v>10400</v>
      </c>
      <c r="E1559" s="0" t="s">
        <v>10411</v>
      </c>
      <c r="F1559" s="0">
        <v>1</v>
      </c>
      <c r="G1559" s="0" t="s">
        <v>319</v>
      </c>
      <c r="H1559" s="0" t="s">
        <v>658</v>
      </c>
      <c r="I1559" s="0" t="s">
        <v>2166</v>
      </c>
      <c r="J1559" s="0" t="s">
        <v>594</v>
      </c>
      <c r="L1559" s="0" t="s">
        <v>660</v>
      </c>
      <c r="P1559" s="0" t="s">
        <v>323</v>
      </c>
      <c r="Q1559" s="0" t="s">
        <v>343</v>
      </c>
      <c r="R1559" s="0" t="s">
        <v>10322</v>
      </c>
      <c r="U1559" s="0" t="s">
        <v>10412</v>
      </c>
      <c r="W1559" s="0" t="s">
        <v>10164</v>
      </c>
      <c r="X1559" s="0" t="s">
        <v>347</v>
      </c>
      <c r="Y1559" s="0" t="s">
        <v>73</v>
      </c>
      <c r="Z1559" s="0" t="s">
        <v>10395</v>
      </c>
      <c r="AA1559" s="0" t="s">
        <v>72</v>
      </c>
      <c r="AB1559" s="0" t="s">
        <v>531</v>
      </c>
      <c r="AD1559" s="0" t="s">
        <v>2465</v>
      </c>
      <c r="AE1559" s="0" t="s">
        <v>10396</v>
      </c>
      <c r="AF1559" s="0" t="s">
        <v>301</v>
      </c>
      <c r="AP1559" s="0" t="s">
        <v>305</v>
      </c>
      <c r="BA1559" s="0">
        <v>586</v>
      </c>
      <c r="BB1559" s="0" t="s">
        <v>232</v>
      </c>
      <c r="BC1559" s="0">
        <v>2</v>
      </c>
      <c r="BD1559" s="0">
        <v>21</v>
      </c>
      <c r="BE1559" s="0">
        <v>520231</v>
      </c>
      <c r="BF1559" s="0">
        <v>4</v>
      </c>
      <c r="BG1559" s="0" t="s">
        <v>10413</v>
      </c>
      <c r="BI1559" s="0">
        <v>1468</v>
      </c>
      <c r="BK1559" s="0" t="s">
        <v>10414</v>
      </c>
    </row>
    <row r="1560">
      <c r="A1560" s="0">
        <v>6368</v>
      </c>
      <c r="B1560" s="0" t="s">
        <v>9637</v>
      </c>
      <c r="C1560" s="0" t="s">
        <v>315</v>
      </c>
      <c r="D1560" s="0" t="s">
        <v>10400</v>
      </c>
      <c r="E1560" s="0" t="s">
        <v>9638</v>
      </c>
      <c r="F1560" s="0">
        <v>1</v>
      </c>
      <c r="G1560" s="0" t="s">
        <v>319</v>
      </c>
      <c r="H1560" s="0" t="s">
        <v>398</v>
      </c>
      <c r="I1560" s="0" t="s">
        <v>9524</v>
      </c>
      <c r="J1560" s="0" t="s">
        <v>594</v>
      </c>
      <c r="L1560" s="0" t="s">
        <v>729</v>
      </c>
      <c r="M1560" s="0" t="s">
        <v>293</v>
      </c>
      <c r="N1560" s="0" t="s">
        <v>3113</v>
      </c>
      <c r="P1560" s="0" t="s">
        <v>323</v>
      </c>
      <c r="Q1560" s="0" t="s">
        <v>10415</v>
      </c>
      <c r="R1560" s="0" t="s">
        <v>1253</v>
      </c>
      <c r="T1560" s="0" t="s">
        <v>10416</v>
      </c>
      <c r="U1560" s="0" t="s">
        <v>10417</v>
      </c>
      <c r="W1560" s="0" t="s">
        <v>10164</v>
      </c>
      <c r="X1560" s="0" t="s">
        <v>5618</v>
      </c>
      <c r="Y1560" s="0" t="s">
        <v>73</v>
      </c>
      <c r="Z1560" s="0" t="s">
        <v>10395</v>
      </c>
      <c r="AA1560" s="0" t="s">
        <v>72</v>
      </c>
      <c r="AB1560" s="0" t="s">
        <v>531</v>
      </c>
      <c r="AD1560" s="0" t="s">
        <v>2465</v>
      </c>
      <c r="AE1560" s="0" t="s">
        <v>10396</v>
      </c>
      <c r="AF1560" s="0" t="s">
        <v>301</v>
      </c>
      <c r="AP1560" s="0" t="s">
        <v>305</v>
      </c>
      <c r="BA1560" s="0">
        <v>586</v>
      </c>
      <c r="BB1560" s="0" t="s">
        <v>232</v>
      </c>
      <c r="BC1560" s="0">
        <v>2</v>
      </c>
      <c r="BD1560" s="0">
        <v>374043</v>
      </c>
      <c r="BE1560" s="0">
        <v>520231</v>
      </c>
      <c r="BF1560" s="0">
        <v>10</v>
      </c>
      <c r="BG1560" s="0" t="s">
        <v>10418</v>
      </c>
      <c r="BI1560" s="0">
        <v>846</v>
      </c>
      <c r="BK1560" s="0" t="s">
        <v>10419</v>
      </c>
    </row>
    <row r="1561">
      <c r="A1561" s="0">
        <v>6369</v>
      </c>
      <c r="B1561" s="0" t="s">
        <v>7327</v>
      </c>
      <c r="C1561" s="0" t="s">
        <v>315</v>
      </c>
      <c r="D1561" s="0" t="s">
        <v>10400</v>
      </c>
      <c r="E1561" s="0" t="s">
        <v>7328</v>
      </c>
      <c r="F1561" s="0">
        <v>2</v>
      </c>
      <c r="G1561" s="0" t="s">
        <v>319</v>
      </c>
      <c r="H1561" s="0" t="s">
        <v>398</v>
      </c>
      <c r="I1561" s="0" t="s">
        <v>9524</v>
      </c>
      <c r="J1561" s="0" t="s">
        <v>594</v>
      </c>
      <c r="L1561" s="0" t="s">
        <v>729</v>
      </c>
      <c r="M1561" s="0" t="s">
        <v>293</v>
      </c>
      <c r="N1561" s="0" t="s">
        <v>10420</v>
      </c>
      <c r="P1561" s="0" t="s">
        <v>323</v>
      </c>
      <c r="Q1561" s="0" t="s">
        <v>10421</v>
      </c>
      <c r="R1561" s="0" t="s">
        <v>1253</v>
      </c>
      <c r="T1561" s="0" t="s">
        <v>10422</v>
      </c>
      <c r="U1561" s="0" t="s">
        <v>10423</v>
      </c>
      <c r="W1561" s="0" t="s">
        <v>10164</v>
      </c>
      <c r="X1561" s="0" t="s">
        <v>1116</v>
      </c>
      <c r="Y1561" s="0" t="s">
        <v>73</v>
      </c>
      <c r="Z1561" s="0" t="s">
        <v>10395</v>
      </c>
      <c r="AA1561" s="0" t="s">
        <v>72</v>
      </c>
      <c r="AB1561" s="0" t="s">
        <v>531</v>
      </c>
      <c r="AD1561" s="0" t="s">
        <v>2465</v>
      </c>
      <c r="AE1561" s="0" t="s">
        <v>10396</v>
      </c>
      <c r="AF1561" s="0" t="s">
        <v>301</v>
      </c>
      <c r="AP1561" s="0" t="s">
        <v>305</v>
      </c>
      <c r="BA1561" s="0">
        <v>586</v>
      </c>
      <c r="BB1561" s="0" t="s">
        <v>232</v>
      </c>
      <c r="BC1561" s="0">
        <v>2</v>
      </c>
      <c r="BD1561" s="0">
        <v>374043</v>
      </c>
      <c r="BE1561" s="0">
        <v>520231</v>
      </c>
      <c r="BF1561" s="0">
        <v>1</v>
      </c>
      <c r="BG1561" s="0" t="s">
        <v>10424</v>
      </c>
      <c r="BI1561" s="0">
        <v>1171</v>
      </c>
      <c r="BK1561" s="0" t="s">
        <v>10425</v>
      </c>
    </row>
    <row r="1562">
      <c r="A1562" s="0">
        <v>6367</v>
      </c>
      <c r="B1562" s="0" t="s">
        <v>2598</v>
      </c>
      <c r="C1562" s="0" t="s">
        <v>315</v>
      </c>
      <c r="D1562" s="0" t="s">
        <v>10400</v>
      </c>
      <c r="E1562" s="0" t="s">
        <v>2599</v>
      </c>
      <c r="F1562" s="0">
        <v>1</v>
      </c>
      <c r="G1562" s="0" t="s">
        <v>319</v>
      </c>
      <c r="H1562" s="0" t="s">
        <v>398</v>
      </c>
      <c r="I1562" s="0" t="s">
        <v>6530</v>
      </c>
      <c r="J1562" s="0" t="s">
        <v>594</v>
      </c>
      <c r="L1562" s="0" t="s">
        <v>1668</v>
      </c>
      <c r="P1562" s="0" t="s">
        <v>323</v>
      </c>
      <c r="Q1562" s="0" t="s">
        <v>323</v>
      </c>
      <c r="R1562" s="0" t="s">
        <v>1253</v>
      </c>
      <c r="U1562" s="0" t="s">
        <v>10426</v>
      </c>
      <c r="W1562" s="0" t="s">
        <v>10164</v>
      </c>
      <c r="X1562" s="0" t="s">
        <v>347</v>
      </c>
      <c r="Y1562" s="0" t="s">
        <v>73</v>
      </c>
      <c r="Z1562" s="0" t="s">
        <v>10395</v>
      </c>
      <c r="AA1562" s="0" t="s">
        <v>72</v>
      </c>
      <c r="AB1562" s="0" t="s">
        <v>531</v>
      </c>
      <c r="AD1562" s="0" t="s">
        <v>2465</v>
      </c>
      <c r="AE1562" s="0" t="s">
        <v>10396</v>
      </c>
      <c r="AF1562" s="0" t="s">
        <v>301</v>
      </c>
      <c r="AP1562" s="0" t="s">
        <v>305</v>
      </c>
      <c r="BA1562" s="0">
        <v>586</v>
      </c>
      <c r="BB1562" s="0" t="s">
        <v>232</v>
      </c>
      <c r="BC1562" s="0">
        <v>2</v>
      </c>
      <c r="BD1562" s="0">
        <v>374043</v>
      </c>
      <c r="BE1562" s="0">
        <v>520231</v>
      </c>
      <c r="BF1562" s="0">
        <v>4</v>
      </c>
      <c r="BG1562" s="0" t="s">
        <v>10427</v>
      </c>
      <c r="BI1562" s="0">
        <v>456</v>
      </c>
      <c r="BK1562" s="0" t="s">
        <v>10428</v>
      </c>
    </row>
    <row r="1563">
      <c r="A1563" s="0">
        <v>6374</v>
      </c>
      <c r="B1563" s="0" t="s">
        <v>10429</v>
      </c>
      <c r="C1563" s="0" t="s">
        <v>315</v>
      </c>
      <c r="D1563" s="0" t="s">
        <v>10364</v>
      </c>
      <c r="E1563" s="0" t="s">
        <v>8994</v>
      </c>
      <c r="F1563" s="0">
        <v>2</v>
      </c>
      <c r="G1563" s="0" t="s">
        <v>319</v>
      </c>
      <c r="H1563" s="0" t="s">
        <v>1987</v>
      </c>
      <c r="I1563" s="0" t="s">
        <v>10430</v>
      </c>
      <c r="J1563" s="0" t="s">
        <v>400</v>
      </c>
      <c r="K1563" s="0" t="s">
        <v>1190</v>
      </c>
      <c r="L1563" s="0" t="s">
        <v>10431</v>
      </c>
      <c r="P1563" s="0" t="s">
        <v>1667</v>
      </c>
      <c r="Q1563" s="0" t="s">
        <v>1686</v>
      </c>
      <c r="R1563" s="0" t="s">
        <v>10432</v>
      </c>
      <c r="T1563" s="0" t="s">
        <v>10433</v>
      </c>
      <c r="U1563" s="0" t="s">
        <v>10434</v>
      </c>
      <c r="X1563" s="0" t="s">
        <v>347</v>
      </c>
      <c r="Y1563" s="0" t="s">
        <v>77</v>
      </c>
      <c r="Z1563" s="0" t="s">
        <v>3973</v>
      </c>
      <c r="AA1563" s="0" t="s">
        <v>76</v>
      </c>
      <c r="AB1563" s="0" t="s">
        <v>531</v>
      </c>
      <c r="AC1563" s="0" t="s">
        <v>571</v>
      </c>
      <c r="AD1563" s="0" t="s">
        <v>1642</v>
      </c>
      <c r="AF1563" s="0" t="s">
        <v>301</v>
      </c>
      <c r="AP1563" s="0" t="s">
        <v>305</v>
      </c>
      <c r="BA1563" s="0">
        <v>587</v>
      </c>
      <c r="BB1563" s="0" t="s">
        <v>232</v>
      </c>
      <c r="BC1563" s="0">
        <v>2</v>
      </c>
      <c r="BD1563" s="0">
        <v>374043</v>
      </c>
      <c r="BE1563" s="0">
        <v>519953</v>
      </c>
      <c r="BF1563" s="0">
        <v>4</v>
      </c>
      <c r="BG1563" s="0" t="s">
        <v>10435</v>
      </c>
      <c r="BI1563" s="0">
        <v>452</v>
      </c>
      <c r="BK1563" s="0" t="s">
        <v>10436</v>
      </c>
    </row>
    <row r="1564">
      <c r="A1564" s="0">
        <v>6375</v>
      </c>
      <c r="B1564" s="0" t="s">
        <v>10437</v>
      </c>
      <c r="C1564" s="0" t="s">
        <v>315</v>
      </c>
      <c r="D1564" s="0" t="s">
        <v>10364</v>
      </c>
      <c r="E1564" s="0" t="s">
        <v>10438</v>
      </c>
      <c r="F1564" s="0">
        <v>2</v>
      </c>
      <c r="G1564" s="0" t="s">
        <v>319</v>
      </c>
      <c r="H1564" s="0" t="s">
        <v>1987</v>
      </c>
      <c r="I1564" s="0" t="s">
        <v>10430</v>
      </c>
      <c r="J1564" s="0" t="s">
        <v>400</v>
      </c>
      <c r="K1564" s="0" t="s">
        <v>1190</v>
      </c>
      <c r="L1564" s="0" t="s">
        <v>10431</v>
      </c>
      <c r="P1564" s="0" t="s">
        <v>1667</v>
      </c>
      <c r="Q1564" s="0" t="s">
        <v>1686</v>
      </c>
      <c r="R1564" s="0" t="s">
        <v>10432</v>
      </c>
      <c r="T1564" s="0" t="s">
        <v>10439</v>
      </c>
      <c r="U1564" s="0" t="s">
        <v>10440</v>
      </c>
      <c r="X1564" s="0" t="s">
        <v>347</v>
      </c>
      <c r="Y1564" s="0" t="s">
        <v>77</v>
      </c>
      <c r="Z1564" s="0" t="s">
        <v>3973</v>
      </c>
      <c r="AA1564" s="0" t="s">
        <v>76</v>
      </c>
      <c r="AB1564" s="0" t="s">
        <v>531</v>
      </c>
      <c r="AC1564" s="0" t="s">
        <v>571</v>
      </c>
      <c r="AD1564" s="0" t="s">
        <v>1642</v>
      </c>
      <c r="AF1564" s="0" t="s">
        <v>301</v>
      </c>
      <c r="AP1564" s="0" t="s">
        <v>305</v>
      </c>
      <c r="BA1564" s="0">
        <v>587</v>
      </c>
      <c r="BB1564" s="0" t="s">
        <v>232</v>
      </c>
      <c r="BC1564" s="0">
        <v>2</v>
      </c>
      <c r="BD1564" s="0">
        <v>374043</v>
      </c>
      <c r="BE1564" s="0">
        <v>519953</v>
      </c>
      <c r="BF1564" s="0">
        <v>4</v>
      </c>
      <c r="BG1564" s="0" t="s">
        <v>10441</v>
      </c>
      <c r="BI1564" s="0">
        <v>843</v>
      </c>
      <c r="BK1564" s="0" t="s">
        <v>10442</v>
      </c>
    </row>
    <row r="1565">
      <c r="A1565" s="0">
        <v>6378</v>
      </c>
      <c r="B1565" s="0" t="s">
        <v>10443</v>
      </c>
      <c r="C1565" s="0" t="s">
        <v>339</v>
      </c>
      <c r="D1565" s="0" t="s">
        <v>10164</v>
      </c>
      <c r="E1565" s="0" t="s">
        <v>10444</v>
      </c>
      <c r="F1565" s="0">
        <v>2</v>
      </c>
      <c r="G1565" s="0" t="s">
        <v>319</v>
      </c>
      <c r="H1565" s="0" t="s">
        <v>7303</v>
      </c>
      <c r="I1565" s="0" t="s">
        <v>417</v>
      </c>
      <c r="J1565" s="0" t="s">
        <v>2566</v>
      </c>
      <c r="K1565" s="0" t="s">
        <v>10445</v>
      </c>
      <c r="L1565" s="0" t="s">
        <v>549</v>
      </c>
      <c r="M1565" s="0" t="s">
        <v>293</v>
      </c>
      <c r="N1565" s="0" t="s">
        <v>10446</v>
      </c>
      <c r="O1565" s="0" t="s">
        <v>1284</v>
      </c>
      <c r="P1565" s="0" t="s">
        <v>1667</v>
      </c>
      <c r="Q1565" s="0" t="s">
        <v>1686</v>
      </c>
      <c r="R1565" s="0" t="s">
        <v>10447</v>
      </c>
      <c r="T1565" s="0" t="s">
        <v>10448</v>
      </c>
      <c r="U1565" s="0" t="s">
        <v>10449</v>
      </c>
      <c r="X1565" s="0" t="s">
        <v>347</v>
      </c>
      <c r="Y1565" s="0" t="s">
        <v>69</v>
      </c>
      <c r="Z1565" s="0" t="s">
        <v>9248</v>
      </c>
      <c r="AA1565" s="0" t="s">
        <v>68</v>
      </c>
      <c r="AB1565" s="0" t="s">
        <v>531</v>
      </c>
      <c r="AD1565" s="0" t="s">
        <v>10450</v>
      </c>
      <c r="AF1565" s="0" t="s">
        <v>301</v>
      </c>
      <c r="AP1565" s="0" t="s">
        <v>305</v>
      </c>
      <c r="BA1565" s="0">
        <v>588</v>
      </c>
      <c r="BB1565" s="0" t="s">
        <v>232</v>
      </c>
      <c r="BC1565" s="0">
        <v>2</v>
      </c>
      <c r="BD1565" s="0">
        <v>8</v>
      </c>
      <c r="BE1565" s="0">
        <v>519892</v>
      </c>
      <c r="BF1565" s="0">
        <v>4</v>
      </c>
      <c r="BG1565" s="0" t="s">
        <v>10451</v>
      </c>
      <c r="BI1565" s="0">
        <v>454</v>
      </c>
      <c r="BK1565" s="0" t="s">
        <v>10452</v>
      </c>
    </row>
    <row r="1566">
      <c r="A1566" s="0">
        <v>6416</v>
      </c>
      <c r="B1566" s="0" t="s">
        <v>10453</v>
      </c>
      <c r="C1566" s="0" t="s">
        <v>315</v>
      </c>
      <c r="D1566" s="0" t="s">
        <v>10400</v>
      </c>
      <c r="E1566" s="0" t="s">
        <v>10454</v>
      </c>
      <c r="F1566" s="0">
        <v>2</v>
      </c>
      <c r="G1566" s="0" t="s">
        <v>319</v>
      </c>
      <c r="H1566" s="0" t="s">
        <v>8011</v>
      </c>
      <c r="I1566" s="0" t="s">
        <v>524</v>
      </c>
      <c r="J1566" s="0" t="s">
        <v>400</v>
      </c>
      <c r="K1566" s="0" t="s">
        <v>1190</v>
      </c>
      <c r="L1566" s="0" t="s">
        <v>549</v>
      </c>
      <c r="T1566" s="0" t="s">
        <v>10455</v>
      </c>
      <c r="U1566" s="0" t="s">
        <v>10456</v>
      </c>
      <c r="X1566" s="0" t="s">
        <v>347</v>
      </c>
      <c r="Y1566" s="0" t="s">
        <v>69</v>
      </c>
      <c r="Z1566" s="0" t="s">
        <v>9248</v>
      </c>
      <c r="AA1566" s="0" t="s">
        <v>68</v>
      </c>
      <c r="AB1566" s="0" t="s">
        <v>531</v>
      </c>
      <c r="AD1566" s="0" t="s">
        <v>10450</v>
      </c>
      <c r="AF1566" s="0" t="s">
        <v>301</v>
      </c>
      <c r="AP1566" s="0" t="s">
        <v>305</v>
      </c>
      <c r="BA1566" s="0">
        <v>588</v>
      </c>
      <c r="BB1566" s="0" t="s">
        <v>232</v>
      </c>
      <c r="BC1566" s="0">
        <v>2</v>
      </c>
      <c r="BD1566" s="0">
        <v>374043</v>
      </c>
      <c r="BE1566" s="0">
        <v>519892</v>
      </c>
      <c r="BF1566" s="0">
        <v>4</v>
      </c>
      <c r="BG1566" s="0" t="s">
        <v>10457</v>
      </c>
      <c r="BI1566" s="0">
        <v>1170</v>
      </c>
      <c r="BK1566" s="0" t="s">
        <v>10458</v>
      </c>
    </row>
    <row r="1567">
      <c r="A1567" s="0">
        <v>6379</v>
      </c>
      <c r="B1567" s="0" t="s">
        <v>10459</v>
      </c>
      <c r="C1567" s="0" t="s">
        <v>339</v>
      </c>
      <c r="D1567" s="0" t="s">
        <v>10400</v>
      </c>
      <c r="E1567" s="0" t="s">
        <v>10460</v>
      </c>
      <c r="F1567" s="0">
        <v>2</v>
      </c>
      <c r="G1567" s="0" t="s">
        <v>319</v>
      </c>
      <c r="H1567" s="0" t="s">
        <v>10461</v>
      </c>
      <c r="J1567" s="0" t="s">
        <v>2566</v>
      </c>
      <c r="K1567" s="0" t="s">
        <v>10445</v>
      </c>
      <c r="M1567" s="0" t="s">
        <v>293</v>
      </c>
      <c r="N1567" s="0" t="s">
        <v>10446</v>
      </c>
      <c r="O1567" s="0" t="s">
        <v>1284</v>
      </c>
      <c r="P1567" s="0" t="s">
        <v>1667</v>
      </c>
      <c r="Q1567" s="0" t="s">
        <v>1686</v>
      </c>
      <c r="R1567" s="0" t="s">
        <v>10462</v>
      </c>
      <c r="T1567" s="0" t="s">
        <v>10463</v>
      </c>
      <c r="U1567" s="0" t="s">
        <v>10464</v>
      </c>
      <c r="X1567" s="0" t="s">
        <v>347</v>
      </c>
      <c r="Y1567" s="0" t="s">
        <v>69</v>
      </c>
      <c r="Z1567" s="0" t="s">
        <v>9248</v>
      </c>
      <c r="AA1567" s="0" t="s">
        <v>68</v>
      </c>
      <c r="AB1567" s="0" t="s">
        <v>531</v>
      </c>
      <c r="AD1567" s="0" t="s">
        <v>10450</v>
      </c>
      <c r="AF1567" s="0" t="s">
        <v>301</v>
      </c>
      <c r="AP1567" s="0" t="s">
        <v>305</v>
      </c>
      <c r="BA1567" s="0">
        <v>588</v>
      </c>
      <c r="BB1567" s="0" t="s">
        <v>232</v>
      </c>
      <c r="BC1567" s="0">
        <v>2</v>
      </c>
      <c r="BD1567" s="0">
        <v>8</v>
      </c>
      <c r="BE1567" s="0">
        <v>519892</v>
      </c>
      <c r="BF1567" s="0">
        <v>4</v>
      </c>
      <c r="BG1567" s="0" t="s">
        <v>10465</v>
      </c>
      <c r="BI1567" s="0">
        <v>845</v>
      </c>
      <c r="BK1567" s="0" t="s">
        <v>10466</v>
      </c>
    </row>
    <row r="1568">
      <c r="A1568" s="0">
        <v>6470</v>
      </c>
      <c r="B1568" s="0" t="s">
        <v>10467</v>
      </c>
      <c r="C1568" s="0" t="s">
        <v>315</v>
      </c>
      <c r="D1568" s="0" t="s">
        <v>10468</v>
      </c>
      <c r="E1568" s="0" t="s">
        <v>10469</v>
      </c>
      <c r="F1568" s="0">
        <v>2</v>
      </c>
      <c r="G1568" s="0" t="s">
        <v>508</v>
      </c>
      <c r="I1568" s="0" t="s">
        <v>549</v>
      </c>
      <c r="J1568" s="0" t="s">
        <v>293</v>
      </c>
      <c r="K1568" s="0" t="s">
        <v>294</v>
      </c>
      <c r="L1568" s="0" t="s">
        <v>295</v>
      </c>
      <c r="T1568" s="0" t="s">
        <v>10470</v>
      </c>
      <c r="U1568" s="0" t="s">
        <v>10471</v>
      </c>
      <c r="W1568" s="0" t="s">
        <v>10472</v>
      </c>
      <c r="X1568" s="0" t="s">
        <v>347</v>
      </c>
      <c r="Y1568" s="0" t="s">
        <v>56</v>
      </c>
      <c r="Z1568" s="0" t="s">
        <v>570</v>
      </c>
      <c r="AA1568" s="0" t="s">
        <v>55</v>
      </c>
      <c r="AB1568" s="0" t="s">
        <v>531</v>
      </c>
      <c r="AC1568" s="0" t="s">
        <v>532</v>
      </c>
      <c r="AD1568" s="0" t="s">
        <v>572</v>
      </c>
      <c r="AF1568" s="0" t="s">
        <v>301</v>
      </c>
      <c r="AP1568" s="0" t="s">
        <v>305</v>
      </c>
      <c r="BA1568" s="0">
        <v>589</v>
      </c>
      <c r="BB1568" s="0" t="s">
        <v>232</v>
      </c>
      <c r="BC1568" s="0">
        <v>2</v>
      </c>
      <c r="BD1568" s="0">
        <v>374043</v>
      </c>
      <c r="BE1568" s="0">
        <v>519203</v>
      </c>
      <c r="BF1568" s="0">
        <v>4</v>
      </c>
      <c r="BG1568" s="0" t="s">
        <v>10473</v>
      </c>
      <c r="BI1568" s="0">
        <v>5064</v>
      </c>
      <c r="BK1568" s="0" t="s">
        <v>10474</v>
      </c>
    </row>
    <row r="1569">
      <c r="A1569" s="0">
        <v>6474</v>
      </c>
      <c r="B1569" s="0" t="s">
        <v>10475</v>
      </c>
      <c r="C1569" s="0" t="s">
        <v>315</v>
      </c>
      <c r="D1569" s="0" t="s">
        <v>10468</v>
      </c>
      <c r="E1569" s="0" t="s">
        <v>10476</v>
      </c>
      <c r="F1569" s="0">
        <v>2</v>
      </c>
      <c r="G1569" s="0" t="s">
        <v>508</v>
      </c>
      <c r="I1569" s="0" t="s">
        <v>549</v>
      </c>
      <c r="J1569" s="0" t="s">
        <v>293</v>
      </c>
      <c r="K1569" s="0" t="s">
        <v>294</v>
      </c>
      <c r="L1569" s="0" t="s">
        <v>295</v>
      </c>
      <c r="P1569" s="0" t="s">
        <v>323</v>
      </c>
      <c r="Q1569" s="0" t="s">
        <v>323</v>
      </c>
      <c r="R1569" s="0" t="s">
        <v>971</v>
      </c>
      <c r="T1569" s="0" t="s">
        <v>10477</v>
      </c>
      <c r="U1569" s="0" t="s">
        <v>10478</v>
      </c>
      <c r="W1569" s="0" t="s">
        <v>10472</v>
      </c>
      <c r="X1569" s="0" t="s">
        <v>347</v>
      </c>
      <c r="Y1569" s="0" t="s">
        <v>56</v>
      </c>
      <c r="Z1569" s="0" t="s">
        <v>570</v>
      </c>
      <c r="AA1569" s="0" t="s">
        <v>55</v>
      </c>
      <c r="AB1569" s="0" t="s">
        <v>531</v>
      </c>
      <c r="AC1569" s="0" t="s">
        <v>532</v>
      </c>
      <c r="AD1569" s="0" t="s">
        <v>572</v>
      </c>
      <c r="AF1569" s="0" t="s">
        <v>301</v>
      </c>
      <c r="AP1569" s="0" t="s">
        <v>305</v>
      </c>
      <c r="BA1569" s="0">
        <v>589</v>
      </c>
      <c r="BB1569" s="0" t="s">
        <v>232</v>
      </c>
      <c r="BC1569" s="0">
        <v>2</v>
      </c>
      <c r="BD1569" s="0">
        <v>374043</v>
      </c>
      <c r="BE1569" s="0">
        <v>519203</v>
      </c>
      <c r="BF1569" s="0">
        <v>4</v>
      </c>
      <c r="BG1569" s="0" t="s">
        <v>10479</v>
      </c>
      <c r="BI1569" s="0">
        <v>5093</v>
      </c>
      <c r="BK1569" s="0" t="s">
        <v>10480</v>
      </c>
    </row>
    <row r="1570">
      <c r="A1570" s="0">
        <v>6471</v>
      </c>
      <c r="B1570" s="0" t="s">
        <v>10481</v>
      </c>
      <c r="C1570" s="0" t="s">
        <v>315</v>
      </c>
      <c r="D1570" s="0" t="s">
        <v>10468</v>
      </c>
      <c r="E1570" s="0" t="s">
        <v>10482</v>
      </c>
      <c r="F1570" s="0">
        <v>1</v>
      </c>
      <c r="G1570" s="0" t="s">
        <v>508</v>
      </c>
      <c r="I1570" s="0" t="s">
        <v>549</v>
      </c>
      <c r="J1570" s="0" t="s">
        <v>293</v>
      </c>
      <c r="K1570" s="0" t="s">
        <v>294</v>
      </c>
      <c r="L1570" s="0" t="s">
        <v>295</v>
      </c>
      <c r="P1570" s="0" t="s">
        <v>323</v>
      </c>
      <c r="Q1570" s="0" t="s">
        <v>323</v>
      </c>
      <c r="R1570" s="0" t="s">
        <v>971</v>
      </c>
      <c r="T1570" s="0" t="s">
        <v>10483</v>
      </c>
      <c r="U1570" s="0" t="s">
        <v>10484</v>
      </c>
      <c r="W1570" s="0" t="s">
        <v>10472</v>
      </c>
      <c r="X1570" s="0" t="s">
        <v>347</v>
      </c>
      <c r="Y1570" s="0" t="s">
        <v>56</v>
      </c>
      <c r="Z1570" s="0" t="s">
        <v>570</v>
      </c>
      <c r="AA1570" s="0" t="s">
        <v>55</v>
      </c>
      <c r="AB1570" s="0" t="s">
        <v>531</v>
      </c>
      <c r="AC1570" s="0" t="s">
        <v>532</v>
      </c>
      <c r="AD1570" s="0" t="s">
        <v>572</v>
      </c>
      <c r="AF1570" s="0" t="s">
        <v>301</v>
      </c>
      <c r="AP1570" s="0" t="s">
        <v>305</v>
      </c>
      <c r="BA1570" s="0">
        <v>589</v>
      </c>
      <c r="BB1570" s="0" t="s">
        <v>232</v>
      </c>
      <c r="BC1570" s="0">
        <v>2</v>
      </c>
      <c r="BD1570" s="0">
        <v>374043</v>
      </c>
      <c r="BE1570" s="0">
        <v>519203</v>
      </c>
      <c r="BF1570" s="0">
        <v>4</v>
      </c>
      <c r="BG1570" s="0" t="s">
        <v>10485</v>
      </c>
      <c r="BI1570" s="0">
        <v>5071</v>
      </c>
      <c r="BK1570" s="0" t="s">
        <v>10486</v>
      </c>
    </row>
    <row r="1571">
      <c r="A1571" s="0">
        <v>6473</v>
      </c>
      <c r="B1571" s="0" t="s">
        <v>10487</v>
      </c>
      <c r="C1571" s="0" t="s">
        <v>315</v>
      </c>
      <c r="D1571" s="0" t="s">
        <v>10468</v>
      </c>
      <c r="E1571" s="0" t="s">
        <v>10488</v>
      </c>
      <c r="F1571" s="0">
        <v>4</v>
      </c>
      <c r="G1571" s="0" t="s">
        <v>508</v>
      </c>
      <c r="I1571" s="0" t="s">
        <v>549</v>
      </c>
      <c r="J1571" s="0" t="s">
        <v>293</v>
      </c>
      <c r="K1571" s="0" t="s">
        <v>294</v>
      </c>
      <c r="L1571" s="0" t="s">
        <v>295</v>
      </c>
      <c r="P1571" s="0" t="s">
        <v>323</v>
      </c>
      <c r="Q1571" s="0" t="s">
        <v>323</v>
      </c>
      <c r="R1571" s="0" t="s">
        <v>971</v>
      </c>
      <c r="T1571" s="0" t="s">
        <v>10489</v>
      </c>
      <c r="U1571" s="0" t="s">
        <v>10490</v>
      </c>
      <c r="W1571" s="0" t="s">
        <v>10472</v>
      </c>
      <c r="X1571" s="0" t="s">
        <v>347</v>
      </c>
      <c r="Y1571" s="0" t="s">
        <v>56</v>
      </c>
      <c r="Z1571" s="0" t="s">
        <v>570</v>
      </c>
      <c r="AA1571" s="0" t="s">
        <v>55</v>
      </c>
      <c r="AB1571" s="0" t="s">
        <v>531</v>
      </c>
      <c r="AC1571" s="0" t="s">
        <v>532</v>
      </c>
      <c r="AD1571" s="0" t="s">
        <v>572</v>
      </c>
      <c r="AF1571" s="0" t="s">
        <v>301</v>
      </c>
      <c r="AP1571" s="0" t="s">
        <v>305</v>
      </c>
      <c r="BA1571" s="0">
        <v>589</v>
      </c>
      <c r="BB1571" s="0" t="s">
        <v>232</v>
      </c>
      <c r="BC1571" s="0">
        <v>2</v>
      </c>
      <c r="BD1571" s="0">
        <v>374043</v>
      </c>
      <c r="BE1571" s="0">
        <v>519203</v>
      </c>
      <c r="BF1571" s="0">
        <v>4</v>
      </c>
      <c r="BG1571" s="0" t="s">
        <v>10491</v>
      </c>
      <c r="BI1571" s="0">
        <v>5086</v>
      </c>
      <c r="BK1571" s="0" t="s">
        <v>10492</v>
      </c>
    </row>
    <row r="1572">
      <c r="A1572" s="0">
        <v>6472</v>
      </c>
      <c r="B1572" s="0" t="s">
        <v>10493</v>
      </c>
      <c r="C1572" s="0" t="s">
        <v>315</v>
      </c>
      <c r="D1572" s="0" t="s">
        <v>10468</v>
      </c>
      <c r="E1572" s="0" t="s">
        <v>10494</v>
      </c>
      <c r="F1572" s="0">
        <v>1</v>
      </c>
      <c r="G1572" s="0" t="s">
        <v>508</v>
      </c>
      <c r="I1572" s="0" t="s">
        <v>549</v>
      </c>
      <c r="J1572" s="0" t="s">
        <v>293</v>
      </c>
      <c r="K1572" s="0" t="s">
        <v>294</v>
      </c>
      <c r="L1572" s="0" t="s">
        <v>295</v>
      </c>
      <c r="P1572" s="0" t="s">
        <v>323</v>
      </c>
      <c r="Q1572" s="0" t="s">
        <v>323</v>
      </c>
      <c r="R1572" s="0" t="s">
        <v>971</v>
      </c>
      <c r="T1572" s="0" t="s">
        <v>10495</v>
      </c>
      <c r="U1572" s="0" t="s">
        <v>10496</v>
      </c>
      <c r="W1572" s="0" t="s">
        <v>10472</v>
      </c>
      <c r="X1572" s="0" t="s">
        <v>347</v>
      </c>
      <c r="Y1572" s="0" t="s">
        <v>56</v>
      </c>
      <c r="Z1572" s="0" t="s">
        <v>570</v>
      </c>
      <c r="AA1572" s="0" t="s">
        <v>55</v>
      </c>
      <c r="AB1572" s="0" t="s">
        <v>531</v>
      </c>
      <c r="AC1572" s="0" t="s">
        <v>532</v>
      </c>
      <c r="AD1572" s="0" t="s">
        <v>572</v>
      </c>
      <c r="AF1572" s="0" t="s">
        <v>301</v>
      </c>
      <c r="AP1572" s="0" t="s">
        <v>305</v>
      </c>
      <c r="BA1572" s="0">
        <v>589</v>
      </c>
      <c r="BB1572" s="0" t="s">
        <v>232</v>
      </c>
      <c r="BC1572" s="0">
        <v>2</v>
      </c>
      <c r="BD1572" s="0">
        <v>374043</v>
      </c>
      <c r="BE1572" s="0">
        <v>519203</v>
      </c>
      <c r="BF1572" s="0">
        <v>4</v>
      </c>
      <c r="BG1572" s="0" t="s">
        <v>10497</v>
      </c>
      <c r="BI1572" s="0">
        <v>5079</v>
      </c>
      <c r="BK1572" s="0" t="s">
        <v>10498</v>
      </c>
    </row>
    <row r="1573">
      <c r="A1573" s="0">
        <v>6381</v>
      </c>
      <c r="B1573" s="0" t="s">
        <v>10499</v>
      </c>
      <c r="C1573" s="0" t="s">
        <v>656</v>
      </c>
      <c r="D1573" s="0" t="s">
        <v>10468</v>
      </c>
      <c r="E1573" s="0" t="s">
        <v>4183</v>
      </c>
      <c r="F1573" s="0">
        <v>3</v>
      </c>
      <c r="G1573" s="0" t="s">
        <v>293</v>
      </c>
      <c r="H1573" s="0" t="s">
        <v>294</v>
      </c>
      <c r="I1573" s="0" t="s">
        <v>295</v>
      </c>
      <c r="P1573" s="0" t="s">
        <v>343</v>
      </c>
      <c r="Q1573" s="0" t="s">
        <v>343</v>
      </c>
      <c r="T1573" s="0" t="s">
        <v>10500</v>
      </c>
      <c r="U1573" s="0" t="s">
        <v>10501</v>
      </c>
      <c r="W1573" s="0" t="s">
        <v>10472</v>
      </c>
      <c r="X1573" s="0" t="s">
        <v>347</v>
      </c>
      <c r="Y1573" s="0" t="s">
        <v>56</v>
      </c>
      <c r="Z1573" s="0" t="s">
        <v>570</v>
      </c>
      <c r="AA1573" s="0" t="s">
        <v>55</v>
      </c>
      <c r="AB1573" s="0" t="s">
        <v>531</v>
      </c>
      <c r="AC1573" s="0" t="s">
        <v>532</v>
      </c>
      <c r="AD1573" s="0" t="s">
        <v>572</v>
      </c>
      <c r="AF1573" s="0" t="s">
        <v>301</v>
      </c>
      <c r="AP1573" s="0" t="s">
        <v>305</v>
      </c>
      <c r="BA1573" s="0">
        <v>589</v>
      </c>
      <c r="BB1573" s="0" t="s">
        <v>232</v>
      </c>
      <c r="BC1573" s="0">
        <v>2</v>
      </c>
      <c r="BD1573" s="0">
        <v>10</v>
      </c>
      <c r="BE1573" s="0">
        <v>519203</v>
      </c>
      <c r="BF1573" s="0">
        <v>4</v>
      </c>
      <c r="BG1573" s="0" t="s">
        <v>10502</v>
      </c>
      <c r="BI1573" s="0">
        <v>849</v>
      </c>
      <c r="BK1573" s="0" t="s">
        <v>10503</v>
      </c>
    </row>
    <row r="1574">
      <c r="A1574" s="0">
        <v>6384</v>
      </c>
      <c r="B1574" s="0" t="s">
        <v>10504</v>
      </c>
      <c r="C1574" s="0" t="s">
        <v>656</v>
      </c>
      <c r="D1574" s="0" t="s">
        <v>10468</v>
      </c>
      <c r="E1574" s="0" t="s">
        <v>10505</v>
      </c>
      <c r="F1574" s="0">
        <v>2</v>
      </c>
      <c r="G1574" s="0" t="s">
        <v>293</v>
      </c>
      <c r="H1574" s="0" t="s">
        <v>294</v>
      </c>
      <c r="I1574" s="0" t="s">
        <v>295</v>
      </c>
      <c r="P1574" s="0" t="s">
        <v>10506</v>
      </c>
      <c r="Q1574" s="0" t="s">
        <v>10507</v>
      </c>
      <c r="R1574" s="0" t="s">
        <v>324</v>
      </c>
      <c r="T1574" s="0" t="s">
        <v>10508</v>
      </c>
      <c r="U1574" s="0" t="s">
        <v>10509</v>
      </c>
      <c r="W1574" s="0" t="s">
        <v>10472</v>
      </c>
      <c r="X1574" s="0" t="s">
        <v>347</v>
      </c>
      <c r="Y1574" s="0" t="s">
        <v>56</v>
      </c>
      <c r="Z1574" s="0" t="s">
        <v>570</v>
      </c>
      <c r="AA1574" s="0" t="s">
        <v>55</v>
      </c>
      <c r="AB1574" s="0" t="s">
        <v>531</v>
      </c>
      <c r="AC1574" s="0" t="s">
        <v>532</v>
      </c>
      <c r="AD1574" s="0" t="s">
        <v>572</v>
      </c>
      <c r="AF1574" s="0" t="s">
        <v>301</v>
      </c>
      <c r="AP1574" s="0" t="s">
        <v>305</v>
      </c>
      <c r="BA1574" s="0">
        <v>589</v>
      </c>
      <c r="BB1574" s="0" t="s">
        <v>232</v>
      </c>
      <c r="BC1574" s="0">
        <v>2</v>
      </c>
      <c r="BD1574" s="0">
        <v>10</v>
      </c>
      <c r="BE1574" s="0">
        <v>519203</v>
      </c>
      <c r="BF1574" s="0">
        <v>4</v>
      </c>
      <c r="BG1574" s="0" t="s">
        <v>10510</v>
      </c>
      <c r="BI1574" s="0">
        <v>1739</v>
      </c>
      <c r="BK1574" s="0" t="s">
        <v>10511</v>
      </c>
    </row>
    <row r="1575">
      <c r="A1575" s="0">
        <v>6382</v>
      </c>
      <c r="B1575" s="0" t="s">
        <v>10512</v>
      </c>
      <c r="C1575" s="0" t="s">
        <v>656</v>
      </c>
      <c r="D1575" s="0" t="s">
        <v>10468</v>
      </c>
      <c r="E1575" s="0" t="s">
        <v>10513</v>
      </c>
      <c r="F1575" s="0">
        <v>3</v>
      </c>
      <c r="G1575" s="0" t="s">
        <v>293</v>
      </c>
      <c r="H1575" s="0" t="s">
        <v>294</v>
      </c>
      <c r="I1575" s="0" t="s">
        <v>295</v>
      </c>
      <c r="P1575" s="0" t="s">
        <v>10506</v>
      </c>
      <c r="Q1575" s="0" t="s">
        <v>10507</v>
      </c>
      <c r="R1575" s="0" t="s">
        <v>324</v>
      </c>
      <c r="T1575" s="0" t="s">
        <v>10514</v>
      </c>
      <c r="U1575" s="0" t="s">
        <v>10515</v>
      </c>
      <c r="W1575" s="0" t="s">
        <v>10472</v>
      </c>
      <c r="X1575" s="0" t="s">
        <v>347</v>
      </c>
      <c r="Y1575" s="0" t="s">
        <v>56</v>
      </c>
      <c r="Z1575" s="0" t="s">
        <v>570</v>
      </c>
      <c r="AA1575" s="0" t="s">
        <v>55</v>
      </c>
      <c r="AB1575" s="0" t="s">
        <v>531</v>
      </c>
      <c r="AC1575" s="0" t="s">
        <v>532</v>
      </c>
      <c r="AD1575" s="0" t="s">
        <v>572</v>
      </c>
      <c r="AF1575" s="0" t="s">
        <v>301</v>
      </c>
      <c r="AP1575" s="0" t="s">
        <v>305</v>
      </c>
      <c r="BA1575" s="0">
        <v>589</v>
      </c>
      <c r="BB1575" s="0" t="s">
        <v>232</v>
      </c>
      <c r="BC1575" s="0">
        <v>2</v>
      </c>
      <c r="BD1575" s="0">
        <v>10</v>
      </c>
      <c r="BE1575" s="0">
        <v>519203</v>
      </c>
      <c r="BF1575" s="0">
        <v>4</v>
      </c>
      <c r="BG1575" s="0" t="s">
        <v>10516</v>
      </c>
      <c r="BI1575" s="0">
        <v>1176</v>
      </c>
      <c r="BK1575" s="0" t="s">
        <v>10517</v>
      </c>
    </row>
    <row r="1576">
      <c r="A1576" s="0">
        <v>6383</v>
      </c>
      <c r="B1576" s="0" t="s">
        <v>10518</v>
      </c>
      <c r="C1576" s="0" t="s">
        <v>656</v>
      </c>
      <c r="D1576" s="0" t="s">
        <v>10468</v>
      </c>
      <c r="E1576" s="0" t="s">
        <v>10519</v>
      </c>
      <c r="F1576" s="0">
        <v>2</v>
      </c>
      <c r="G1576" s="0" t="s">
        <v>293</v>
      </c>
      <c r="H1576" s="0" t="s">
        <v>294</v>
      </c>
      <c r="I1576" s="0" t="s">
        <v>295</v>
      </c>
      <c r="P1576" s="0" t="s">
        <v>10506</v>
      </c>
      <c r="Q1576" s="0" t="s">
        <v>10507</v>
      </c>
      <c r="R1576" s="0" t="s">
        <v>324</v>
      </c>
      <c r="T1576" s="0" t="s">
        <v>10520</v>
      </c>
      <c r="U1576" s="0" t="s">
        <v>10521</v>
      </c>
      <c r="W1576" s="0" t="s">
        <v>10472</v>
      </c>
      <c r="X1576" s="0" t="s">
        <v>347</v>
      </c>
      <c r="Y1576" s="0" t="s">
        <v>56</v>
      </c>
      <c r="Z1576" s="0" t="s">
        <v>570</v>
      </c>
      <c r="AA1576" s="0" t="s">
        <v>55</v>
      </c>
      <c r="AB1576" s="0" t="s">
        <v>531</v>
      </c>
      <c r="AC1576" s="0" t="s">
        <v>532</v>
      </c>
      <c r="AD1576" s="0" t="s">
        <v>572</v>
      </c>
      <c r="AF1576" s="0" t="s">
        <v>301</v>
      </c>
      <c r="AP1576" s="0" t="s">
        <v>305</v>
      </c>
      <c r="BA1576" s="0">
        <v>589</v>
      </c>
      <c r="BB1576" s="0" t="s">
        <v>232</v>
      </c>
      <c r="BC1576" s="0">
        <v>2</v>
      </c>
      <c r="BD1576" s="0">
        <v>10</v>
      </c>
      <c r="BE1576" s="0">
        <v>519203</v>
      </c>
      <c r="BF1576" s="0">
        <v>4</v>
      </c>
      <c r="BG1576" s="0" t="s">
        <v>10522</v>
      </c>
      <c r="BI1576" s="0">
        <v>1473</v>
      </c>
      <c r="BK1576" s="0" t="s">
        <v>10523</v>
      </c>
    </row>
    <row r="1577">
      <c r="A1577" s="0">
        <v>6380</v>
      </c>
      <c r="B1577" s="0" t="s">
        <v>10524</v>
      </c>
      <c r="C1577" s="0" t="s">
        <v>339</v>
      </c>
      <c r="D1577" s="0" t="s">
        <v>10468</v>
      </c>
      <c r="E1577" s="0" t="s">
        <v>10525</v>
      </c>
      <c r="F1577" s="0">
        <v>2</v>
      </c>
      <c r="G1577" s="0" t="s">
        <v>400</v>
      </c>
      <c r="H1577" s="0" t="s">
        <v>1190</v>
      </c>
      <c r="I1577" s="0" t="s">
        <v>469</v>
      </c>
      <c r="J1577" s="0" t="s">
        <v>319</v>
      </c>
      <c r="K1577" s="0" t="s">
        <v>593</v>
      </c>
      <c r="L1577" s="0" t="s">
        <v>471</v>
      </c>
      <c r="M1577" s="0" t="s">
        <v>508</v>
      </c>
      <c r="O1577" s="0" t="s">
        <v>3204</v>
      </c>
      <c r="P1577" s="0" t="s">
        <v>323</v>
      </c>
      <c r="Q1577" s="0" t="s">
        <v>323</v>
      </c>
      <c r="R1577" s="0" t="s">
        <v>2007</v>
      </c>
      <c r="T1577" s="0" t="s">
        <v>10526</v>
      </c>
      <c r="U1577" s="0" t="s">
        <v>10527</v>
      </c>
      <c r="W1577" s="0" t="s">
        <v>10472</v>
      </c>
      <c r="X1577" s="0" t="s">
        <v>347</v>
      </c>
      <c r="Y1577" s="0" t="s">
        <v>56</v>
      </c>
      <c r="Z1577" s="0" t="s">
        <v>570</v>
      </c>
      <c r="AA1577" s="0" t="s">
        <v>55</v>
      </c>
      <c r="AB1577" s="0" t="s">
        <v>531</v>
      </c>
      <c r="AC1577" s="0" t="s">
        <v>532</v>
      </c>
      <c r="AD1577" s="0" t="s">
        <v>572</v>
      </c>
      <c r="AF1577" s="0" t="s">
        <v>301</v>
      </c>
      <c r="AP1577" s="0" t="s">
        <v>305</v>
      </c>
      <c r="BA1577" s="0">
        <v>589</v>
      </c>
      <c r="BB1577" s="0" t="s">
        <v>232</v>
      </c>
      <c r="BC1577" s="0">
        <v>2</v>
      </c>
      <c r="BD1577" s="0">
        <v>8</v>
      </c>
      <c r="BE1577" s="0">
        <v>519203</v>
      </c>
      <c r="BF1577" s="0">
        <v>4</v>
      </c>
      <c r="BG1577" s="0" t="s">
        <v>10528</v>
      </c>
      <c r="BI1577" s="0">
        <v>462</v>
      </c>
      <c r="BK1577" s="0" t="s">
        <v>10529</v>
      </c>
    </row>
    <row r="1578">
      <c r="A1578" s="0">
        <v>6440</v>
      </c>
      <c r="C1578" s="0" t="s">
        <v>339</v>
      </c>
      <c r="D1578" s="0" t="s">
        <v>10468</v>
      </c>
      <c r="E1578" s="0" t="s">
        <v>10530</v>
      </c>
      <c r="F1578" s="0">
        <v>3</v>
      </c>
      <c r="G1578" s="0" t="s">
        <v>400</v>
      </c>
      <c r="I1578" s="0" t="s">
        <v>469</v>
      </c>
      <c r="J1578" s="0" t="s">
        <v>508</v>
      </c>
      <c r="L1578" s="0" t="s">
        <v>469</v>
      </c>
      <c r="M1578" s="0" t="s">
        <v>319</v>
      </c>
      <c r="N1578" s="0" t="s">
        <v>593</v>
      </c>
      <c r="O1578" s="0" t="s">
        <v>10431</v>
      </c>
      <c r="P1578" s="0" t="s">
        <v>323</v>
      </c>
      <c r="Q1578" s="0" t="s">
        <v>323</v>
      </c>
      <c r="R1578" s="0" t="s">
        <v>1232</v>
      </c>
      <c r="T1578" s="0" t="s">
        <v>10531</v>
      </c>
      <c r="U1578" s="0" t="s">
        <v>10532</v>
      </c>
      <c r="W1578" s="0" t="s">
        <v>10472</v>
      </c>
      <c r="X1578" s="0" t="s">
        <v>347</v>
      </c>
      <c r="Y1578" s="0" t="s">
        <v>56</v>
      </c>
      <c r="Z1578" s="0" t="s">
        <v>570</v>
      </c>
      <c r="AA1578" s="0" t="s">
        <v>55</v>
      </c>
      <c r="AB1578" s="0" t="s">
        <v>531</v>
      </c>
      <c r="AC1578" s="0" t="s">
        <v>532</v>
      </c>
      <c r="AD1578" s="0" t="s">
        <v>572</v>
      </c>
      <c r="AF1578" s="0" t="s">
        <v>301</v>
      </c>
      <c r="AP1578" s="0" t="s">
        <v>305</v>
      </c>
      <c r="BA1578" s="0">
        <v>589</v>
      </c>
      <c r="BB1578" s="0" t="s">
        <v>232</v>
      </c>
      <c r="BC1578" s="0">
        <v>2</v>
      </c>
      <c r="BD1578" s="0">
        <v>8</v>
      </c>
      <c r="BE1578" s="0">
        <v>519203</v>
      </c>
      <c r="BF1578" s="0">
        <v>4</v>
      </c>
      <c r="BG1578" s="0" t="s">
        <v>10533</v>
      </c>
      <c r="BI1578" s="0">
        <v>4469</v>
      </c>
      <c r="BK1578" s="0" t="s">
        <v>10534</v>
      </c>
    </row>
    <row r="1579">
      <c r="A1579" s="0">
        <v>6443</v>
      </c>
      <c r="B1579" s="0" t="s">
        <v>10535</v>
      </c>
      <c r="C1579" s="0" t="s">
        <v>579</v>
      </c>
      <c r="D1579" s="0" t="s">
        <v>10468</v>
      </c>
      <c r="E1579" s="0" t="s">
        <v>10536</v>
      </c>
      <c r="F1579" s="0">
        <v>1</v>
      </c>
      <c r="G1579" s="0" t="s">
        <v>293</v>
      </c>
      <c r="H1579" s="0" t="s">
        <v>294</v>
      </c>
      <c r="I1579" s="0" t="s">
        <v>295</v>
      </c>
      <c r="J1579" s="0" t="s">
        <v>581</v>
      </c>
      <c r="L1579" s="0" t="s">
        <v>583</v>
      </c>
      <c r="T1579" s="0" t="s">
        <v>10537</v>
      </c>
      <c r="U1579" s="0" t="s">
        <v>10538</v>
      </c>
      <c r="W1579" s="0" t="s">
        <v>10472</v>
      </c>
      <c r="X1579" s="0" t="s">
        <v>347</v>
      </c>
      <c r="Y1579" s="0" t="s">
        <v>56</v>
      </c>
      <c r="Z1579" s="0" t="s">
        <v>570</v>
      </c>
      <c r="AA1579" s="0" t="s">
        <v>55</v>
      </c>
      <c r="AB1579" s="0" t="s">
        <v>531</v>
      </c>
      <c r="AC1579" s="0" t="s">
        <v>532</v>
      </c>
      <c r="AD1579" s="0" t="s">
        <v>572</v>
      </c>
      <c r="AF1579" s="0" t="s">
        <v>301</v>
      </c>
      <c r="AP1579" s="0" t="s">
        <v>305</v>
      </c>
      <c r="BA1579" s="0">
        <v>589</v>
      </c>
      <c r="BB1579" s="0" t="s">
        <v>232</v>
      </c>
      <c r="BC1579" s="0">
        <v>2</v>
      </c>
      <c r="BD1579" s="0">
        <v>374046</v>
      </c>
      <c r="BE1579" s="0">
        <v>519203</v>
      </c>
      <c r="BF1579" s="0">
        <v>4</v>
      </c>
      <c r="BG1579" s="0" t="s">
        <v>10539</v>
      </c>
      <c r="BI1579" s="0">
        <v>4611</v>
      </c>
      <c r="BK1579" s="0" t="s">
        <v>10540</v>
      </c>
    </row>
    <row r="1580">
      <c r="A1580" s="0">
        <v>6442</v>
      </c>
      <c r="B1580" s="0" t="s">
        <v>10541</v>
      </c>
      <c r="C1580" s="0" t="s">
        <v>579</v>
      </c>
      <c r="D1580" s="0" t="s">
        <v>10468</v>
      </c>
      <c r="E1580" s="0" t="s">
        <v>10542</v>
      </c>
      <c r="F1580" s="0">
        <v>1</v>
      </c>
      <c r="G1580" s="0" t="s">
        <v>293</v>
      </c>
      <c r="H1580" s="0" t="s">
        <v>294</v>
      </c>
      <c r="I1580" s="0" t="s">
        <v>295</v>
      </c>
      <c r="J1580" s="0" t="s">
        <v>581</v>
      </c>
      <c r="L1580" s="0" t="s">
        <v>583</v>
      </c>
      <c r="T1580" s="0" t="s">
        <v>10543</v>
      </c>
      <c r="U1580" s="0" t="s">
        <v>10544</v>
      </c>
      <c r="W1580" s="0" t="s">
        <v>10472</v>
      </c>
      <c r="X1580" s="0" t="s">
        <v>347</v>
      </c>
      <c r="Y1580" s="0" t="s">
        <v>56</v>
      </c>
      <c r="Z1580" s="0" t="s">
        <v>570</v>
      </c>
      <c r="AA1580" s="0" t="s">
        <v>55</v>
      </c>
      <c r="AB1580" s="0" t="s">
        <v>531</v>
      </c>
      <c r="AC1580" s="0" t="s">
        <v>532</v>
      </c>
      <c r="AD1580" s="0" t="s">
        <v>572</v>
      </c>
      <c r="AF1580" s="0" t="s">
        <v>301</v>
      </c>
      <c r="AP1580" s="0" t="s">
        <v>305</v>
      </c>
      <c r="BA1580" s="0">
        <v>589</v>
      </c>
      <c r="BB1580" s="0" t="s">
        <v>232</v>
      </c>
      <c r="BC1580" s="0">
        <v>2</v>
      </c>
      <c r="BD1580" s="0">
        <v>374046</v>
      </c>
      <c r="BE1580" s="0">
        <v>519203</v>
      </c>
      <c r="BF1580" s="0">
        <v>4</v>
      </c>
      <c r="BG1580" s="0" t="s">
        <v>10545</v>
      </c>
      <c r="BI1580" s="0">
        <v>4569</v>
      </c>
      <c r="BK1580" s="0" t="s">
        <v>10546</v>
      </c>
    </row>
    <row r="1581">
      <c r="A1581" s="0">
        <v>6441</v>
      </c>
      <c r="B1581" s="0" t="s">
        <v>10547</v>
      </c>
      <c r="C1581" s="0" t="s">
        <v>579</v>
      </c>
      <c r="D1581" s="0" t="s">
        <v>10468</v>
      </c>
      <c r="E1581" s="0" t="s">
        <v>10548</v>
      </c>
      <c r="F1581" s="0">
        <v>1</v>
      </c>
      <c r="G1581" s="0" t="s">
        <v>293</v>
      </c>
      <c r="H1581" s="0" t="s">
        <v>294</v>
      </c>
      <c r="I1581" s="0" t="s">
        <v>295</v>
      </c>
      <c r="J1581" s="0" t="s">
        <v>581</v>
      </c>
      <c r="L1581" s="0" t="s">
        <v>583</v>
      </c>
      <c r="T1581" s="0" t="s">
        <v>10549</v>
      </c>
      <c r="U1581" s="0" t="s">
        <v>10550</v>
      </c>
      <c r="W1581" s="0" t="s">
        <v>10472</v>
      </c>
      <c r="X1581" s="0" t="s">
        <v>347</v>
      </c>
      <c r="Y1581" s="0" t="s">
        <v>56</v>
      </c>
      <c r="Z1581" s="0" t="s">
        <v>570</v>
      </c>
      <c r="AA1581" s="0" t="s">
        <v>55</v>
      </c>
      <c r="AB1581" s="0" t="s">
        <v>531</v>
      </c>
      <c r="AC1581" s="0" t="s">
        <v>532</v>
      </c>
      <c r="AD1581" s="0" t="s">
        <v>572</v>
      </c>
      <c r="AF1581" s="0" t="s">
        <v>301</v>
      </c>
      <c r="AP1581" s="0" t="s">
        <v>305</v>
      </c>
      <c r="BA1581" s="0">
        <v>589</v>
      </c>
      <c r="BB1581" s="0" t="s">
        <v>232</v>
      </c>
      <c r="BC1581" s="0">
        <v>2</v>
      </c>
      <c r="BD1581" s="0">
        <v>374046</v>
      </c>
      <c r="BE1581" s="0">
        <v>519203</v>
      </c>
      <c r="BF1581" s="0">
        <v>4</v>
      </c>
      <c r="BG1581" s="0" t="s">
        <v>10551</v>
      </c>
      <c r="BI1581" s="0">
        <v>4519</v>
      </c>
      <c r="BK1581" s="0" t="s">
        <v>10552</v>
      </c>
    </row>
    <row r="1582">
      <c r="A1582" s="0">
        <v>6391</v>
      </c>
      <c r="B1582" s="0" t="s">
        <v>10553</v>
      </c>
      <c r="C1582" s="0" t="s">
        <v>315</v>
      </c>
      <c r="D1582" s="0" t="s">
        <v>10468</v>
      </c>
      <c r="E1582" s="0" t="s">
        <v>10554</v>
      </c>
      <c r="F1582" s="0">
        <v>4</v>
      </c>
      <c r="G1582" s="0" t="s">
        <v>400</v>
      </c>
      <c r="I1582" s="0" t="s">
        <v>469</v>
      </c>
      <c r="J1582" s="0" t="s">
        <v>555</v>
      </c>
      <c r="K1582" s="0" t="s">
        <v>618</v>
      </c>
      <c r="L1582" s="0" t="s">
        <v>469</v>
      </c>
      <c r="P1582" s="0" t="s">
        <v>323</v>
      </c>
      <c r="Q1582" s="0" t="s">
        <v>10555</v>
      </c>
      <c r="R1582" s="0" t="s">
        <v>2007</v>
      </c>
      <c r="T1582" s="0" t="s">
        <v>10556</v>
      </c>
      <c r="U1582" s="0" t="s">
        <v>10557</v>
      </c>
      <c r="W1582" s="0" t="s">
        <v>10472</v>
      </c>
      <c r="X1582" s="0" t="s">
        <v>347</v>
      </c>
      <c r="Y1582" s="0" t="s">
        <v>56</v>
      </c>
      <c r="Z1582" s="0" t="s">
        <v>570</v>
      </c>
      <c r="AA1582" s="0" t="s">
        <v>55</v>
      </c>
      <c r="AB1582" s="0" t="s">
        <v>531</v>
      </c>
      <c r="AC1582" s="0" t="s">
        <v>532</v>
      </c>
      <c r="AD1582" s="0" t="s">
        <v>572</v>
      </c>
      <c r="AF1582" s="0" t="s">
        <v>301</v>
      </c>
      <c r="AP1582" s="0" t="s">
        <v>305</v>
      </c>
      <c r="BA1582" s="0">
        <v>589</v>
      </c>
      <c r="BB1582" s="0" t="s">
        <v>232</v>
      </c>
      <c r="BC1582" s="0">
        <v>2</v>
      </c>
      <c r="BD1582" s="0">
        <v>374043</v>
      </c>
      <c r="BE1582" s="0">
        <v>519203</v>
      </c>
      <c r="BF1582" s="0">
        <v>4</v>
      </c>
      <c r="BG1582" s="0" t="s">
        <v>10558</v>
      </c>
      <c r="BI1582" s="0">
        <v>3121</v>
      </c>
      <c r="BK1582" s="0" t="s">
        <v>10559</v>
      </c>
    </row>
    <row r="1583">
      <c r="A1583" s="0">
        <v>6392</v>
      </c>
      <c r="B1583" s="0" t="s">
        <v>10560</v>
      </c>
      <c r="C1583" s="0" t="s">
        <v>315</v>
      </c>
      <c r="D1583" s="0" t="s">
        <v>10468</v>
      </c>
      <c r="E1583" s="0" t="s">
        <v>10561</v>
      </c>
      <c r="F1583" s="0">
        <v>3</v>
      </c>
      <c r="J1583" s="0" t="s">
        <v>400</v>
      </c>
      <c r="L1583" s="0" t="s">
        <v>10562</v>
      </c>
      <c r="M1583" s="0" t="s">
        <v>555</v>
      </c>
      <c r="O1583" s="0" t="s">
        <v>10563</v>
      </c>
      <c r="P1583" s="0" t="s">
        <v>323</v>
      </c>
      <c r="Q1583" s="0" t="s">
        <v>10555</v>
      </c>
      <c r="R1583" s="0" t="s">
        <v>324</v>
      </c>
      <c r="T1583" s="0" t="s">
        <v>10564</v>
      </c>
      <c r="U1583" s="0" t="s">
        <v>10565</v>
      </c>
      <c r="W1583" s="0" t="s">
        <v>10472</v>
      </c>
      <c r="X1583" s="0" t="s">
        <v>347</v>
      </c>
      <c r="Y1583" s="0" t="s">
        <v>56</v>
      </c>
      <c r="Z1583" s="0" t="s">
        <v>570</v>
      </c>
      <c r="AA1583" s="0" t="s">
        <v>55</v>
      </c>
      <c r="AB1583" s="0" t="s">
        <v>531</v>
      </c>
      <c r="AC1583" s="0" t="s">
        <v>532</v>
      </c>
      <c r="AD1583" s="0" t="s">
        <v>572</v>
      </c>
      <c r="AF1583" s="0" t="s">
        <v>301</v>
      </c>
      <c r="AP1583" s="0" t="s">
        <v>305</v>
      </c>
      <c r="BA1583" s="0">
        <v>589</v>
      </c>
      <c r="BB1583" s="0" t="s">
        <v>232</v>
      </c>
      <c r="BC1583" s="0">
        <v>2</v>
      </c>
      <c r="BD1583" s="0">
        <v>374043</v>
      </c>
      <c r="BE1583" s="0">
        <v>519203</v>
      </c>
      <c r="BF1583" s="0">
        <v>4</v>
      </c>
      <c r="BG1583" s="0" t="s">
        <v>10566</v>
      </c>
      <c r="BI1583" s="0">
        <v>3271</v>
      </c>
      <c r="BK1583" s="0" t="s">
        <v>10567</v>
      </c>
    </row>
    <row r="1584">
      <c r="A1584" s="0">
        <v>6393</v>
      </c>
      <c r="B1584" s="0" t="s">
        <v>10568</v>
      </c>
      <c r="C1584" s="0" t="s">
        <v>2060</v>
      </c>
      <c r="D1584" s="0" t="s">
        <v>10468</v>
      </c>
      <c r="E1584" s="0" t="s">
        <v>10569</v>
      </c>
      <c r="F1584" s="0">
        <v>3</v>
      </c>
      <c r="J1584" s="0" t="s">
        <v>400</v>
      </c>
      <c r="K1584" s="0" t="s">
        <v>618</v>
      </c>
      <c r="L1584" s="0" t="s">
        <v>671</v>
      </c>
      <c r="M1584" s="0" t="s">
        <v>555</v>
      </c>
      <c r="O1584" s="0" t="s">
        <v>671</v>
      </c>
      <c r="P1584" s="0" t="s">
        <v>323</v>
      </c>
      <c r="Q1584" s="0" t="s">
        <v>10555</v>
      </c>
      <c r="R1584" s="0" t="s">
        <v>971</v>
      </c>
      <c r="T1584" s="0" t="s">
        <v>10564</v>
      </c>
      <c r="U1584" s="0" t="s">
        <v>10570</v>
      </c>
      <c r="W1584" s="0" t="s">
        <v>10472</v>
      </c>
      <c r="X1584" s="0" t="s">
        <v>347</v>
      </c>
      <c r="Y1584" s="0" t="s">
        <v>56</v>
      </c>
      <c r="Z1584" s="0" t="s">
        <v>570</v>
      </c>
      <c r="AA1584" s="0" t="s">
        <v>55</v>
      </c>
      <c r="AB1584" s="0" t="s">
        <v>531</v>
      </c>
      <c r="AC1584" s="0" t="s">
        <v>532</v>
      </c>
      <c r="AD1584" s="0" t="s">
        <v>572</v>
      </c>
      <c r="AF1584" s="0" t="s">
        <v>301</v>
      </c>
      <c r="AP1584" s="0" t="s">
        <v>305</v>
      </c>
      <c r="BA1584" s="0">
        <v>589</v>
      </c>
      <c r="BB1584" s="0" t="s">
        <v>232</v>
      </c>
      <c r="BC1584" s="0">
        <v>2</v>
      </c>
      <c r="BD1584" s="0">
        <v>374064</v>
      </c>
      <c r="BE1584" s="0">
        <v>519203</v>
      </c>
      <c r="BF1584" s="0">
        <v>4</v>
      </c>
      <c r="BG1584" s="0" t="s">
        <v>10571</v>
      </c>
      <c r="BI1584" s="0">
        <v>3404</v>
      </c>
      <c r="BK1584" s="0" t="s">
        <v>10572</v>
      </c>
    </row>
    <row r="1585">
      <c r="A1585" s="0">
        <v>6386</v>
      </c>
      <c r="B1585" s="0" t="s">
        <v>10573</v>
      </c>
      <c r="C1585" s="0" t="s">
        <v>656</v>
      </c>
      <c r="D1585" s="0" t="s">
        <v>10468</v>
      </c>
      <c r="E1585" s="0" t="s">
        <v>4222</v>
      </c>
      <c r="F1585" s="0">
        <v>2</v>
      </c>
      <c r="G1585" s="0" t="s">
        <v>293</v>
      </c>
      <c r="H1585" s="0" t="s">
        <v>294</v>
      </c>
      <c r="I1585" s="0" t="s">
        <v>10574</v>
      </c>
      <c r="P1585" s="0" t="s">
        <v>10575</v>
      </c>
      <c r="Q1585" s="0" t="s">
        <v>323</v>
      </c>
      <c r="R1585" s="0" t="s">
        <v>1232</v>
      </c>
      <c r="T1585" s="0" t="s">
        <v>10576</v>
      </c>
      <c r="U1585" s="0" t="s">
        <v>10577</v>
      </c>
      <c r="W1585" s="0" t="s">
        <v>10472</v>
      </c>
      <c r="X1585" s="0" t="s">
        <v>347</v>
      </c>
      <c r="Y1585" s="0" t="s">
        <v>56</v>
      </c>
      <c r="Z1585" s="0" t="s">
        <v>570</v>
      </c>
      <c r="AA1585" s="0" t="s">
        <v>55</v>
      </c>
      <c r="AB1585" s="0" t="s">
        <v>531</v>
      </c>
      <c r="AC1585" s="0" t="s">
        <v>532</v>
      </c>
      <c r="AD1585" s="0" t="s">
        <v>572</v>
      </c>
      <c r="AF1585" s="0" t="s">
        <v>301</v>
      </c>
      <c r="AP1585" s="0" t="s">
        <v>305</v>
      </c>
      <c r="BA1585" s="0">
        <v>589</v>
      </c>
      <c r="BB1585" s="0" t="s">
        <v>232</v>
      </c>
      <c r="BC1585" s="0">
        <v>2</v>
      </c>
      <c r="BD1585" s="0">
        <v>10</v>
      </c>
      <c r="BE1585" s="0">
        <v>519203</v>
      </c>
      <c r="BF1585" s="0">
        <v>4</v>
      </c>
      <c r="BG1585" s="0" t="s">
        <v>10578</v>
      </c>
      <c r="BI1585" s="0">
        <v>2207</v>
      </c>
      <c r="BK1585" s="0" t="s">
        <v>10579</v>
      </c>
    </row>
    <row r="1586">
      <c r="A1586" s="0">
        <v>6385</v>
      </c>
      <c r="B1586" s="0" t="s">
        <v>10580</v>
      </c>
      <c r="C1586" s="0" t="s">
        <v>656</v>
      </c>
      <c r="D1586" s="0" t="s">
        <v>10468</v>
      </c>
      <c r="E1586" s="0" t="s">
        <v>4229</v>
      </c>
      <c r="F1586" s="0">
        <v>3</v>
      </c>
      <c r="G1586" s="0" t="s">
        <v>293</v>
      </c>
      <c r="H1586" s="0" t="s">
        <v>294</v>
      </c>
      <c r="I1586" s="0" t="s">
        <v>10581</v>
      </c>
      <c r="P1586" s="0" t="s">
        <v>10575</v>
      </c>
      <c r="Q1586" s="0" t="s">
        <v>323</v>
      </c>
      <c r="R1586" s="0" t="s">
        <v>1232</v>
      </c>
      <c r="T1586" s="0" t="s">
        <v>10582</v>
      </c>
      <c r="U1586" s="0" t="s">
        <v>10583</v>
      </c>
      <c r="W1586" s="0" t="s">
        <v>10472</v>
      </c>
      <c r="X1586" s="0" t="s">
        <v>347</v>
      </c>
      <c r="Y1586" s="0" t="s">
        <v>56</v>
      </c>
      <c r="Z1586" s="0" t="s">
        <v>570</v>
      </c>
      <c r="AA1586" s="0" t="s">
        <v>55</v>
      </c>
      <c r="AB1586" s="0" t="s">
        <v>531</v>
      </c>
      <c r="AC1586" s="0" t="s">
        <v>532</v>
      </c>
      <c r="AD1586" s="0" t="s">
        <v>572</v>
      </c>
      <c r="AF1586" s="0" t="s">
        <v>301</v>
      </c>
      <c r="AP1586" s="0" t="s">
        <v>305</v>
      </c>
      <c r="BA1586" s="0">
        <v>589</v>
      </c>
      <c r="BB1586" s="0" t="s">
        <v>232</v>
      </c>
      <c r="BC1586" s="0">
        <v>2</v>
      </c>
      <c r="BD1586" s="0">
        <v>10</v>
      </c>
      <c r="BE1586" s="0">
        <v>519203</v>
      </c>
      <c r="BF1586" s="0">
        <v>4</v>
      </c>
      <c r="BG1586" s="0" t="s">
        <v>10584</v>
      </c>
      <c r="BI1586" s="0">
        <v>1980</v>
      </c>
      <c r="BK1586" s="0" t="s">
        <v>10585</v>
      </c>
    </row>
    <row r="1587">
      <c r="A1587" s="0">
        <v>6476</v>
      </c>
      <c r="B1587" s="0" t="s">
        <v>10586</v>
      </c>
      <c r="C1587" s="0" t="s">
        <v>315</v>
      </c>
      <c r="D1587" s="0" t="s">
        <v>10468</v>
      </c>
      <c r="E1587" s="0" t="s">
        <v>10587</v>
      </c>
      <c r="F1587" s="0">
        <v>1</v>
      </c>
      <c r="G1587" s="0" t="s">
        <v>1590</v>
      </c>
      <c r="I1587" s="0" t="s">
        <v>10588</v>
      </c>
      <c r="T1587" s="0" t="s">
        <v>10589</v>
      </c>
      <c r="U1587" s="0" t="s">
        <v>10590</v>
      </c>
      <c r="W1587" s="0" t="s">
        <v>10472</v>
      </c>
      <c r="X1587" s="0" t="s">
        <v>347</v>
      </c>
      <c r="Y1587" s="0" t="s">
        <v>56</v>
      </c>
      <c r="Z1587" s="0" t="s">
        <v>570</v>
      </c>
      <c r="AA1587" s="0" t="s">
        <v>55</v>
      </c>
      <c r="AB1587" s="0" t="s">
        <v>531</v>
      </c>
      <c r="AC1587" s="0" t="s">
        <v>532</v>
      </c>
      <c r="AD1587" s="0" t="s">
        <v>572</v>
      </c>
      <c r="AF1587" s="0" t="s">
        <v>301</v>
      </c>
      <c r="AP1587" s="0" t="s">
        <v>305</v>
      </c>
      <c r="BA1587" s="0">
        <v>589</v>
      </c>
      <c r="BB1587" s="0" t="s">
        <v>232</v>
      </c>
      <c r="BC1587" s="0">
        <v>2</v>
      </c>
      <c r="BD1587" s="0">
        <v>374043</v>
      </c>
      <c r="BE1587" s="0">
        <v>519203</v>
      </c>
      <c r="BF1587" s="0">
        <v>4</v>
      </c>
      <c r="BG1587" s="0" t="s">
        <v>10591</v>
      </c>
      <c r="BI1587" s="0">
        <v>5107</v>
      </c>
      <c r="BK1587" s="0" t="s">
        <v>10592</v>
      </c>
    </row>
    <row r="1588">
      <c r="A1588" s="0">
        <v>6477</v>
      </c>
      <c r="B1588" s="0" t="s">
        <v>10593</v>
      </c>
      <c r="C1588" s="0" t="s">
        <v>315</v>
      </c>
      <c r="D1588" s="0" t="s">
        <v>10468</v>
      </c>
      <c r="E1588" s="0" t="s">
        <v>10594</v>
      </c>
      <c r="F1588" s="0">
        <v>1</v>
      </c>
      <c r="G1588" s="0" t="s">
        <v>1590</v>
      </c>
      <c r="I1588" s="0" t="s">
        <v>10588</v>
      </c>
      <c r="T1588" s="0" t="s">
        <v>10595</v>
      </c>
      <c r="U1588" s="0" t="s">
        <v>10596</v>
      </c>
      <c r="W1588" s="0" t="s">
        <v>10472</v>
      </c>
      <c r="X1588" s="0" t="s">
        <v>347</v>
      </c>
      <c r="Y1588" s="0" t="s">
        <v>56</v>
      </c>
      <c r="Z1588" s="0" t="s">
        <v>570</v>
      </c>
      <c r="AA1588" s="0" t="s">
        <v>55</v>
      </c>
      <c r="AB1588" s="0" t="s">
        <v>531</v>
      </c>
      <c r="AC1588" s="0" t="s">
        <v>532</v>
      </c>
      <c r="AD1588" s="0" t="s">
        <v>572</v>
      </c>
      <c r="AF1588" s="0" t="s">
        <v>301</v>
      </c>
      <c r="AP1588" s="0" t="s">
        <v>305</v>
      </c>
      <c r="BA1588" s="0">
        <v>589</v>
      </c>
      <c r="BB1588" s="0" t="s">
        <v>232</v>
      </c>
      <c r="BC1588" s="0">
        <v>2</v>
      </c>
      <c r="BD1588" s="0">
        <v>374043</v>
      </c>
      <c r="BE1588" s="0">
        <v>519203</v>
      </c>
      <c r="BF1588" s="0">
        <v>4</v>
      </c>
      <c r="BG1588" s="0" t="s">
        <v>10597</v>
      </c>
      <c r="BI1588" s="0">
        <v>5114</v>
      </c>
      <c r="BK1588" s="0" t="s">
        <v>10598</v>
      </c>
    </row>
    <row r="1589">
      <c r="A1589" s="0">
        <v>6475</v>
      </c>
      <c r="B1589" s="0" t="s">
        <v>10599</v>
      </c>
      <c r="C1589" s="0" t="s">
        <v>315</v>
      </c>
      <c r="D1589" s="0" t="s">
        <v>10468</v>
      </c>
      <c r="E1589" s="0" t="s">
        <v>10600</v>
      </c>
      <c r="F1589" s="0">
        <v>1</v>
      </c>
      <c r="G1589" s="0" t="s">
        <v>1590</v>
      </c>
      <c r="I1589" s="0" t="s">
        <v>10588</v>
      </c>
      <c r="T1589" s="0" t="s">
        <v>10601</v>
      </c>
      <c r="U1589" s="0" t="s">
        <v>10602</v>
      </c>
      <c r="W1589" s="0" t="s">
        <v>10472</v>
      </c>
      <c r="X1589" s="0" t="s">
        <v>347</v>
      </c>
      <c r="Y1589" s="0" t="s">
        <v>56</v>
      </c>
      <c r="Z1589" s="0" t="s">
        <v>570</v>
      </c>
      <c r="AA1589" s="0" t="s">
        <v>55</v>
      </c>
      <c r="AB1589" s="0" t="s">
        <v>531</v>
      </c>
      <c r="AC1589" s="0" t="s">
        <v>532</v>
      </c>
      <c r="AD1589" s="0" t="s">
        <v>572</v>
      </c>
      <c r="AF1589" s="0" t="s">
        <v>301</v>
      </c>
      <c r="AP1589" s="0" t="s">
        <v>305</v>
      </c>
      <c r="BA1589" s="0">
        <v>589</v>
      </c>
      <c r="BB1589" s="0" t="s">
        <v>232</v>
      </c>
      <c r="BC1589" s="0">
        <v>2</v>
      </c>
      <c r="BD1589" s="0">
        <v>374043</v>
      </c>
      <c r="BE1589" s="0">
        <v>519203</v>
      </c>
      <c r="BF1589" s="0">
        <v>4</v>
      </c>
      <c r="BG1589" s="0" t="s">
        <v>10603</v>
      </c>
      <c r="BI1589" s="0">
        <v>5100</v>
      </c>
      <c r="BK1589" s="0" t="s">
        <v>10604</v>
      </c>
    </row>
    <row r="1590">
      <c r="A1590" s="0">
        <v>6387</v>
      </c>
      <c r="B1590" s="0" t="s">
        <v>10605</v>
      </c>
      <c r="C1590" s="0" t="s">
        <v>656</v>
      </c>
      <c r="D1590" s="0" t="s">
        <v>10468</v>
      </c>
      <c r="E1590" s="0" t="s">
        <v>10606</v>
      </c>
      <c r="F1590" s="0">
        <v>2</v>
      </c>
      <c r="G1590" s="0" t="s">
        <v>293</v>
      </c>
      <c r="H1590" s="0" t="s">
        <v>294</v>
      </c>
      <c r="I1590" s="0" t="s">
        <v>10581</v>
      </c>
      <c r="T1590" s="0" t="s">
        <v>10607</v>
      </c>
      <c r="U1590" s="0" t="s">
        <v>10608</v>
      </c>
      <c r="W1590" s="0" t="s">
        <v>10472</v>
      </c>
      <c r="X1590" s="0" t="s">
        <v>347</v>
      </c>
      <c r="Y1590" s="0" t="s">
        <v>56</v>
      </c>
      <c r="Z1590" s="0" t="s">
        <v>570</v>
      </c>
      <c r="AA1590" s="0" t="s">
        <v>55</v>
      </c>
      <c r="AB1590" s="0" t="s">
        <v>531</v>
      </c>
      <c r="AC1590" s="0" t="s">
        <v>532</v>
      </c>
      <c r="AD1590" s="0" t="s">
        <v>572</v>
      </c>
      <c r="AF1590" s="0" t="s">
        <v>301</v>
      </c>
      <c r="AP1590" s="0" t="s">
        <v>305</v>
      </c>
      <c r="BA1590" s="0">
        <v>589</v>
      </c>
      <c r="BB1590" s="0" t="s">
        <v>232</v>
      </c>
      <c r="BC1590" s="0">
        <v>2</v>
      </c>
      <c r="BD1590" s="0">
        <v>10</v>
      </c>
      <c r="BE1590" s="0">
        <v>519203</v>
      </c>
      <c r="BF1590" s="0">
        <v>4</v>
      </c>
      <c r="BG1590" s="0" t="s">
        <v>10609</v>
      </c>
      <c r="BI1590" s="0">
        <v>2414</v>
      </c>
      <c r="BK1590" s="0" t="s">
        <v>10610</v>
      </c>
    </row>
    <row r="1591">
      <c r="A1591" s="0">
        <v>6388</v>
      </c>
      <c r="B1591" s="0" t="s">
        <v>10611</v>
      </c>
      <c r="C1591" s="0" t="s">
        <v>656</v>
      </c>
      <c r="D1591" s="0" t="s">
        <v>10468</v>
      </c>
      <c r="E1591" s="0" t="s">
        <v>10612</v>
      </c>
      <c r="F1591" s="0">
        <v>1</v>
      </c>
      <c r="G1591" s="0" t="s">
        <v>293</v>
      </c>
      <c r="H1591" s="0" t="s">
        <v>294</v>
      </c>
      <c r="I1591" s="0" t="s">
        <v>295</v>
      </c>
      <c r="T1591" s="0" t="s">
        <v>10613</v>
      </c>
      <c r="U1591" s="0" t="s">
        <v>10614</v>
      </c>
      <c r="W1591" s="0" t="s">
        <v>10472</v>
      </c>
      <c r="X1591" s="0" t="s">
        <v>347</v>
      </c>
      <c r="Y1591" s="0" t="s">
        <v>56</v>
      </c>
      <c r="Z1591" s="0" t="s">
        <v>570</v>
      </c>
      <c r="AA1591" s="0" t="s">
        <v>55</v>
      </c>
      <c r="AB1591" s="0" t="s">
        <v>531</v>
      </c>
      <c r="AC1591" s="0" t="s">
        <v>532</v>
      </c>
      <c r="AD1591" s="0" t="s">
        <v>572</v>
      </c>
      <c r="AF1591" s="0" t="s">
        <v>301</v>
      </c>
      <c r="AP1591" s="0" t="s">
        <v>305</v>
      </c>
      <c r="BA1591" s="0">
        <v>589</v>
      </c>
      <c r="BB1591" s="0" t="s">
        <v>232</v>
      </c>
      <c r="BC1591" s="0">
        <v>2</v>
      </c>
      <c r="BD1591" s="0">
        <v>10</v>
      </c>
      <c r="BE1591" s="0">
        <v>519203</v>
      </c>
      <c r="BF1591" s="0">
        <v>4</v>
      </c>
      <c r="BG1591" s="0" t="s">
        <v>10615</v>
      </c>
      <c r="BI1591" s="0">
        <v>2609</v>
      </c>
      <c r="BK1591" s="0" t="s">
        <v>10616</v>
      </c>
    </row>
    <row r="1592">
      <c r="A1592" s="0">
        <v>6406</v>
      </c>
      <c r="B1592" s="0" t="s">
        <v>10617</v>
      </c>
      <c r="C1592" s="0" t="s">
        <v>339</v>
      </c>
      <c r="D1592" s="0" t="s">
        <v>10468</v>
      </c>
      <c r="E1592" s="0" t="s">
        <v>10618</v>
      </c>
      <c r="F1592" s="0">
        <v>3</v>
      </c>
      <c r="G1592" s="0" t="s">
        <v>508</v>
      </c>
      <c r="I1592" s="0" t="s">
        <v>469</v>
      </c>
      <c r="J1592" s="0" t="s">
        <v>400</v>
      </c>
      <c r="L1592" s="0" t="s">
        <v>469</v>
      </c>
      <c r="M1592" s="0" t="s">
        <v>319</v>
      </c>
      <c r="N1592" s="0" t="s">
        <v>1997</v>
      </c>
      <c r="O1592" s="0" t="s">
        <v>469</v>
      </c>
      <c r="P1592" s="0" t="s">
        <v>323</v>
      </c>
      <c r="Q1592" s="0" t="s">
        <v>343</v>
      </c>
      <c r="R1592" s="0" t="s">
        <v>2007</v>
      </c>
      <c r="T1592" s="0" t="s">
        <v>10619</v>
      </c>
      <c r="U1592" s="0" t="s">
        <v>10620</v>
      </c>
      <c r="W1592" s="0" t="s">
        <v>10472</v>
      </c>
      <c r="X1592" s="0" t="s">
        <v>347</v>
      </c>
      <c r="Y1592" s="0" t="s">
        <v>56</v>
      </c>
      <c r="Z1592" s="0" t="s">
        <v>570</v>
      </c>
      <c r="AA1592" s="0" t="s">
        <v>55</v>
      </c>
      <c r="AB1592" s="0" t="s">
        <v>531</v>
      </c>
      <c r="AC1592" s="0" t="s">
        <v>532</v>
      </c>
      <c r="AD1592" s="0" t="s">
        <v>572</v>
      </c>
      <c r="AF1592" s="0" t="s">
        <v>301</v>
      </c>
      <c r="AP1592" s="0" t="s">
        <v>305</v>
      </c>
      <c r="BA1592" s="0">
        <v>589</v>
      </c>
      <c r="BB1592" s="0" t="s">
        <v>232</v>
      </c>
      <c r="BC1592" s="0">
        <v>2</v>
      </c>
      <c r="BD1592" s="0">
        <v>8</v>
      </c>
      <c r="BE1592" s="0">
        <v>519203</v>
      </c>
      <c r="BF1592" s="0">
        <v>4</v>
      </c>
      <c r="BG1592" s="0" t="s">
        <v>10621</v>
      </c>
      <c r="BI1592" s="0">
        <v>4237</v>
      </c>
      <c r="BK1592" s="0" t="s">
        <v>10622</v>
      </c>
    </row>
    <row r="1593">
      <c r="A1593" s="0">
        <v>6405</v>
      </c>
      <c r="B1593" s="0" t="s">
        <v>10623</v>
      </c>
      <c r="C1593" s="0" t="s">
        <v>339</v>
      </c>
      <c r="D1593" s="0" t="s">
        <v>10468</v>
      </c>
      <c r="E1593" s="0" t="s">
        <v>10624</v>
      </c>
      <c r="F1593" s="0">
        <v>7</v>
      </c>
      <c r="G1593" s="0" t="s">
        <v>508</v>
      </c>
      <c r="I1593" s="0" t="s">
        <v>1268</v>
      </c>
      <c r="J1593" s="0" t="s">
        <v>400</v>
      </c>
      <c r="K1593" s="0" t="s">
        <v>1190</v>
      </c>
      <c r="L1593" s="0" t="s">
        <v>469</v>
      </c>
      <c r="M1593" s="0" t="s">
        <v>319</v>
      </c>
      <c r="N1593" s="0" t="s">
        <v>1997</v>
      </c>
      <c r="O1593" s="0" t="s">
        <v>1268</v>
      </c>
      <c r="P1593" s="0" t="s">
        <v>323</v>
      </c>
      <c r="Q1593" s="0" t="s">
        <v>343</v>
      </c>
      <c r="R1593" s="0" t="s">
        <v>1232</v>
      </c>
      <c r="T1593" s="0" t="s">
        <v>10619</v>
      </c>
      <c r="U1593" s="0" t="s">
        <v>10625</v>
      </c>
      <c r="W1593" s="0" t="s">
        <v>10472</v>
      </c>
      <c r="X1593" s="0" t="s">
        <v>347</v>
      </c>
      <c r="Y1593" s="0" t="s">
        <v>56</v>
      </c>
      <c r="Z1593" s="0" t="s">
        <v>570</v>
      </c>
      <c r="AA1593" s="0" t="s">
        <v>55</v>
      </c>
      <c r="AB1593" s="0" t="s">
        <v>531</v>
      </c>
      <c r="AC1593" s="0" t="s">
        <v>532</v>
      </c>
      <c r="AD1593" s="0" t="s">
        <v>572</v>
      </c>
      <c r="AF1593" s="0" t="s">
        <v>301</v>
      </c>
      <c r="AP1593" s="0" t="s">
        <v>305</v>
      </c>
      <c r="BA1593" s="0">
        <v>589</v>
      </c>
      <c r="BB1593" s="0" t="s">
        <v>232</v>
      </c>
      <c r="BC1593" s="0">
        <v>2</v>
      </c>
      <c r="BD1593" s="0">
        <v>8</v>
      </c>
      <c r="BE1593" s="0">
        <v>519203</v>
      </c>
      <c r="BF1593" s="0">
        <v>4</v>
      </c>
      <c r="BG1593" s="0" t="s">
        <v>10626</v>
      </c>
      <c r="BI1593" s="0">
        <v>4170</v>
      </c>
      <c r="BK1593" s="0" t="s">
        <v>10627</v>
      </c>
    </row>
    <row r="1594">
      <c r="A1594" s="0">
        <v>6400</v>
      </c>
      <c r="B1594" s="0" t="s">
        <v>10628</v>
      </c>
      <c r="C1594" s="0" t="s">
        <v>315</v>
      </c>
      <c r="D1594" s="0" t="s">
        <v>10468</v>
      </c>
      <c r="E1594" s="0" t="s">
        <v>10629</v>
      </c>
      <c r="F1594" s="0">
        <v>3</v>
      </c>
      <c r="G1594" s="0" t="s">
        <v>293</v>
      </c>
      <c r="H1594" s="0" t="s">
        <v>294</v>
      </c>
      <c r="I1594" s="0" t="s">
        <v>295</v>
      </c>
      <c r="J1594" s="0" t="s">
        <v>555</v>
      </c>
      <c r="K1594" s="0" t="s">
        <v>618</v>
      </c>
      <c r="L1594" s="0" t="s">
        <v>4217</v>
      </c>
      <c r="P1594" s="0" t="s">
        <v>323</v>
      </c>
      <c r="Q1594" s="0" t="s">
        <v>10630</v>
      </c>
      <c r="R1594" s="0" t="s">
        <v>1232</v>
      </c>
      <c r="T1594" s="0" t="s">
        <v>10631</v>
      </c>
      <c r="U1594" s="0" t="s">
        <v>10632</v>
      </c>
      <c r="W1594" s="0" t="s">
        <v>10472</v>
      </c>
      <c r="X1594" s="0" t="s">
        <v>347</v>
      </c>
      <c r="Y1594" s="0" t="s">
        <v>56</v>
      </c>
      <c r="Z1594" s="0" t="s">
        <v>570</v>
      </c>
      <c r="AA1594" s="0" t="s">
        <v>55</v>
      </c>
      <c r="AB1594" s="0" t="s">
        <v>531</v>
      </c>
      <c r="AC1594" s="0" t="s">
        <v>532</v>
      </c>
      <c r="AD1594" s="0" t="s">
        <v>572</v>
      </c>
      <c r="AF1594" s="0" t="s">
        <v>301</v>
      </c>
      <c r="AP1594" s="0" t="s">
        <v>305</v>
      </c>
      <c r="BA1594" s="0">
        <v>589</v>
      </c>
      <c r="BB1594" s="0" t="s">
        <v>232</v>
      </c>
      <c r="BC1594" s="0">
        <v>2</v>
      </c>
      <c r="BD1594" s="0">
        <v>374043</v>
      </c>
      <c r="BE1594" s="0">
        <v>519203</v>
      </c>
      <c r="BF1594" s="0">
        <v>4</v>
      </c>
      <c r="BG1594" s="0" t="s">
        <v>10633</v>
      </c>
      <c r="BI1594" s="0">
        <v>3745</v>
      </c>
      <c r="BK1594" s="0" t="s">
        <v>10634</v>
      </c>
    </row>
    <row r="1595">
      <c r="A1595" s="0">
        <v>6401</v>
      </c>
      <c r="B1595" s="0" t="s">
        <v>10635</v>
      </c>
      <c r="C1595" s="0" t="s">
        <v>315</v>
      </c>
      <c r="D1595" s="0" t="s">
        <v>10468</v>
      </c>
      <c r="E1595" s="0" t="s">
        <v>10636</v>
      </c>
      <c r="F1595" s="0">
        <v>2</v>
      </c>
      <c r="G1595" s="0" t="s">
        <v>293</v>
      </c>
      <c r="H1595" s="0" t="s">
        <v>294</v>
      </c>
      <c r="I1595" s="0" t="s">
        <v>10637</v>
      </c>
      <c r="J1595" s="0" t="s">
        <v>555</v>
      </c>
      <c r="K1595" s="0" t="s">
        <v>618</v>
      </c>
      <c r="L1595" s="0" t="s">
        <v>469</v>
      </c>
      <c r="P1595" s="0" t="s">
        <v>323</v>
      </c>
      <c r="Q1595" s="0" t="s">
        <v>10638</v>
      </c>
      <c r="R1595" s="0" t="s">
        <v>324</v>
      </c>
      <c r="T1595" s="0" t="s">
        <v>10639</v>
      </c>
      <c r="U1595" s="0" t="s">
        <v>10640</v>
      </c>
      <c r="W1595" s="0" t="s">
        <v>10472</v>
      </c>
      <c r="X1595" s="0" t="s">
        <v>347</v>
      </c>
      <c r="Y1595" s="0" t="s">
        <v>56</v>
      </c>
      <c r="Z1595" s="0" t="s">
        <v>570</v>
      </c>
      <c r="AA1595" s="0" t="s">
        <v>55</v>
      </c>
      <c r="AB1595" s="0" t="s">
        <v>531</v>
      </c>
      <c r="AC1595" s="0" t="s">
        <v>532</v>
      </c>
      <c r="AD1595" s="0" t="s">
        <v>572</v>
      </c>
      <c r="AF1595" s="0" t="s">
        <v>301</v>
      </c>
      <c r="AP1595" s="0" t="s">
        <v>305</v>
      </c>
      <c r="BA1595" s="0">
        <v>589</v>
      </c>
      <c r="BB1595" s="0" t="s">
        <v>232</v>
      </c>
      <c r="BC1595" s="0">
        <v>2</v>
      </c>
      <c r="BD1595" s="0">
        <v>374043</v>
      </c>
      <c r="BE1595" s="0">
        <v>519203</v>
      </c>
      <c r="BF1595" s="0">
        <v>4</v>
      </c>
      <c r="BG1595" s="0" t="s">
        <v>10641</v>
      </c>
      <c r="BI1595" s="0">
        <v>3841</v>
      </c>
      <c r="BK1595" s="0" t="s">
        <v>10642</v>
      </c>
    </row>
    <row r="1596">
      <c r="A1596" s="0">
        <v>6493</v>
      </c>
      <c r="B1596" s="0" t="s">
        <v>10643</v>
      </c>
      <c r="C1596" s="0" t="s">
        <v>656</v>
      </c>
      <c r="D1596" s="0" t="s">
        <v>10468</v>
      </c>
      <c r="E1596" s="0" t="s">
        <v>10644</v>
      </c>
      <c r="F1596" s="0">
        <v>1</v>
      </c>
      <c r="G1596" s="0" t="s">
        <v>508</v>
      </c>
      <c r="I1596" s="0" t="s">
        <v>549</v>
      </c>
      <c r="J1596" s="0" t="s">
        <v>319</v>
      </c>
      <c r="K1596" s="0" t="s">
        <v>7303</v>
      </c>
      <c r="L1596" s="0" t="s">
        <v>549</v>
      </c>
      <c r="P1596" s="0" t="s">
        <v>323</v>
      </c>
      <c r="Q1596" s="0" t="s">
        <v>323</v>
      </c>
      <c r="R1596" s="0" t="s">
        <v>2007</v>
      </c>
      <c r="T1596" s="0" t="s">
        <v>10645</v>
      </c>
      <c r="U1596" s="0" t="s">
        <v>10646</v>
      </c>
      <c r="W1596" s="0" t="s">
        <v>10472</v>
      </c>
      <c r="X1596" s="0" t="s">
        <v>347</v>
      </c>
      <c r="Y1596" s="0" t="s">
        <v>56</v>
      </c>
      <c r="Z1596" s="0" t="s">
        <v>570</v>
      </c>
      <c r="AA1596" s="0" t="s">
        <v>55</v>
      </c>
      <c r="AB1596" s="0" t="s">
        <v>531</v>
      </c>
      <c r="AC1596" s="0" t="s">
        <v>532</v>
      </c>
      <c r="AD1596" s="0" t="s">
        <v>572</v>
      </c>
      <c r="AF1596" s="0" t="s">
        <v>301</v>
      </c>
      <c r="AP1596" s="0" t="s">
        <v>305</v>
      </c>
      <c r="BA1596" s="0">
        <v>589</v>
      </c>
      <c r="BB1596" s="0" t="s">
        <v>232</v>
      </c>
      <c r="BC1596" s="0">
        <v>2</v>
      </c>
      <c r="BD1596" s="0">
        <v>10</v>
      </c>
      <c r="BE1596" s="0">
        <v>519203</v>
      </c>
      <c r="BF1596" s="0">
        <v>4</v>
      </c>
      <c r="BG1596" s="0" t="s">
        <v>10647</v>
      </c>
      <c r="BI1596" s="0">
        <v>5212</v>
      </c>
      <c r="BK1596" s="0" t="s">
        <v>10648</v>
      </c>
    </row>
    <row r="1597">
      <c r="A1597" s="0">
        <v>6484</v>
      </c>
      <c r="B1597" s="0" t="s">
        <v>10649</v>
      </c>
      <c r="C1597" s="0" t="s">
        <v>656</v>
      </c>
      <c r="D1597" s="0" t="s">
        <v>10468</v>
      </c>
      <c r="E1597" s="0" t="s">
        <v>10650</v>
      </c>
      <c r="F1597" s="0">
        <v>1</v>
      </c>
      <c r="G1597" s="0" t="s">
        <v>508</v>
      </c>
      <c r="I1597" s="0" t="s">
        <v>660</v>
      </c>
      <c r="J1597" s="0" t="s">
        <v>319</v>
      </c>
      <c r="K1597" s="0" t="s">
        <v>7303</v>
      </c>
      <c r="L1597" s="0" t="s">
        <v>659</v>
      </c>
      <c r="M1597" s="0" t="s">
        <v>293</v>
      </c>
      <c r="N1597" s="0" t="s">
        <v>294</v>
      </c>
      <c r="O1597" s="0" t="s">
        <v>295</v>
      </c>
      <c r="P1597" s="0" t="s">
        <v>323</v>
      </c>
      <c r="Q1597" s="0" t="s">
        <v>323</v>
      </c>
      <c r="R1597" s="0" t="s">
        <v>324</v>
      </c>
      <c r="T1597" s="0" t="s">
        <v>10651</v>
      </c>
      <c r="U1597" s="0" t="s">
        <v>10652</v>
      </c>
      <c r="W1597" s="0" t="s">
        <v>10472</v>
      </c>
      <c r="X1597" s="0" t="s">
        <v>347</v>
      </c>
      <c r="Y1597" s="0" t="s">
        <v>56</v>
      </c>
      <c r="Z1597" s="0" t="s">
        <v>570</v>
      </c>
      <c r="AA1597" s="0" t="s">
        <v>55</v>
      </c>
      <c r="AB1597" s="0" t="s">
        <v>531</v>
      </c>
      <c r="AC1597" s="0" t="s">
        <v>532</v>
      </c>
      <c r="AD1597" s="0" t="s">
        <v>572</v>
      </c>
      <c r="AF1597" s="0" t="s">
        <v>301</v>
      </c>
      <c r="AP1597" s="0" t="s">
        <v>305</v>
      </c>
      <c r="BA1597" s="0">
        <v>589</v>
      </c>
      <c r="BB1597" s="0" t="s">
        <v>232</v>
      </c>
      <c r="BC1597" s="0">
        <v>2</v>
      </c>
      <c r="BD1597" s="0">
        <v>10</v>
      </c>
      <c r="BE1597" s="0">
        <v>519203</v>
      </c>
      <c r="BF1597" s="0">
        <v>4</v>
      </c>
      <c r="BG1597" s="0" t="s">
        <v>10653</v>
      </c>
      <c r="BI1597" s="0">
        <v>5159</v>
      </c>
      <c r="BK1597" s="0" t="s">
        <v>10654</v>
      </c>
    </row>
    <row r="1598">
      <c r="A1598" s="0">
        <v>6494</v>
      </c>
      <c r="B1598" s="0" t="s">
        <v>10655</v>
      </c>
      <c r="C1598" s="0" t="s">
        <v>656</v>
      </c>
      <c r="D1598" s="0" t="s">
        <v>10468</v>
      </c>
      <c r="E1598" s="0" t="s">
        <v>10656</v>
      </c>
      <c r="F1598" s="0">
        <v>1</v>
      </c>
      <c r="G1598" s="0" t="s">
        <v>508</v>
      </c>
      <c r="I1598" s="0" t="s">
        <v>549</v>
      </c>
      <c r="J1598" s="0" t="s">
        <v>319</v>
      </c>
      <c r="K1598" s="0" t="s">
        <v>7303</v>
      </c>
      <c r="L1598" s="0" t="s">
        <v>549</v>
      </c>
      <c r="P1598" s="0" t="s">
        <v>323</v>
      </c>
      <c r="Q1598" s="0" t="s">
        <v>323</v>
      </c>
      <c r="R1598" s="0" t="s">
        <v>2007</v>
      </c>
      <c r="T1598" s="0" t="s">
        <v>10657</v>
      </c>
      <c r="U1598" s="0" t="s">
        <v>10658</v>
      </c>
      <c r="W1598" s="0" t="s">
        <v>10472</v>
      </c>
      <c r="X1598" s="0" t="s">
        <v>347</v>
      </c>
      <c r="Y1598" s="0" t="s">
        <v>56</v>
      </c>
      <c r="Z1598" s="0" t="s">
        <v>570</v>
      </c>
      <c r="AA1598" s="0" t="s">
        <v>55</v>
      </c>
      <c r="AB1598" s="0" t="s">
        <v>531</v>
      </c>
      <c r="AC1598" s="0" t="s">
        <v>532</v>
      </c>
      <c r="AD1598" s="0" t="s">
        <v>572</v>
      </c>
      <c r="AF1598" s="0" t="s">
        <v>301</v>
      </c>
      <c r="AP1598" s="0" t="s">
        <v>305</v>
      </c>
      <c r="BA1598" s="0">
        <v>589</v>
      </c>
      <c r="BB1598" s="0" t="s">
        <v>232</v>
      </c>
      <c r="BC1598" s="0">
        <v>2</v>
      </c>
      <c r="BD1598" s="0">
        <v>10</v>
      </c>
      <c r="BE1598" s="0">
        <v>519203</v>
      </c>
      <c r="BF1598" s="0">
        <v>4</v>
      </c>
      <c r="BG1598" s="0" t="s">
        <v>10659</v>
      </c>
      <c r="BI1598" s="0">
        <v>5218</v>
      </c>
      <c r="BK1598" s="0" t="s">
        <v>10660</v>
      </c>
    </row>
    <row r="1599">
      <c r="A1599" s="0">
        <v>6485</v>
      </c>
      <c r="B1599" s="0" t="s">
        <v>10661</v>
      </c>
      <c r="C1599" s="0" t="s">
        <v>656</v>
      </c>
      <c r="D1599" s="0" t="s">
        <v>10468</v>
      </c>
      <c r="E1599" s="0" t="s">
        <v>10662</v>
      </c>
      <c r="F1599" s="0">
        <v>1</v>
      </c>
      <c r="G1599" s="0" t="s">
        <v>508</v>
      </c>
      <c r="I1599" s="0" t="s">
        <v>660</v>
      </c>
      <c r="J1599" s="0" t="s">
        <v>319</v>
      </c>
      <c r="K1599" s="0" t="s">
        <v>7303</v>
      </c>
      <c r="L1599" s="0" t="s">
        <v>659</v>
      </c>
      <c r="M1599" s="0" t="s">
        <v>293</v>
      </c>
      <c r="N1599" s="0" t="s">
        <v>294</v>
      </c>
      <c r="O1599" s="0" t="s">
        <v>295</v>
      </c>
      <c r="P1599" s="0" t="s">
        <v>323</v>
      </c>
      <c r="Q1599" s="0" t="s">
        <v>323</v>
      </c>
      <c r="R1599" s="0" t="s">
        <v>324</v>
      </c>
      <c r="T1599" s="0" t="s">
        <v>10663</v>
      </c>
      <c r="U1599" s="0" t="s">
        <v>10664</v>
      </c>
      <c r="W1599" s="0" t="s">
        <v>10472</v>
      </c>
      <c r="X1599" s="0" t="s">
        <v>347</v>
      </c>
      <c r="Y1599" s="0" t="s">
        <v>56</v>
      </c>
      <c r="Z1599" s="0" t="s">
        <v>570</v>
      </c>
      <c r="AA1599" s="0" t="s">
        <v>55</v>
      </c>
      <c r="AB1599" s="0" t="s">
        <v>531</v>
      </c>
      <c r="AC1599" s="0" t="s">
        <v>532</v>
      </c>
      <c r="AD1599" s="0" t="s">
        <v>572</v>
      </c>
      <c r="AF1599" s="0" t="s">
        <v>301</v>
      </c>
      <c r="AP1599" s="0" t="s">
        <v>305</v>
      </c>
      <c r="BA1599" s="0">
        <v>589</v>
      </c>
      <c r="BB1599" s="0" t="s">
        <v>232</v>
      </c>
      <c r="BC1599" s="0">
        <v>2</v>
      </c>
      <c r="BD1599" s="0">
        <v>10</v>
      </c>
      <c r="BE1599" s="0">
        <v>519203</v>
      </c>
      <c r="BF1599" s="0">
        <v>4</v>
      </c>
      <c r="BG1599" s="0" t="s">
        <v>10665</v>
      </c>
      <c r="BI1599" s="0">
        <v>5166</v>
      </c>
      <c r="BK1599" s="0" t="s">
        <v>10666</v>
      </c>
    </row>
    <row r="1600">
      <c r="A1600" s="0">
        <v>6486</v>
      </c>
      <c r="B1600" s="0" t="s">
        <v>10667</v>
      </c>
      <c r="C1600" s="0" t="s">
        <v>656</v>
      </c>
      <c r="D1600" s="0" t="s">
        <v>10468</v>
      </c>
      <c r="E1600" s="0" t="s">
        <v>10668</v>
      </c>
      <c r="F1600" s="0">
        <v>2</v>
      </c>
      <c r="G1600" s="0" t="s">
        <v>293</v>
      </c>
      <c r="H1600" s="0" t="s">
        <v>294</v>
      </c>
      <c r="I1600" s="0" t="s">
        <v>295</v>
      </c>
      <c r="T1600" s="0" t="s">
        <v>10669</v>
      </c>
      <c r="U1600" s="0" t="s">
        <v>10670</v>
      </c>
      <c r="W1600" s="0" t="s">
        <v>10472</v>
      </c>
      <c r="X1600" s="0" t="s">
        <v>347</v>
      </c>
      <c r="Y1600" s="0" t="s">
        <v>56</v>
      </c>
      <c r="Z1600" s="0" t="s">
        <v>570</v>
      </c>
      <c r="AA1600" s="0" t="s">
        <v>55</v>
      </c>
      <c r="AB1600" s="0" t="s">
        <v>531</v>
      </c>
      <c r="AC1600" s="0" t="s">
        <v>532</v>
      </c>
      <c r="AD1600" s="0" t="s">
        <v>572</v>
      </c>
      <c r="AF1600" s="0" t="s">
        <v>301</v>
      </c>
      <c r="AP1600" s="0" t="s">
        <v>305</v>
      </c>
      <c r="BA1600" s="0">
        <v>589</v>
      </c>
      <c r="BB1600" s="0" t="s">
        <v>232</v>
      </c>
      <c r="BC1600" s="0">
        <v>2</v>
      </c>
      <c r="BD1600" s="0">
        <v>10</v>
      </c>
      <c r="BE1600" s="0">
        <v>519203</v>
      </c>
      <c r="BF1600" s="0">
        <v>4</v>
      </c>
      <c r="BG1600" s="0" t="s">
        <v>10671</v>
      </c>
      <c r="BI1600" s="0">
        <v>5173</v>
      </c>
      <c r="BK1600" s="0" t="s">
        <v>10672</v>
      </c>
    </row>
    <row r="1601">
      <c r="A1601" s="0">
        <v>6464</v>
      </c>
      <c r="B1601" s="0" t="s">
        <v>10673</v>
      </c>
      <c r="C1601" s="0" t="s">
        <v>656</v>
      </c>
      <c r="D1601" s="0" t="s">
        <v>10468</v>
      </c>
      <c r="E1601" s="0" t="s">
        <v>10674</v>
      </c>
      <c r="F1601" s="0">
        <v>1</v>
      </c>
      <c r="G1601" s="0" t="s">
        <v>508</v>
      </c>
      <c r="I1601" s="0" t="s">
        <v>549</v>
      </c>
      <c r="J1601" s="0" t="s">
        <v>319</v>
      </c>
      <c r="K1601" s="0" t="s">
        <v>7303</v>
      </c>
      <c r="L1601" s="0" t="s">
        <v>549</v>
      </c>
      <c r="P1601" s="0" t="s">
        <v>323</v>
      </c>
      <c r="Q1601" s="0" t="s">
        <v>323</v>
      </c>
      <c r="R1601" s="0" t="s">
        <v>2007</v>
      </c>
      <c r="T1601" s="0" t="s">
        <v>10675</v>
      </c>
      <c r="U1601" s="0" t="s">
        <v>10676</v>
      </c>
      <c r="W1601" s="0" t="s">
        <v>10472</v>
      </c>
      <c r="X1601" s="0" t="s">
        <v>347</v>
      </c>
      <c r="Y1601" s="0" t="s">
        <v>56</v>
      </c>
      <c r="Z1601" s="0" t="s">
        <v>570</v>
      </c>
      <c r="AA1601" s="0" t="s">
        <v>55</v>
      </c>
      <c r="AB1601" s="0" t="s">
        <v>531</v>
      </c>
      <c r="AC1601" s="0" t="s">
        <v>532</v>
      </c>
      <c r="AD1601" s="0" t="s">
        <v>572</v>
      </c>
      <c r="AF1601" s="0" t="s">
        <v>301</v>
      </c>
      <c r="AP1601" s="0" t="s">
        <v>305</v>
      </c>
      <c r="BA1601" s="0">
        <v>589</v>
      </c>
      <c r="BB1601" s="0" t="s">
        <v>232</v>
      </c>
      <c r="BC1601" s="0">
        <v>2</v>
      </c>
      <c r="BD1601" s="0">
        <v>10</v>
      </c>
      <c r="BE1601" s="0">
        <v>519203</v>
      </c>
      <c r="BF1601" s="0">
        <v>4</v>
      </c>
      <c r="BG1601" s="0" t="s">
        <v>10677</v>
      </c>
      <c r="BI1601" s="0">
        <v>5010</v>
      </c>
      <c r="BK1601" s="0" t="s">
        <v>10678</v>
      </c>
    </row>
    <row r="1602">
      <c r="A1602" s="0">
        <v>6462</v>
      </c>
      <c r="B1602" s="0" t="s">
        <v>10679</v>
      </c>
      <c r="C1602" s="0" t="s">
        <v>656</v>
      </c>
      <c r="D1602" s="0" t="s">
        <v>10468</v>
      </c>
      <c r="E1602" s="0" t="s">
        <v>10680</v>
      </c>
      <c r="F1602" s="0">
        <v>1</v>
      </c>
      <c r="G1602" s="0" t="s">
        <v>508</v>
      </c>
      <c r="I1602" s="0" t="s">
        <v>729</v>
      </c>
      <c r="J1602" s="0" t="s">
        <v>319</v>
      </c>
      <c r="K1602" s="0" t="s">
        <v>7303</v>
      </c>
      <c r="L1602" s="0" t="s">
        <v>659</v>
      </c>
      <c r="P1602" s="0" t="s">
        <v>323</v>
      </c>
      <c r="Q1602" s="0" t="s">
        <v>323</v>
      </c>
      <c r="R1602" s="0" t="s">
        <v>324</v>
      </c>
      <c r="T1602" s="0" t="s">
        <v>10681</v>
      </c>
      <c r="U1602" s="0" t="s">
        <v>10682</v>
      </c>
      <c r="W1602" s="0" t="s">
        <v>10472</v>
      </c>
      <c r="X1602" s="0" t="s">
        <v>347</v>
      </c>
      <c r="Y1602" s="0" t="s">
        <v>56</v>
      </c>
      <c r="Z1602" s="0" t="s">
        <v>570</v>
      </c>
      <c r="AA1602" s="0" t="s">
        <v>55</v>
      </c>
      <c r="AB1602" s="0" t="s">
        <v>531</v>
      </c>
      <c r="AC1602" s="0" t="s">
        <v>532</v>
      </c>
      <c r="AD1602" s="0" t="s">
        <v>572</v>
      </c>
      <c r="AF1602" s="0" t="s">
        <v>301</v>
      </c>
      <c r="AP1602" s="0" t="s">
        <v>305</v>
      </c>
      <c r="BA1602" s="0">
        <v>589</v>
      </c>
      <c r="BB1602" s="0" t="s">
        <v>232</v>
      </c>
      <c r="BC1602" s="0">
        <v>2</v>
      </c>
      <c r="BD1602" s="0">
        <v>10</v>
      </c>
      <c r="BE1602" s="0">
        <v>519203</v>
      </c>
      <c r="BF1602" s="0">
        <v>4</v>
      </c>
      <c r="BG1602" s="0" t="s">
        <v>10683</v>
      </c>
      <c r="BI1602" s="0">
        <v>4985</v>
      </c>
      <c r="BK1602" s="0" t="s">
        <v>10684</v>
      </c>
    </row>
    <row r="1603">
      <c r="A1603" s="0">
        <v>6460</v>
      </c>
      <c r="B1603" s="0" t="s">
        <v>10685</v>
      </c>
      <c r="C1603" s="0" t="s">
        <v>656</v>
      </c>
      <c r="D1603" s="0" t="s">
        <v>10468</v>
      </c>
      <c r="E1603" s="0" t="s">
        <v>10686</v>
      </c>
      <c r="F1603" s="0">
        <v>1</v>
      </c>
      <c r="G1603" s="0" t="s">
        <v>508</v>
      </c>
      <c r="I1603" s="0" t="s">
        <v>729</v>
      </c>
      <c r="J1603" s="0" t="s">
        <v>319</v>
      </c>
      <c r="K1603" s="0" t="s">
        <v>7303</v>
      </c>
      <c r="L1603" s="0" t="s">
        <v>659</v>
      </c>
      <c r="P1603" s="0" t="s">
        <v>323</v>
      </c>
      <c r="Q1603" s="0" t="s">
        <v>323</v>
      </c>
      <c r="R1603" s="0" t="s">
        <v>324</v>
      </c>
      <c r="T1603" s="0" t="s">
        <v>10687</v>
      </c>
      <c r="U1603" s="0" t="s">
        <v>10688</v>
      </c>
      <c r="W1603" s="0" t="s">
        <v>10472</v>
      </c>
      <c r="X1603" s="0" t="s">
        <v>347</v>
      </c>
      <c r="Y1603" s="0" t="s">
        <v>56</v>
      </c>
      <c r="Z1603" s="0" t="s">
        <v>570</v>
      </c>
      <c r="AA1603" s="0" t="s">
        <v>55</v>
      </c>
      <c r="AB1603" s="0" t="s">
        <v>531</v>
      </c>
      <c r="AC1603" s="0" t="s">
        <v>532</v>
      </c>
      <c r="AD1603" s="0" t="s">
        <v>572</v>
      </c>
      <c r="AF1603" s="0" t="s">
        <v>301</v>
      </c>
      <c r="AP1603" s="0" t="s">
        <v>305</v>
      </c>
      <c r="BA1603" s="0">
        <v>589</v>
      </c>
      <c r="BB1603" s="0" t="s">
        <v>232</v>
      </c>
      <c r="BC1603" s="0">
        <v>2</v>
      </c>
      <c r="BD1603" s="0">
        <v>10</v>
      </c>
      <c r="BE1603" s="0">
        <v>519203</v>
      </c>
      <c r="BF1603" s="0">
        <v>4</v>
      </c>
      <c r="BG1603" s="0" t="s">
        <v>10689</v>
      </c>
      <c r="BI1603" s="0">
        <v>4959</v>
      </c>
      <c r="BK1603" s="0" t="s">
        <v>10690</v>
      </c>
    </row>
    <row r="1604">
      <c r="A1604" s="0">
        <v>6461</v>
      </c>
      <c r="B1604" s="0" t="s">
        <v>10691</v>
      </c>
      <c r="C1604" s="0" t="s">
        <v>656</v>
      </c>
      <c r="D1604" s="0" t="s">
        <v>10468</v>
      </c>
      <c r="E1604" s="0" t="s">
        <v>10692</v>
      </c>
      <c r="F1604" s="0">
        <v>2</v>
      </c>
      <c r="G1604" s="0" t="s">
        <v>508</v>
      </c>
      <c r="I1604" s="0" t="s">
        <v>549</v>
      </c>
      <c r="J1604" s="0" t="s">
        <v>319</v>
      </c>
      <c r="K1604" s="0" t="s">
        <v>7303</v>
      </c>
      <c r="L1604" s="0" t="s">
        <v>549</v>
      </c>
      <c r="P1604" s="0" t="s">
        <v>323</v>
      </c>
      <c r="Q1604" s="0" t="s">
        <v>323</v>
      </c>
      <c r="R1604" s="0" t="s">
        <v>2007</v>
      </c>
      <c r="T1604" s="0" t="s">
        <v>10693</v>
      </c>
      <c r="U1604" s="0" t="s">
        <v>10694</v>
      </c>
      <c r="W1604" s="0" t="s">
        <v>10472</v>
      </c>
      <c r="X1604" s="0" t="s">
        <v>347</v>
      </c>
      <c r="Y1604" s="0" t="s">
        <v>56</v>
      </c>
      <c r="Z1604" s="0" t="s">
        <v>570</v>
      </c>
      <c r="AA1604" s="0" t="s">
        <v>55</v>
      </c>
      <c r="AB1604" s="0" t="s">
        <v>531</v>
      </c>
      <c r="AC1604" s="0" t="s">
        <v>532</v>
      </c>
      <c r="AD1604" s="0" t="s">
        <v>572</v>
      </c>
      <c r="AF1604" s="0" t="s">
        <v>301</v>
      </c>
      <c r="AP1604" s="0" t="s">
        <v>305</v>
      </c>
      <c r="BA1604" s="0">
        <v>589</v>
      </c>
      <c r="BB1604" s="0" t="s">
        <v>232</v>
      </c>
      <c r="BC1604" s="0">
        <v>2</v>
      </c>
      <c r="BD1604" s="0">
        <v>10</v>
      </c>
      <c r="BE1604" s="0">
        <v>519203</v>
      </c>
      <c r="BF1604" s="0">
        <v>4</v>
      </c>
      <c r="BG1604" s="0" t="s">
        <v>10695</v>
      </c>
      <c r="BI1604" s="0">
        <v>4972</v>
      </c>
      <c r="BK1604" s="0" t="s">
        <v>10696</v>
      </c>
    </row>
    <row r="1605">
      <c r="A1605" s="0">
        <v>6408</v>
      </c>
      <c r="B1605" s="0" t="s">
        <v>10697</v>
      </c>
      <c r="C1605" s="0" t="s">
        <v>339</v>
      </c>
      <c r="D1605" s="0" t="s">
        <v>10468</v>
      </c>
      <c r="E1605" s="0" t="s">
        <v>10698</v>
      </c>
      <c r="F1605" s="0">
        <v>1</v>
      </c>
      <c r="G1605" s="0" t="s">
        <v>508</v>
      </c>
      <c r="I1605" s="0" t="s">
        <v>1268</v>
      </c>
      <c r="J1605" s="0" t="s">
        <v>319</v>
      </c>
      <c r="K1605" s="0" t="s">
        <v>1997</v>
      </c>
      <c r="L1605" s="0" t="s">
        <v>1268</v>
      </c>
      <c r="P1605" s="0" t="s">
        <v>402</v>
      </c>
      <c r="Q1605" s="0" t="s">
        <v>402</v>
      </c>
      <c r="R1605" s="0" t="s">
        <v>1232</v>
      </c>
      <c r="T1605" s="0" t="s">
        <v>10699</v>
      </c>
      <c r="U1605" s="0" t="s">
        <v>10700</v>
      </c>
      <c r="W1605" s="0" t="s">
        <v>10472</v>
      </c>
      <c r="X1605" s="0" t="s">
        <v>347</v>
      </c>
      <c r="Y1605" s="0" t="s">
        <v>56</v>
      </c>
      <c r="Z1605" s="0" t="s">
        <v>570</v>
      </c>
      <c r="AA1605" s="0" t="s">
        <v>55</v>
      </c>
      <c r="AB1605" s="0" t="s">
        <v>531</v>
      </c>
      <c r="AC1605" s="0" t="s">
        <v>532</v>
      </c>
      <c r="AD1605" s="0" t="s">
        <v>572</v>
      </c>
      <c r="AF1605" s="0" t="s">
        <v>301</v>
      </c>
      <c r="AP1605" s="0" t="s">
        <v>305</v>
      </c>
      <c r="BA1605" s="0">
        <v>589</v>
      </c>
      <c r="BB1605" s="0" t="s">
        <v>232</v>
      </c>
      <c r="BC1605" s="0">
        <v>2</v>
      </c>
      <c r="BD1605" s="0">
        <v>8</v>
      </c>
      <c r="BE1605" s="0">
        <v>519203</v>
      </c>
      <c r="BF1605" s="0">
        <v>4</v>
      </c>
      <c r="BG1605" s="0" t="s">
        <v>10701</v>
      </c>
      <c r="BI1605" s="0">
        <v>4363</v>
      </c>
      <c r="BK1605" s="0" t="s">
        <v>10702</v>
      </c>
    </row>
    <row r="1606">
      <c r="A1606" s="0">
        <v>6407</v>
      </c>
      <c r="B1606" s="0" t="s">
        <v>10703</v>
      </c>
      <c r="C1606" s="0" t="s">
        <v>339</v>
      </c>
      <c r="D1606" s="0" t="s">
        <v>10468</v>
      </c>
      <c r="E1606" s="0" t="s">
        <v>10704</v>
      </c>
      <c r="F1606" s="0">
        <v>1</v>
      </c>
      <c r="G1606" s="0" t="s">
        <v>508</v>
      </c>
      <c r="I1606" s="0" t="s">
        <v>1268</v>
      </c>
      <c r="J1606" s="0" t="s">
        <v>319</v>
      </c>
      <c r="K1606" s="0" t="s">
        <v>1933</v>
      </c>
      <c r="L1606" s="0" t="s">
        <v>1268</v>
      </c>
      <c r="P1606" s="0" t="s">
        <v>402</v>
      </c>
      <c r="Q1606" s="0" t="s">
        <v>402</v>
      </c>
      <c r="R1606" s="0" t="s">
        <v>1232</v>
      </c>
      <c r="T1606" s="0" t="s">
        <v>10705</v>
      </c>
      <c r="U1606" s="0" t="s">
        <v>10706</v>
      </c>
      <c r="W1606" s="0" t="s">
        <v>10472</v>
      </c>
      <c r="X1606" s="0" t="s">
        <v>347</v>
      </c>
      <c r="Y1606" s="0" t="s">
        <v>56</v>
      </c>
      <c r="Z1606" s="0" t="s">
        <v>570</v>
      </c>
      <c r="AA1606" s="0" t="s">
        <v>55</v>
      </c>
      <c r="AB1606" s="0" t="s">
        <v>531</v>
      </c>
      <c r="AC1606" s="0" t="s">
        <v>532</v>
      </c>
      <c r="AD1606" s="0" t="s">
        <v>572</v>
      </c>
      <c r="AF1606" s="0" t="s">
        <v>301</v>
      </c>
      <c r="AP1606" s="0" t="s">
        <v>305</v>
      </c>
      <c r="BA1606" s="0">
        <v>589</v>
      </c>
      <c r="BB1606" s="0" t="s">
        <v>232</v>
      </c>
      <c r="BC1606" s="0">
        <v>2</v>
      </c>
      <c r="BD1606" s="0">
        <v>8</v>
      </c>
      <c r="BE1606" s="0">
        <v>519203</v>
      </c>
      <c r="BF1606" s="0">
        <v>4</v>
      </c>
      <c r="BG1606" s="0" t="s">
        <v>10707</v>
      </c>
      <c r="BI1606" s="0">
        <v>4303</v>
      </c>
      <c r="BK1606" s="0" t="s">
        <v>10708</v>
      </c>
    </row>
    <row r="1607">
      <c r="A1607" s="0">
        <v>6522</v>
      </c>
      <c r="C1607" s="0" t="s">
        <v>315</v>
      </c>
      <c r="D1607" s="0" t="s">
        <v>10468</v>
      </c>
      <c r="E1607" s="0" t="s">
        <v>10709</v>
      </c>
      <c r="F1607" s="0">
        <v>1</v>
      </c>
      <c r="G1607" s="0" t="s">
        <v>400</v>
      </c>
      <c r="I1607" s="0" t="s">
        <v>469</v>
      </c>
      <c r="J1607" s="0" t="s">
        <v>4191</v>
      </c>
      <c r="L1607" s="0" t="s">
        <v>918</v>
      </c>
      <c r="M1607" s="0" t="s">
        <v>496</v>
      </c>
      <c r="O1607" s="0" t="s">
        <v>469</v>
      </c>
      <c r="P1607" s="0" t="s">
        <v>4471</v>
      </c>
      <c r="Q1607" s="0" t="s">
        <v>4471</v>
      </c>
      <c r="R1607" s="0" t="s">
        <v>2007</v>
      </c>
      <c r="T1607" s="0" t="s">
        <v>10710</v>
      </c>
      <c r="U1607" s="0" t="s">
        <v>10711</v>
      </c>
      <c r="W1607" s="0" t="s">
        <v>10472</v>
      </c>
      <c r="X1607" s="0" t="s">
        <v>347</v>
      </c>
      <c r="Y1607" s="0" t="s">
        <v>56</v>
      </c>
      <c r="Z1607" s="0" t="s">
        <v>570</v>
      </c>
      <c r="AA1607" s="0" t="s">
        <v>55</v>
      </c>
      <c r="AB1607" s="0" t="s">
        <v>531</v>
      </c>
      <c r="AC1607" s="0" t="s">
        <v>532</v>
      </c>
      <c r="AD1607" s="0" t="s">
        <v>572</v>
      </c>
      <c r="AF1607" s="0" t="s">
        <v>301</v>
      </c>
      <c r="AP1607" s="0" t="s">
        <v>305</v>
      </c>
      <c r="BA1607" s="0">
        <v>589</v>
      </c>
      <c r="BB1607" s="0" t="s">
        <v>232</v>
      </c>
      <c r="BC1607" s="0">
        <v>2</v>
      </c>
      <c r="BD1607" s="0">
        <v>374043</v>
      </c>
      <c r="BE1607" s="0">
        <v>519203</v>
      </c>
      <c r="BF1607" s="0">
        <v>4</v>
      </c>
      <c r="BG1607" s="0" t="s">
        <v>10712</v>
      </c>
      <c r="BI1607" s="0">
        <v>5219</v>
      </c>
      <c r="BK1607" s="0" t="s">
        <v>10713</v>
      </c>
    </row>
    <row r="1608">
      <c r="A1608" s="0">
        <v>6402</v>
      </c>
      <c r="B1608" s="0" t="s">
        <v>10714</v>
      </c>
      <c r="C1608" s="0" t="s">
        <v>315</v>
      </c>
      <c r="D1608" s="0" t="s">
        <v>10468</v>
      </c>
      <c r="E1608" s="0" t="s">
        <v>10715</v>
      </c>
      <c r="F1608" s="0">
        <v>2</v>
      </c>
      <c r="G1608" s="0" t="s">
        <v>400</v>
      </c>
      <c r="I1608" s="0" t="s">
        <v>469</v>
      </c>
      <c r="J1608" s="0" t="s">
        <v>294</v>
      </c>
      <c r="L1608" s="0" t="s">
        <v>918</v>
      </c>
      <c r="T1608" s="0" t="s">
        <v>10716</v>
      </c>
      <c r="U1608" s="0" t="s">
        <v>10717</v>
      </c>
      <c r="W1608" s="0" t="s">
        <v>10472</v>
      </c>
      <c r="X1608" s="0" t="s">
        <v>347</v>
      </c>
      <c r="Y1608" s="0" t="s">
        <v>56</v>
      </c>
      <c r="Z1608" s="0" t="s">
        <v>570</v>
      </c>
      <c r="AA1608" s="0" t="s">
        <v>55</v>
      </c>
      <c r="AB1608" s="0" t="s">
        <v>531</v>
      </c>
      <c r="AC1608" s="0" t="s">
        <v>532</v>
      </c>
      <c r="AD1608" s="0" t="s">
        <v>572</v>
      </c>
      <c r="AF1608" s="0" t="s">
        <v>301</v>
      </c>
      <c r="AP1608" s="0" t="s">
        <v>305</v>
      </c>
      <c r="BA1608" s="0">
        <v>589</v>
      </c>
      <c r="BB1608" s="0" t="s">
        <v>232</v>
      </c>
      <c r="BC1608" s="0">
        <v>2</v>
      </c>
      <c r="BD1608" s="0">
        <v>374043</v>
      </c>
      <c r="BE1608" s="0">
        <v>519203</v>
      </c>
      <c r="BF1608" s="0">
        <v>4</v>
      </c>
      <c r="BG1608" s="0" t="s">
        <v>10718</v>
      </c>
      <c r="BI1608" s="0">
        <v>3928</v>
      </c>
      <c r="BK1608" s="0" t="s">
        <v>10719</v>
      </c>
    </row>
    <row r="1609">
      <c r="A1609" s="0">
        <v>6389</v>
      </c>
      <c r="B1609" s="0" t="s">
        <v>10720</v>
      </c>
      <c r="C1609" s="0" t="s">
        <v>656</v>
      </c>
      <c r="D1609" s="0" t="s">
        <v>10468</v>
      </c>
      <c r="E1609" s="0" t="s">
        <v>10721</v>
      </c>
      <c r="F1609" s="0">
        <v>3</v>
      </c>
      <c r="G1609" s="0" t="s">
        <v>293</v>
      </c>
      <c r="H1609" s="0" t="s">
        <v>294</v>
      </c>
      <c r="I1609" s="0" t="s">
        <v>10722</v>
      </c>
      <c r="T1609" s="0" t="s">
        <v>10723</v>
      </c>
      <c r="U1609" s="0" t="s">
        <v>10724</v>
      </c>
      <c r="W1609" s="0" t="s">
        <v>10472</v>
      </c>
      <c r="X1609" s="0" t="s">
        <v>347</v>
      </c>
      <c r="Y1609" s="0" t="s">
        <v>56</v>
      </c>
      <c r="Z1609" s="0" t="s">
        <v>570</v>
      </c>
      <c r="AA1609" s="0" t="s">
        <v>55</v>
      </c>
      <c r="AB1609" s="0" t="s">
        <v>531</v>
      </c>
      <c r="AC1609" s="0" t="s">
        <v>532</v>
      </c>
      <c r="AD1609" s="0" t="s">
        <v>572</v>
      </c>
      <c r="AF1609" s="0" t="s">
        <v>301</v>
      </c>
      <c r="AP1609" s="0" t="s">
        <v>305</v>
      </c>
      <c r="BA1609" s="0">
        <v>589</v>
      </c>
      <c r="BB1609" s="0" t="s">
        <v>232</v>
      </c>
      <c r="BC1609" s="0">
        <v>2</v>
      </c>
      <c r="BD1609" s="0">
        <v>10</v>
      </c>
      <c r="BE1609" s="0">
        <v>519203</v>
      </c>
      <c r="BF1609" s="0">
        <v>4</v>
      </c>
      <c r="BG1609" s="0" t="s">
        <v>10725</v>
      </c>
      <c r="BI1609" s="0">
        <v>2785</v>
      </c>
      <c r="BK1609" s="0" t="s">
        <v>10726</v>
      </c>
    </row>
    <row r="1610">
      <c r="A1610" s="0">
        <v>6390</v>
      </c>
      <c r="B1610" s="0" t="s">
        <v>10727</v>
      </c>
      <c r="C1610" s="0" t="s">
        <v>656</v>
      </c>
      <c r="D1610" s="0" t="s">
        <v>10468</v>
      </c>
      <c r="E1610" s="0" t="s">
        <v>10728</v>
      </c>
      <c r="F1610" s="0">
        <v>3</v>
      </c>
      <c r="G1610" s="0" t="s">
        <v>293</v>
      </c>
      <c r="H1610" s="0" t="s">
        <v>294</v>
      </c>
      <c r="I1610" s="0" t="s">
        <v>10722</v>
      </c>
      <c r="T1610" s="0" t="s">
        <v>10723</v>
      </c>
      <c r="U1610" s="0" t="s">
        <v>10729</v>
      </c>
      <c r="W1610" s="0" t="s">
        <v>10472</v>
      </c>
      <c r="X1610" s="0" t="s">
        <v>347</v>
      </c>
      <c r="Y1610" s="0" t="s">
        <v>56</v>
      </c>
      <c r="Z1610" s="0" t="s">
        <v>570</v>
      </c>
      <c r="AA1610" s="0" t="s">
        <v>55</v>
      </c>
      <c r="AB1610" s="0" t="s">
        <v>531</v>
      </c>
      <c r="AC1610" s="0" t="s">
        <v>532</v>
      </c>
      <c r="AD1610" s="0" t="s">
        <v>572</v>
      </c>
      <c r="AF1610" s="0" t="s">
        <v>301</v>
      </c>
      <c r="AP1610" s="0" t="s">
        <v>305</v>
      </c>
      <c r="BA1610" s="0">
        <v>589</v>
      </c>
      <c r="BB1610" s="0" t="s">
        <v>232</v>
      </c>
      <c r="BC1610" s="0">
        <v>2</v>
      </c>
      <c r="BD1610" s="0">
        <v>10</v>
      </c>
      <c r="BE1610" s="0">
        <v>519203</v>
      </c>
      <c r="BF1610" s="0">
        <v>4</v>
      </c>
      <c r="BG1610" s="0" t="s">
        <v>10730</v>
      </c>
      <c r="BI1610" s="0">
        <v>2954</v>
      </c>
      <c r="BK1610" s="0" t="s">
        <v>10731</v>
      </c>
    </row>
    <row r="1611">
      <c r="A1611" s="0">
        <v>6483</v>
      </c>
      <c r="B1611" s="0" t="s">
        <v>10732</v>
      </c>
      <c r="C1611" s="0" t="s">
        <v>315</v>
      </c>
      <c r="D1611" s="0" t="s">
        <v>10468</v>
      </c>
      <c r="E1611" s="0" t="s">
        <v>10733</v>
      </c>
      <c r="F1611" s="0">
        <v>2</v>
      </c>
      <c r="G1611" s="0" t="s">
        <v>508</v>
      </c>
      <c r="I1611" s="0" t="s">
        <v>660</v>
      </c>
      <c r="J1611" s="0" t="s">
        <v>319</v>
      </c>
      <c r="K1611" s="0" t="s">
        <v>7303</v>
      </c>
      <c r="L1611" s="0" t="s">
        <v>659</v>
      </c>
      <c r="M1611" s="0" t="s">
        <v>293</v>
      </c>
      <c r="N1611" s="0" t="s">
        <v>294</v>
      </c>
      <c r="O1611" s="0" t="s">
        <v>295</v>
      </c>
      <c r="P1611" s="0" t="s">
        <v>323</v>
      </c>
      <c r="Q1611" s="0" t="s">
        <v>343</v>
      </c>
      <c r="R1611" s="0" t="s">
        <v>324</v>
      </c>
      <c r="T1611" s="0" t="s">
        <v>10734</v>
      </c>
      <c r="U1611" s="0" t="s">
        <v>10735</v>
      </c>
      <c r="W1611" s="0" t="s">
        <v>10472</v>
      </c>
      <c r="X1611" s="0" t="s">
        <v>347</v>
      </c>
      <c r="Y1611" s="0" t="s">
        <v>56</v>
      </c>
      <c r="Z1611" s="0" t="s">
        <v>570</v>
      </c>
      <c r="AA1611" s="0" t="s">
        <v>55</v>
      </c>
      <c r="AB1611" s="0" t="s">
        <v>531</v>
      </c>
      <c r="AC1611" s="0" t="s">
        <v>532</v>
      </c>
      <c r="AD1611" s="0" t="s">
        <v>572</v>
      </c>
      <c r="AF1611" s="0" t="s">
        <v>301</v>
      </c>
      <c r="AP1611" s="0" t="s">
        <v>305</v>
      </c>
      <c r="BA1611" s="0">
        <v>589</v>
      </c>
      <c r="BB1611" s="0" t="s">
        <v>232</v>
      </c>
      <c r="BC1611" s="0">
        <v>2</v>
      </c>
      <c r="BD1611" s="0">
        <v>374043</v>
      </c>
      <c r="BE1611" s="0">
        <v>519203</v>
      </c>
      <c r="BF1611" s="0">
        <v>4</v>
      </c>
      <c r="BG1611" s="0" t="s">
        <v>10736</v>
      </c>
      <c r="BI1611" s="0">
        <v>5152</v>
      </c>
      <c r="BK1611" s="0" t="s">
        <v>10737</v>
      </c>
    </row>
    <row r="1612">
      <c r="A1612" s="0">
        <v>6492</v>
      </c>
      <c r="B1612" s="0" t="s">
        <v>10738</v>
      </c>
      <c r="C1612" s="0" t="s">
        <v>315</v>
      </c>
      <c r="D1612" s="0" t="s">
        <v>10468</v>
      </c>
      <c r="E1612" s="0" t="s">
        <v>10739</v>
      </c>
      <c r="F1612" s="0">
        <v>2</v>
      </c>
      <c r="G1612" s="0" t="s">
        <v>508</v>
      </c>
      <c r="I1612" s="0" t="s">
        <v>549</v>
      </c>
      <c r="J1612" s="0" t="s">
        <v>319</v>
      </c>
      <c r="K1612" s="0" t="s">
        <v>7303</v>
      </c>
      <c r="L1612" s="0" t="s">
        <v>549</v>
      </c>
      <c r="P1612" s="0" t="s">
        <v>323</v>
      </c>
      <c r="Q1612" s="0" t="s">
        <v>343</v>
      </c>
      <c r="R1612" s="0" t="s">
        <v>549</v>
      </c>
      <c r="T1612" s="0" t="s">
        <v>10740</v>
      </c>
      <c r="U1612" s="0" t="s">
        <v>10741</v>
      </c>
      <c r="W1612" s="0" t="s">
        <v>10472</v>
      </c>
      <c r="X1612" s="0" t="s">
        <v>347</v>
      </c>
      <c r="Y1612" s="0" t="s">
        <v>56</v>
      </c>
      <c r="Z1612" s="0" t="s">
        <v>570</v>
      </c>
      <c r="AA1612" s="0" t="s">
        <v>55</v>
      </c>
      <c r="AB1612" s="0" t="s">
        <v>531</v>
      </c>
      <c r="AC1612" s="0" t="s">
        <v>532</v>
      </c>
      <c r="AD1612" s="0" t="s">
        <v>572</v>
      </c>
      <c r="AF1612" s="0" t="s">
        <v>301</v>
      </c>
      <c r="AP1612" s="0" t="s">
        <v>305</v>
      </c>
      <c r="BA1612" s="0">
        <v>589</v>
      </c>
      <c r="BB1612" s="0" t="s">
        <v>232</v>
      </c>
      <c r="BC1612" s="0">
        <v>2</v>
      </c>
      <c r="BD1612" s="0">
        <v>374043</v>
      </c>
      <c r="BE1612" s="0">
        <v>519203</v>
      </c>
      <c r="BF1612" s="0">
        <v>4</v>
      </c>
      <c r="BG1612" s="0" t="s">
        <v>10742</v>
      </c>
      <c r="BI1612" s="0">
        <v>5206</v>
      </c>
      <c r="BK1612" s="0" t="s">
        <v>10743</v>
      </c>
    </row>
    <row r="1613">
      <c r="A1613" s="0">
        <v>6490</v>
      </c>
      <c r="B1613" s="0" t="s">
        <v>10744</v>
      </c>
      <c r="C1613" s="0" t="s">
        <v>315</v>
      </c>
      <c r="D1613" s="0" t="s">
        <v>10468</v>
      </c>
      <c r="E1613" s="0" t="s">
        <v>10745</v>
      </c>
      <c r="F1613" s="0">
        <v>1</v>
      </c>
      <c r="G1613" s="0" t="s">
        <v>508</v>
      </c>
      <c r="I1613" s="0" t="s">
        <v>549</v>
      </c>
      <c r="J1613" s="0" t="s">
        <v>319</v>
      </c>
      <c r="K1613" s="0" t="s">
        <v>7303</v>
      </c>
      <c r="L1613" s="0" t="s">
        <v>549</v>
      </c>
      <c r="P1613" s="0" t="s">
        <v>323</v>
      </c>
      <c r="Q1613" s="0" t="s">
        <v>323</v>
      </c>
      <c r="R1613" s="0" t="s">
        <v>2007</v>
      </c>
      <c r="T1613" s="0" t="s">
        <v>10746</v>
      </c>
      <c r="U1613" s="0" t="s">
        <v>10747</v>
      </c>
      <c r="W1613" s="0" t="s">
        <v>10472</v>
      </c>
      <c r="X1613" s="0" t="s">
        <v>347</v>
      </c>
      <c r="Y1613" s="0" t="s">
        <v>56</v>
      </c>
      <c r="Z1613" s="0" t="s">
        <v>570</v>
      </c>
      <c r="AA1613" s="0" t="s">
        <v>55</v>
      </c>
      <c r="AB1613" s="0" t="s">
        <v>531</v>
      </c>
      <c r="AC1613" s="0" t="s">
        <v>532</v>
      </c>
      <c r="AD1613" s="0" t="s">
        <v>572</v>
      </c>
      <c r="AF1613" s="0" t="s">
        <v>301</v>
      </c>
      <c r="AP1613" s="0" t="s">
        <v>305</v>
      </c>
      <c r="BA1613" s="0">
        <v>589</v>
      </c>
      <c r="BB1613" s="0" t="s">
        <v>232</v>
      </c>
      <c r="BC1613" s="0">
        <v>2</v>
      </c>
      <c r="BD1613" s="0">
        <v>374043</v>
      </c>
      <c r="BE1613" s="0">
        <v>519203</v>
      </c>
      <c r="BF1613" s="0">
        <v>4</v>
      </c>
      <c r="BG1613" s="0" t="s">
        <v>10748</v>
      </c>
      <c r="BI1613" s="0">
        <v>5196</v>
      </c>
      <c r="BK1613" s="0" t="s">
        <v>10749</v>
      </c>
    </row>
    <row r="1614">
      <c r="A1614" s="0">
        <v>6481</v>
      </c>
      <c r="B1614" s="0" t="s">
        <v>10750</v>
      </c>
      <c r="C1614" s="0" t="s">
        <v>2060</v>
      </c>
      <c r="D1614" s="0" t="s">
        <v>10468</v>
      </c>
      <c r="E1614" s="0" t="s">
        <v>10751</v>
      </c>
      <c r="F1614" s="0">
        <v>1</v>
      </c>
      <c r="G1614" s="0" t="s">
        <v>508</v>
      </c>
      <c r="I1614" s="0" t="s">
        <v>660</v>
      </c>
      <c r="J1614" s="0" t="s">
        <v>319</v>
      </c>
      <c r="K1614" s="0" t="s">
        <v>7303</v>
      </c>
      <c r="L1614" s="0" t="s">
        <v>659</v>
      </c>
      <c r="M1614" s="0" t="s">
        <v>293</v>
      </c>
      <c r="N1614" s="0" t="s">
        <v>294</v>
      </c>
      <c r="O1614" s="0" t="s">
        <v>295</v>
      </c>
      <c r="P1614" s="0" t="s">
        <v>323</v>
      </c>
      <c r="Q1614" s="0" t="s">
        <v>323</v>
      </c>
      <c r="R1614" s="0" t="s">
        <v>324</v>
      </c>
      <c r="T1614" s="0" t="s">
        <v>10752</v>
      </c>
      <c r="U1614" s="0" t="s">
        <v>10753</v>
      </c>
      <c r="W1614" s="0" t="s">
        <v>10472</v>
      </c>
      <c r="X1614" s="0" t="s">
        <v>347</v>
      </c>
      <c r="Y1614" s="0" t="s">
        <v>56</v>
      </c>
      <c r="Z1614" s="0" t="s">
        <v>570</v>
      </c>
      <c r="AA1614" s="0" t="s">
        <v>55</v>
      </c>
      <c r="AB1614" s="0" t="s">
        <v>531</v>
      </c>
      <c r="AC1614" s="0" t="s">
        <v>532</v>
      </c>
      <c r="AD1614" s="0" t="s">
        <v>572</v>
      </c>
      <c r="AF1614" s="0" t="s">
        <v>301</v>
      </c>
      <c r="AP1614" s="0" t="s">
        <v>305</v>
      </c>
      <c r="BA1614" s="0">
        <v>589</v>
      </c>
      <c r="BB1614" s="0" t="s">
        <v>232</v>
      </c>
      <c r="BC1614" s="0">
        <v>2</v>
      </c>
      <c r="BD1614" s="0">
        <v>374064</v>
      </c>
      <c r="BE1614" s="0">
        <v>519203</v>
      </c>
      <c r="BF1614" s="0">
        <v>4</v>
      </c>
      <c r="BG1614" s="0" t="s">
        <v>10754</v>
      </c>
      <c r="BI1614" s="0">
        <v>5139</v>
      </c>
      <c r="BK1614" s="0" t="s">
        <v>10755</v>
      </c>
    </row>
    <row r="1615">
      <c r="A1615" s="0">
        <v>6491</v>
      </c>
      <c r="B1615" s="0" t="s">
        <v>10756</v>
      </c>
      <c r="C1615" s="0" t="s">
        <v>315</v>
      </c>
      <c r="D1615" s="0" t="s">
        <v>10468</v>
      </c>
      <c r="E1615" s="0" t="s">
        <v>10757</v>
      </c>
      <c r="F1615" s="0">
        <v>2</v>
      </c>
      <c r="G1615" s="0" t="s">
        <v>508</v>
      </c>
      <c r="I1615" s="0" t="s">
        <v>549</v>
      </c>
      <c r="J1615" s="0" t="s">
        <v>319</v>
      </c>
      <c r="K1615" s="0" t="s">
        <v>7303</v>
      </c>
      <c r="L1615" s="0" t="s">
        <v>549</v>
      </c>
      <c r="P1615" s="0" t="s">
        <v>323</v>
      </c>
      <c r="Q1615" s="0" t="s">
        <v>323</v>
      </c>
      <c r="R1615" s="0" t="s">
        <v>2007</v>
      </c>
      <c r="T1615" s="0" t="s">
        <v>10758</v>
      </c>
      <c r="U1615" s="0" t="s">
        <v>10759</v>
      </c>
      <c r="W1615" s="0" t="s">
        <v>10472</v>
      </c>
      <c r="X1615" s="0" t="s">
        <v>347</v>
      </c>
      <c r="Y1615" s="0" t="s">
        <v>56</v>
      </c>
      <c r="Z1615" s="0" t="s">
        <v>570</v>
      </c>
      <c r="AA1615" s="0" t="s">
        <v>55</v>
      </c>
      <c r="AB1615" s="0" t="s">
        <v>531</v>
      </c>
      <c r="AC1615" s="0" t="s">
        <v>532</v>
      </c>
      <c r="AD1615" s="0" t="s">
        <v>572</v>
      </c>
      <c r="AF1615" s="0" t="s">
        <v>301</v>
      </c>
      <c r="AP1615" s="0" t="s">
        <v>305</v>
      </c>
      <c r="BA1615" s="0">
        <v>589</v>
      </c>
      <c r="BB1615" s="0" t="s">
        <v>232</v>
      </c>
      <c r="BC1615" s="0">
        <v>2</v>
      </c>
      <c r="BD1615" s="0">
        <v>374043</v>
      </c>
      <c r="BE1615" s="0">
        <v>519203</v>
      </c>
      <c r="BF1615" s="0">
        <v>4</v>
      </c>
      <c r="BG1615" s="0" t="s">
        <v>10760</v>
      </c>
      <c r="BI1615" s="0">
        <v>5201</v>
      </c>
      <c r="BK1615" s="0" t="s">
        <v>10761</v>
      </c>
    </row>
    <row r="1616">
      <c r="A1616" s="0">
        <v>6482</v>
      </c>
      <c r="B1616" s="0" t="s">
        <v>10762</v>
      </c>
      <c r="C1616" s="0" t="s">
        <v>315</v>
      </c>
      <c r="D1616" s="0" t="s">
        <v>10468</v>
      </c>
      <c r="E1616" s="0" t="s">
        <v>10763</v>
      </c>
      <c r="F1616" s="0">
        <v>2</v>
      </c>
      <c r="G1616" s="0" t="s">
        <v>508</v>
      </c>
      <c r="I1616" s="0" t="s">
        <v>660</v>
      </c>
      <c r="J1616" s="0" t="s">
        <v>319</v>
      </c>
      <c r="K1616" s="0" t="s">
        <v>7303</v>
      </c>
      <c r="L1616" s="0" t="s">
        <v>659</v>
      </c>
      <c r="M1616" s="0" t="s">
        <v>293</v>
      </c>
      <c r="N1616" s="0" t="s">
        <v>294</v>
      </c>
      <c r="O1616" s="0" t="s">
        <v>295</v>
      </c>
      <c r="P1616" s="0" t="s">
        <v>323</v>
      </c>
      <c r="Q1616" s="0" t="s">
        <v>323</v>
      </c>
      <c r="R1616" s="0" t="s">
        <v>324</v>
      </c>
      <c r="T1616" s="0" t="s">
        <v>10764</v>
      </c>
      <c r="U1616" s="0" t="s">
        <v>10765</v>
      </c>
      <c r="W1616" s="0" t="s">
        <v>10472</v>
      </c>
      <c r="X1616" s="0" t="s">
        <v>347</v>
      </c>
      <c r="Y1616" s="0" t="s">
        <v>56</v>
      </c>
      <c r="Z1616" s="0" t="s">
        <v>570</v>
      </c>
      <c r="AA1616" s="0" t="s">
        <v>55</v>
      </c>
      <c r="AB1616" s="0" t="s">
        <v>531</v>
      </c>
      <c r="AC1616" s="0" t="s">
        <v>532</v>
      </c>
      <c r="AD1616" s="0" t="s">
        <v>572</v>
      </c>
      <c r="AF1616" s="0" t="s">
        <v>301</v>
      </c>
      <c r="AP1616" s="0" t="s">
        <v>305</v>
      </c>
      <c r="BA1616" s="0">
        <v>589</v>
      </c>
      <c r="BB1616" s="0" t="s">
        <v>232</v>
      </c>
      <c r="BC1616" s="0">
        <v>2</v>
      </c>
      <c r="BD1616" s="0">
        <v>374043</v>
      </c>
      <c r="BE1616" s="0">
        <v>519203</v>
      </c>
      <c r="BF1616" s="0">
        <v>4</v>
      </c>
      <c r="BG1616" s="0" t="s">
        <v>10766</v>
      </c>
      <c r="BI1616" s="0">
        <v>5145</v>
      </c>
      <c r="BK1616" s="0" t="s">
        <v>10767</v>
      </c>
    </row>
    <row r="1617">
      <c r="A1617" s="0">
        <v>6488</v>
      </c>
      <c r="B1617" s="0" t="s">
        <v>10768</v>
      </c>
      <c r="C1617" s="0" t="s">
        <v>315</v>
      </c>
      <c r="D1617" s="0" t="s">
        <v>10468</v>
      </c>
      <c r="E1617" s="0" t="s">
        <v>10769</v>
      </c>
      <c r="F1617" s="0">
        <v>1</v>
      </c>
      <c r="G1617" s="0" t="s">
        <v>508</v>
      </c>
      <c r="I1617" s="0" t="s">
        <v>549</v>
      </c>
      <c r="J1617" s="0" t="s">
        <v>319</v>
      </c>
      <c r="K1617" s="0" t="s">
        <v>7303</v>
      </c>
      <c r="L1617" s="0" t="s">
        <v>549</v>
      </c>
      <c r="M1617" s="0" t="s">
        <v>293</v>
      </c>
      <c r="N1617" s="0" t="s">
        <v>294</v>
      </c>
      <c r="O1617" s="0" t="s">
        <v>295</v>
      </c>
      <c r="P1617" s="0" t="s">
        <v>323</v>
      </c>
      <c r="Q1617" s="0" t="s">
        <v>323</v>
      </c>
      <c r="R1617" s="0" t="s">
        <v>2007</v>
      </c>
      <c r="T1617" s="0" t="s">
        <v>10770</v>
      </c>
      <c r="U1617" s="0" t="s">
        <v>10771</v>
      </c>
      <c r="W1617" s="0" t="s">
        <v>10472</v>
      </c>
      <c r="X1617" s="0" t="s">
        <v>347</v>
      </c>
      <c r="Y1617" s="0" t="s">
        <v>56</v>
      </c>
      <c r="Z1617" s="0" t="s">
        <v>570</v>
      </c>
      <c r="AA1617" s="0" t="s">
        <v>55</v>
      </c>
      <c r="AB1617" s="0" t="s">
        <v>531</v>
      </c>
      <c r="AC1617" s="0" t="s">
        <v>532</v>
      </c>
      <c r="AD1617" s="0" t="s">
        <v>572</v>
      </c>
      <c r="AF1617" s="0" t="s">
        <v>301</v>
      </c>
      <c r="AP1617" s="0" t="s">
        <v>305</v>
      </c>
      <c r="BA1617" s="0">
        <v>589</v>
      </c>
      <c r="BB1617" s="0" t="s">
        <v>232</v>
      </c>
      <c r="BC1617" s="0">
        <v>2</v>
      </c>
      <c r="BD1617" s="0">
        <v>374043</v>
      </c>
      <c r="BE1617" s="0">
        <v>519203</v>
      </c>
      <c r="BF1617" s="0">
        <v>4</v>
      </c>
      <c r="BG1617" s="0" t="s">
        <v>10772</v>
      </c>
      <c r="BI1617" s="0">
        <v>5185</v>
      </c>
      <c r="BK1617" s="0" t="s">
        <v>10773</v>
      </c>
    </row>
    <row r="1618">
      <c r="A1618" s="0">
        <v>6479</v>
      </c>
      <c r="B1618" s="0" t="s">
        <v>10774</v>
      </c>
      <c r="C1618" s="0" t="s">
        <v>315</v>
      </c>
      <c r="D1618" s="0" t="s">
        <v>10468</v>
      </c>
      <c r="E1618" s="0" t="s">
        <v>10775</v>
      </c>
      <c r="F1618" s="0">
        <v>1</v>
      </c>
      <c r="G1618" s="0" t="s">
        <v>319</v>
      </c>
      <c r="H1618" s="0" t="s">
        <v>10776</v>
      </c>
      <c r="I1618" s="0" t="s">
        <v>659</v>
      </c>
      <c r="J1618" s="0" t="s">
        <v>508</v>
      </c>
      <c r="L1618" s="0" t="s">
        <v>660</v>
      </c>
      <c r="M1618" s="0" t="s">
        <v>293</v>
      </c>
      <c r="N1618" s="0" t="s">
        <v>294</v>
      </c>
      <c r="O1618" s="0" t="s">
        <v>295</v>
      </c>
      <c r="P1618" s="0" t="s">
        <v>323</v>
      </c>
      <c r="Q1618" s="0" t="s">
        <v>323</v>
      </c>
      <c r="R1618" s="0" t="s">
        <v>324</v>
      </c>
      <c r="T1618" s="0" t="s">
        <v>10777</v>
      </c>
      <c r="U1618" s="0" t="s">
        <v>10778</v>
      </c>
      <c r="W1618" s="0" t="s">
        <v>10472</v>
      </c>
      <c r="X1618" s="0" t="s">
        <v>347</v>
      </c>
      <c r="Y1618" s="0" t="s">
        <v>56</v>
      </c>
      <c r="Z1618" s="0" t="s">
        <v>570</v>
      </c>
      <c r="AA1618" s="0" t="s">
        <v>55</v>
      </c>
      <c r="AB1618" s="0" t="s">
        <v>531</v>
      </c>
      <c r="AC1618" s="0" t="s">
        <v>532</v>
      </c>
      <c r="AD1618" s="0" t="s">
        <v>572</v>
      </c>
      <c r="AF1618" s="0" t="s">
        <v>301</v>
      </c>
      <c r="AP1618" s="0" t="s">
        <v>305</v>
      </c>
      <c r="BA1618" s="0">
        <v>589</v>
      </c>
      <c r="BB1618" s="0" t="s">
        <v>232</v>
      </c>
      <c r="BC1618" s="0">
        <v>2</v>
      </c>
      <c r="BD1618" s="0">
        <v>374043</v>
      </c>
      <c r="BE1618" s="0">
        <v>519203</v>
      </c>
      <c r="BF1618" s="0">
        <v>4</v>
      </c>
      <c r="BG1618" s="0" t="s">
        <v>10779</v>
      </c>
      <c r="BI1618" s="0">
        <v>5127</v>
      </c>
      <c r="BK1618" s="0" t="s">
        <v>10780</v>
      </c>
    </row>
    <row r="1619">
      <c r="A1619" s="0">
        <v>6487</v>
      </c>
      <c r="B1619" s="0" t="s">
        <v>10781</v>
      </c>
      <c r="C1619" s="0" t="s">
        <v>315</v>
      </c>
      <c r="D1619" s="0" t="s">
        <v>10468</v>
      </c>
      <c r="E1619" s="0" t="s">
        <v>10782</v>
      </c>
      <c r="F1619" s="0">
        <v>1</v>
      </c>
      <c r="G1619" s="0" t="s">
        <v>508</v>
      </c>
      <c r="I1619" s="0" t="s">
        <v>549</v>
      </c>
      <c r="J1619" s="0" t="s">
        <v>319</v>
      </c>
      <c r="K1619" s="0" t="s">
        <v>7303</v>
      </c>
      <c r="L1619" s="0" t="s">
        <v>549</v>
      </c>
      <c r="M1619" s="0" t="s">
        <v>293</v>
      </c>
      <c r="N1619" s="0" t="s">
        <v>294</v>
      </c>
      <c r="O1619" s="0" t="s">
        <v>295</v>
      </c>
      <c r="P1619" s="0" t="s">
        <v>323</v>
      </c>
      <c r="Q1619" s="0" t="s">
        <v>323</v>
      </c>
      <c r="R1619" s="0" t="s">
        <v>2007</v>
      </c>
      <c r="T1619" s="0" t="s">
        <v>10783</v>
      </c>
      <c r="U1619" s="0" t="s">
        <v>10784</v>
      </c>
      <c r="W1619" s="0" t="s">
        <v>10472</v>
      </c>
      <c r="X1619" s="0" t="s">
        <v>347</v>
      </c>
      <c r="Y1619" s="0" t="s">
        <v>56</v>
      </c>
      <c r="Z1619" s="0" t="s">
        <v>570</v>
      </c>
      <c r="AA1619" s="0" t="s">
        <v>55</v>
      </c>
      <c r="AB1619" s="0" t="s">
        <v>531</v>
      </c>
      <c r="AC1619" s="0" t="s">
        <v>532</v>
      </c>
      <c r="AD1619" s="0" t="s">
        <v>572</v>
      </c>
      <c r="AF1619" s="0" t="s">
        <v>301</v>
      </c>
      <c r="AP1619" s="0" t="s">
        <v>305</v>
      </c>
      <c r="BA1619" s="0">
        <v>589</v>
      </c>
      <c r="BB1619" s="0" t="s">
        <v>232</v>
      </c>
      <c r="BC1619" s="0">
        <v>2</v>
      </c>
      <c r="BD1619" s="0">
        <v>374043</v>
      </c>
      <c r="BE1619" s="0">
        <v>519203</v>
      </c>
      <c r="BF1619" s="0">
        <v>4</v>
      </c>
      <c r="BG1619" s="0" t="s">
        <v>10785</v>
      </c>
      <c r="BI1619" s="0">
        <v>5179</v>
      </c>
      <c r="BK1619" s="0" t="s">
        <v>10786</v>
      </c>
    </row>
    <row r="1620">
      <c r="A1620" s="0">
        <v>6478</v>
      </c>
      <c r="B1620" s="0" t="s">
        <v>10787</v>
      </c>
      <c r="C1620" s="0" t="s">
        <v>315</v>
      </c>
      <c r="D1620" s="0" t="s">
        <v>10468</v>
      </c>
      <c r="E1620" s="0" t="s">
        <v>10788</v>
      </c>
      <c r="F1620" s="0">
        <v>1</v>
      </c>
      <c r="G1620" s="0" t="s">
        <v>319</v>
      </c>
      <c r="H1620" s="0" t="s">
        <v>7303</v>
      </c>
      <c r="I1620" s="0" t="s">
        <v>659</v>
      </c>
      <c r="J1620" s="0" t="s">
        <v>508</v>
      </c>
      <c r="L1620" s="0" t="s">
        <v>660</v>
      </c>
      <c r="M1620" s="0" t="s">
        <v>294</v>
      </c>
      <c r="O1620" s="0" t="s">
        <v>295</v>
      </c>
      <c r="P1620" s="0" t="s">
        <v>323</v>
      </c>
      <c r="Q1620" s="0" t="s">
        <v>323</v>
      </c>
      <c r="R1620" s="0" t="s">
        <v>324</v>
      </c>
      <c r="T1620" s="0" t="s">
        <v>10595</v>
      </c>
      <c r="U1620" s="0" t="s">
        <v>10789</v>
      </c>
      <c r="W1620" s="0" t="s">
        <v>10472</v>
      </c>
      <c r="X1620" s="0" t="s">
        <v>347</v>
      </c>
      <c r="Y1620" s="0" t="s">
        <v>56</v>
      </c>
      <c r="Z1620" s="0" t="s">
        <v>570</v>
      </c>
      <c r="AA1620" s="0" t="s">
        <v>55</v>
      </c>
      <c r="AB1620" s="0" t="s">
        <v>531</v>
      </c>
      <c r="AC1620" s="0" t="s">
        <v>532</v>
      </c>
      <c r="AD1620" s="0" t="s">
        <v>572</v>
      </c>
      <c r="AF1620" s="0" t="s">
        <v>301</v>
      </c>
      <c r="AP1620" s="0" t="s">
        <v>305</v>
      </c>
      <c r="BA1620" s="0">
        <v>589</v>
      </c>
      <c r="BB1620" s="0" t="s">
        <v>232</v>
      </c>
      <c r="BC1620" s="0">
        <v>2</v>
      </c>
      <c r="BD1620" s="0">
        <v>374043</v>
      </c>
      <c r="BE1620" s="0">
        <v>519203</v>
      </c>
      <c r="BF1620" s="0">
        <v>4</v>
      </c>
      <c r="BG1620" s="0" t="s">
        <v>10790</v>
      </c>
      <c r="BI1620" s="0">
        <v>5121</v>
      </c>
      <c r="BK1620" s="0" t="s">
        <v>10791</v>
      </c>
    </row>
    <row r="1621">
      <c r="A1621" s="0">
        <v>6489</v>
      </c>
      <c r="B1621" s="0" t="s">
        <v>10792</v>
      </c>
      <c r="C1621" s="0" t="s">
        <v>315</v>
      </c>
      <c r="D1621" s="0" t="s">
        <v>10468</v>
      </c>
      <c r="E1621" s="0" t="s">
        <v>10793</v>
      </c>
      <c r="F1621" s="0">
        <v>1</v>
      </c>
      <c r="G1621" s="0" t="s">
        <v>319</v>
      </c>
      <c r="H1621" s="0" t="s">
        <v>7303</v>
      </c>
      <c r="I1621" s="0" t="s">
        <v>549</v>
      </c>
      <c r="J1621" s="0" t="s">
        <v>293</v>
      </c>
      <c r="K1621" s="0" t="s">
        <v>294</v>
      </c>
      <c r="L1621" s="0" t="s">
        <v>295</v>
      </c>
      <c r="M1621" s="0" t="s">
        <v>10794</v>
      </c>
      <c r="T1621" s="0" t="s">
        <v>10795</v>
      </c>
      <c r="U1621" s="0" t="s">
        <v>10796</v>
      </c>
      <c r="W1621" s="0" t="s">
        <v>10472</v>
      </c>
      <c r="X1621" s="0" t="s">
        <v>347</v>
      </c>
      <c r="Y1621" s="0" t="s">
        <v>56</v>
      </c>
      <c r="Z1621" s="0" t="s">
        <v>570</v>
      </c>
      <c r="AA1621" s="0" t="s">
        <v>55</v>
      </c>
      <c r="AB1621" s="0" t="s">
        <v>531</v>
      </c>
      <c r="AC1621" s="0" t="s">
        <v>532</v>
      </c>
      <c r="AD1621" s="0" t="s">
        <v>572</v>
      </c>
      <c r="AF1621" s="0" t="s">
        <v>301</v>
      </c>
      <c r="AP1621" s="0" t="s">
        <v>305</v>
      </c>
      <c r="BA1621" s="0">
        <v>589</v>
      </c>
      <c r="BB1621" s="0" t="s">
        <v>232</v>
      </c>
      <c r="BC1621" s="0">
        <v>2</v>
      </c>
      <c r="BD1621" s="0">
        <v>374043</v>
      </c>
      <c r="BE1621" s="0">
        <v>519203</v>
      </c>
      <c r="BF1621" s="0">
        <v>4</v>
      </c>
      <c r="BG1621" s="0" t="s">
        <v>10797</v>
      </c>
      <c r="BI1621" s="0">
        <v>5191</v>
      </c>
      <c r="BK1621" s="0" t="s">
        <v>10798</v>
      </c>
    </row>
    <row r="1622">
      <c r="A1622" s="0">
        <v>6480</v>
      </c>
      <c r="B1622" s="0" t="s">
        <v>10799</v>
      </c>
      <c r="C1622" s="0" t="s">
        <v>315</v>
      </c>
      <c r="D1622" s="0" t="s">
        <v>10468</v>
      </c>
      <c r="E1622" s="0" t="s">
        <v>10800</v>
      </c>
      <c r="F1622" s="0">
        <v>1</v>
      </c>
      <c r="G1622" s="0" t="s">
        <v>10794</v>
      </c>
      <c r="J1622" s="0" t="s">
        <v>319</v>
      </c>
      <c r="K1622" s="0" t="s">
        <v>10776</v>
      </c>
      <c r="L1622" s="0" t="s">
        <v>659</v>
      </c>
      <c r="M1622" s="0" t="s">
        <v>293</v>
      </c>
      <c r="N1622" s="0" t="s">
        <v>294</v>
      </c>
      <c r="O1622" s="0" t="s">
        <v>295</v>
      </c>
      <c r="T1622" s="0" t="s">
        <v>10801</v>
      </c>
      <c r="U1622" s="0" t="s">
        <v>10802</v>
      </c>
      <c r="W1622" s="0" t="s">
        <v>10472</v>
      </c>
      <c r="X1622" s="0" t="s">
        <v>347</v>
      </c>
      <c r="Y1622" s="0" t="s">
        <v>56</v>
      </c>
      <c r="Z1622" s="0" t="s">
        <v>570</v>
      </c>
      <c r="AA1622" s="0" t="s">
        <v>55</v>
      </c>
      <c r="AB1622" s="0" t="s">
        <v>531</v>
      </c>
      <c r="AC1622" s="0" t="s">
        <v>532</v>
      </c>
      <c r="AD1622" s="0" t="s">
        <v>572</v>
      </c>
      <c r="AF1622" s="0" t="s">
        <v>301</v>
      </c>
      <c r="AP1622" s="0" t="s">
        <v>305</v>
      </c>
      <c r="BA1622" s="0">
        <v>589</v>
      </c>
      <c r="BB1622" s="0" t="s">
        <v>232</v>
      </c>
      <c r="BC1622" s="0">
        <v>2</v>
      </c>
      <c r="BD1622" s="0">
        <v>374043</v>
      </c>
      <c r="BE1622" s="0">
        <v>519203</v>
      </c>
      <c r="BF1622" s="0">
        <v>4</v>
      </c>
      <c r="BG1622" s="0" t="s">
        <v>10803</v>
      </c>
      <c r="BI1622" s="0">
        <v>5132</v>
      </c>
      <c r="BK1622" s="0" t="s">
        <v>10804</v>
      </c>
    </row>
    <row r="1623">
      <c r="A1623" s="0">
        <v>6458</v>
      </c>
      <c r="B1623" s="0" t="s">
        <v>10805</v>
      </c>
      <c r="C1623" s="0" t="s">
        <v>315</v>
      </c>
      <c r="D1623" s="0" t="s">
        <v>10468</v>
      </c>
      <c r="E1623" s="0" t="s">
        <v>10806</v>
      </c>
      <c r="F1623" s="0">
        <v>6</v>
      </c>
      <c r="G1623" s="0" t="s">
        <v>400</v>
      </c>
      <c r="I1623" s="0" t="s">
        <v>469</v>
      </c>
      <c r="J1623" s="0" t="s">
        <v>555</v>
      </c>
      <c r="L1623" s="0" t="s">
        <v>10807</v>
      </c>
      <c r="T1623" s="0" t="s">
        <v>10808</v>
      </c>
      <c r="U1623" s="0" t="s">
        <v>10809</v>
      </c>
      <c r="W1623" s="0" t="s">
        <v>10472</v>
      </c>
      <c r="X1623" s="0" t="s">
        <v>347</v>
      </c>
      <c r="Y1623" s="0" t="s">
        <v>56</v>
      </c>
      <c r="Z1623" s="0" t="s">
        <v>570</v>
      </c>
      <c r="AA1623" s="0" t="s">
        <v>55</v>
      </c>
      <c r="AB1623" s="0" t="s">
        <v>531</v>
      </c>
      <c r="AC1623" s="0" t="s">
        <v>532</v>
      </c>
      <c r="AD1623" s="0" t="s">
        <v>572</v>
      </c>
      <c r="AF1623" s="0" t="s">
        <v>301</v>
      </c>
      <c r="AP1623" s="0" t="s">
        <v>305</v>
      </c>
      <c r="BA1623" s="0">
        <v>589</v>
      </c>
      <c r="BB1623" s="0" t="s">
        <v>232</v>
      </c>
      <c r="BC1623" s="0">
        <v>2</v>
      </c>
      <c r="BD1623" s="0">
        <v>374043</v>
      </c>
      <c r="BE1623" s="0">
        <v>519203</v>
      </c>
      <c r="BF1623" s="0">
        <v>4</v>
      </c>
      <c r="BG1623" s="0" t="s">
        <v>10810</v>
      </c>
      <c r="BI1623" s="0">
        <v>4931</v>
      </c>
      <c r="BK1623" s="0" t="s">
        <v>10811</v>
      </c>
    </row>
    <row r="1624">
      <c r="A1624" s="0">
        <v>6459</v>
      </c>
      <c r="B1624" s="0" t="s">
        <v>10812</v>
      </c>
      <c r="C1624" s="0" t="s">
        <v>315</v>
      </c>
      <c r="D1624" s="0" t="s">
        <v>10468</v>
      </c>
      <c r="E1624" s="0" t="s">
        <v>10813</v>
      </c>
      <c r="F1624" s="0">
        <v>6</v>
      </c>
      <c r="G1624" s="0" t="s">
        <v>400</v>
      </c>
      <c r="I1624" s="0" t="s">
        <v>10814</v>
      </c>
      <c r="J1624" s="0" t="s">
        <v>555</v>
      </c>
      <c r="L1624" s="0" t="s">
        <v>10815</v>
      </c>
      <c r="T1624" s="0" t="s">
        <v>10816</v>
      </c>
      <c r="U1624" s="0" t="s">
        <v>10817</v>
      </c>
      <c r="W1624" s="0" t="s">
        <v>10472</v>
      </c>
      <c r="X1624" s="0" t="s">
        <v>347</v>
      </c>
      <c r="Y1624" s="0" t="s">
        <v>56</v>
      </c>
      <c r="Z1624" s="0" t="s">
        <v>570</v>
      </c>
      <c r="AA1624" s="0" t="s">
        <v>55</v>
      </c>
      <c r="AB1624" s="0" t="s">
        <v>531</v>
      </c>
      <c r="AC1624" s="0" t="s">
        <v>532</v>
      </c>
      <c r="AD1624" s="0" t="s">
        <v>572</v>
      </c>
      <c r="AF1624" s="0" t="s">
        <v>301</v>
      </c>
      <c r="AP1624" s="0" t="s">
        <v>305</v>
      </c>
      <c r="BA1624" s="0">
        <v>589</v>
      </c>
      <c r="BB1624" s="0" t="s">
        <v>232</v>
      </c>
      <c r="BC1624" s="0">
        <v>2</v>
      </c>
      <c r="BD1624" s="0">
        <v>374043</v>
      </c>
      <c r="BE1624" s="0">
        <v>519203</v>
      </c>
      <c r="BF1624" s="0">
        <v>4</v>
      </c>
      <c r="BG1624" s="0" t="s">
        <v>10818</v>
      </c>
      <c r="BI1624" s="0">
        <v>4947</v>
      </c>
      <c r="BK1624" s="0" t="s">
        <v>10819</v>
      </c>
    </row>
    <row r="1625">
      <c r="A1625" s="0">
        <v>6452</v>
      </c>
      <c r="B1625" s="0" t="s">
        <v>10820</v>
      </c>
      <c r="C1625" s="0" t="s">
        <v>315</v>
      </c>
      <c r="D1625" s="0" t="s">
        <v>10468</v>
      </c>
      <c r="E1625" s="0" t="s">
        <v>10821</v>
      </c>
      <c r="F1625" s="0">
        <v>1</v>
      </c>
      <c r="G1625" s="0" t="s">
        <v>508</v>
      </c>
      <c r="H1625" s="0" t="s">
        <v>1190</v>
      </c>
      <c r="I1625" s="0" t="s">
        <v>469</v>
      </c>
      <c r="J1625" s="0" t="s">
        <v>400</v>
      </c>
      <c r="K1625" s="0" t="s">
        <v>1190</v>
      </c>
      <c r="L1625" s="0" t="s">
        <v>469</v>
      </c>
      <c r="M1625" s="0" t="s">
        <v>294</v>
      </c>
      <c r="O1625" s="0" t="s">
        <v>295</v>
      </c>
      <c r="T1625" s="0" t="s">
        <v>10822</v>
      </c>
      <c r="U1625" s="0" t="s">
        <v>10823</v>
      </c>
      <c r="W1625" s="0" t="s">
        <v>10472</v>
      </c>
      <c r="X1625" s="0" t="s">
        <v>347</v>
      </c>
      <c r="Y1625" s="0" t="s">
        <v>56</v>
      </c>
      <c r="Z1625" s="0" t="s">
        <v>570</v>
      </c>
      <c r="AA1625" s="0" t="s">
        <v>55</v>
      </c>
      <c r="AB1625" s="0" t="s">
        <v>531</v>
      </c>
      <c r="AC1625" s="0" t="s">
        <v>532</v>
      </c>
      <c r="AD1625" s="0" t="s">
        <v>572</v>
      </c>
      <c r="AF1625" s="0" t="s">
        <v>301</v>
      </c>
      <c r="AP1625" s="0" t="s">
        <v>305</v>
      </c>
      <c r="BA1625" s="0">
        <v>589</v>
      </c>
      <c r="BB1625" s="0" t="s">
        <v>232</v>
      </c>
      <c r="BC1625" s="0">
        <v>2</v>
      </c>
      <c r="BD1625" s="0">
        <v>374043</v>
      </c>
      <c r="BE1625" s="0">
        <v>519203</v>
      </c>
      <c r="BF1625" s="0">
        <v>4</v>
      </c>
      <c r="BG1625" s="0" t="s">
        <v>10824</v>
      </c>
      <c r="BI1625" s="0">
        <v>4828</v>
      </c>
      <c r="BK1625" s="0" t="s">
        <v>10825</v>
      </c>
    </row>
    <row r="1626">
      <c r="A1626" s="0">
        <v>6453</v>
      </c>
      <c r="B1626" s="0" t="s">
        <v>10826</v>
      </c>
      <c r="C1626" s="0" t="s">
        <v>315</v>
      </c>
      <c r="D1626" s="0" t="s">
        <v>10468</v>
      </c>
      <c r="E1626" s="0" t="s">
        <v>10827</v>
      </c>
      <c r="F1626" s="0">
        <v>1</v>
      </c>
      <c r="G1626" s="0" t="s">
        <v>400</v>
      </c>
      <c r="I1626" s="0" t="s">
        <v>10814</v>
      </c>
      <c r="J1626" s="0" t="s">
        <v>508</v>
      </c>
      <c r="L1626" s="0" t="s">
        <v>10814</v>
      </c>
      <c r="M1626" s="0" t="s">
        <v>294</v>
      </c>
      <c r="O1626" s="0" t="s">
        <v>295</v>
      </c>
      <c r="T1626" s="0" t="s">
        <v>10828</v>
      </c>
      <c r="U1626" s="0" t="s">
        <v>10829</v>
      </c>
      <c r="W1626" s="0" t="s">
        <v>10472</v>
      </c>
      <c r="X1626" s="0" t="s">
        <v>347</v>
      </c>
      <c r="Y1626" s="0" t="s">
        <v>56</v>
      </c>
      <c r="Z1626" s="0" t="s">
        <v>570</v>
      </c>
      <c r="AA1626" s="0" t="s">
        <v>55</v>
      </c>
      <c r="AB1626" s="0" t="s">
        <v>531</v>
      </c>
      <c r="AC1626" s="0" t="s">
        <v>532</v>
      </c>
      <c r="AD1626" s="0" t="s">
        <v>572</v>
      </c>
      <c r="AF1626" s="0" t="s">
        <v>301</v>
      </c>
      <c r="AP1626" s="0" t="s">
        <v>305</v>
      </c>
      <c r="BA1626" s="0">
        <v>589</v>
      </c>
      <c r="BB1626" s="0" t="s">
        <v>232</v>
      </c>
      <c r="BC1626" s="0">
        <v>2</v>
      </c>
      <c r="BD1626" s="0">
        <v>374043</v>
      </c>
      <c r="BE1626" s="0">
        <v>519203</v>
      </c>
      <c r="BF1626" s="0">
        <v>4</v>
      </c>
      <c r="BG1626" s="0" t="s">
        <v>10830</v>
      </c>
      <c r="BI1626" s="0">
        <v>4847</v>
      </c>
      <c r="BK1626" s="0" t="s">
        <v>10831</v>
      </c>
    </row>
    <row r="1627">
      <c r="A1627" s="0">
        <v>6455</v>
      </c>
      <c r="B1627" s="0" t="s">
        <v>10832</v>
      </c>
      <c r="C1627" s="0" t="s">
        <v>2060</v>
      </c>
      <c r="D1627" s="0" t="s">
        <v>10468</v>
      </c>
      <c r="E1627" s="0" t="s">
        <v>10833</v>
      </c>
      <c r="F1627" s="0">
        <v>1</v>
      </c>
      <c r="G1627" s="0" t="s">
        <v>508</v>
      </c>
      <c r="I1627" s="0" t="s">
        <v>469</v>
      </c>
      <c r="J1627" s="0" t="s">
        <v>400</v>
      </c>
      <c r="L1627" s="0" t="s">
        <v>469</v>
      </c>
      <c r="M1627" s="0" t="s">
        <v>294</v>
      </c>
      <c r="O1627" s="0" t="s">
        <v>295</v>
      </c>
      <c r="T1627" s="0" t="s">
        <v>10834</v>
      </c>
      <c r="U1627" s="0" t="s">
        <v>10835</v>
      </c>
      <c r="W1627" s="0" t="s">
        <v>10472</v>
      </c>
      <c r="X1627" s="0" t="s">
        <v>347</v>
      </c>
      <c r="Y1627" s="0" t="s">
        <v>56</v>
      </c>
      <c r="Z1627" s="0" t="s">
        <v>570</v>
      </c>
      <c r="AA1627" s="0" t="s">
        <v>55</v>
      </c>
      <c r="AB1627" s="0" t="s">
        <v>531</v>
      </c>
      <c r="AC1627" s="0" t="s">
        <v>532</v>
      </c>
      <c r="AD1627" s="0" t="s">
        <v>572</v>
      </c>
      <c r="AF1627" s="0" t="s">
        <v>301</v>
      </c>
      <c r="AP1627" s="0" t="s">
        <v>305</v>
      </c>
      <c r="BA1627" s="0">
        <v>589</v>
      </c>
      <c r="BB1627" s="0" t="s">
        <v>232</v>
      </c>
      <c r="BC1627" s="0">
        <v>2</v>
      </c>
      <c r="BD1627" s="0">
        <v>374064</v>
      </c>
      <c r="BE1627" s="0">
        <v>519203</v>
      </c>
      <c r="BF1627" s="0">
        <v>4</v>
      </c>
      <c r="BG1627" s="0" t="s">
        <v>10836</v>
      </c>
      <c r="BI1627" s="0">
        <v>4884</v>
      </c>
      <c r="BK1627" s="0" t="s">
        <v>10837</v>
      </c>
    </row>
    <row r="1628">
      <c r="A1628" s="0">
        <v>6457</v>
      </c>
      <c r="B1628" s="0" t="s">
        <v>10838</v>
      </c>
      <c r="C1628" s="0" t="s">
        <v>315</v>
      </c>
      <c r="D1628" s="0" t="s">
        <v>10468</v>
      </c>
      <c r="E1628" s="0" t="s">
        <v>10839</v>
      </c>
      <c r="F1628" s="0">
        <v>1</v>
      </c>
      <c r="G1628" s="0" t="s">
        <v>508</v>
      </c>
      <c r="I1628" s="0" t="s">
        <v>469</v>
      </c>
      <c r="J1628" s="0" t="s">
        <v>400</v>
      </c>
      <c r="L1628" s="0" t="s">
        <v>469</v>
      </c>
      <c r="M1628" s="0" t="s">
        <v>293</v>
      </c>
      <c r="N1628" s="0" t="s">
        <v>294</v>
      </c>
      <c r="O1628" s="0" t="s">
        <v>295</v>
      </c>
      <c r="T1628" s="0" t="s">
        <v>10840</v>
      </c>
      <c r="U1628" s="0" t="s">
        <v>10841</v>
      </c>
      <c r="W1628" s="0" t="s">
        <v>10472</v>
      </c>
      <c r="X1628" s="0" t="s">
        <v>347</v>
      </c>
      <c r="Y1628" s="0" t="s">
        <v>56</v>
      </c>
      <c r="Z1628" s="0" t="s">
        <v>570</v>
      </c>
      <c r="AA1628" s="0" t="s">
        <v>55</v>
      </c>
      <c r="AB1628" s="0" t="s">
        <v>531</v>
      </c>
      <c r="AC1628" s="0" t="s">
        <v>532</v>
      </c>
      <c r="AD1628" s="0" t="s">
        <v>572</v>
      </c>
      <c r="AF1628" s="0" t="s">
        <v>301</v>
      </c>
      <c r="AP1628" s="0" t="s">
        <v>305</v>
      </c>
      <c r="BA1628" s="0">
        <v>589</v>
      </c>
      <c r="BB1628" s="0" t="s">
        <v>232</v>
      </c>
      <c r="BC1628" s="0">
        <v>2</v>
      </c>
      <c r="BD1628" s="0">
        <v>374043</v>
      </c>
      <c r="BE1628" s="0">
        <v>519203</v>
      </c>
      <c r="BF1628" s="0">
        <v>4</v>
      </c>
      <c r="BG1628" s="0" t="s">
        <v>10842</v>
      </c>
      <c r="BI1628" s="0">
        <v>4916</v>
      </c>
      <c r="BK1628" s="0" t="s">
        <v>10843</v>
      </c>
    </row>
    <row r="1629">
      <c r="A1629" s="0">
        <v>6456</v>
      </c>
      <c r="B1629" s="0" t="s">
        <v>10844</v>
      </c>
      <c r="C1629" s="0" t="s">
        <v>315</v>
      </c>
      <c r="D1629" s="0" t="s">
        <v>10468</v>
      </c>
      <c r="E1629" s="0" t="s">
        <v>10845</v>
      </c>
      <c r="F1629" s="0">
        <v>1</v>
      </c>
      <c r="G1629" s="0" t="s">
        <v>508</v>
      </c>
      <c r="I1629" s="0" t="s">
        <v>10814</v>
      </c>
      <c r="J1629" s="0" t="s">
        <v>400</v>
      </c>
      <c r="L1629" s="0" t="s">
        <v>10814</v>
      </c>
      <c r="M1629" s="0" t="s">
        <v>294</v>
      </c>
      <c r="O1629" s="0" t="s">
        <v>295</v>
      </c>
      <c r="T1629" s="0" t="s">
        <v>10846</v>
      </c>
      <c r="U1629" s="0" t="s">
        <v>10847</v>
      </c>
      <c r="W1629" s="0" t="s">
        <v>10472</v>
      </c>
      <c r="X1629" s="0" t="s">
        <v>347</v>
      </c>
      <c r="Y1629" s="0" t="s">
        <v>56</v>
      </c>
      <c r="Z1629" s="0" t="s">
        <v>570</v>
      </c>
      <c r="AA1629" s="0" t="s">
        <v>55</v>
      </c>
      <c r="AB1629" s="0" t="s">
        <v>531</v>
      </c>
      <c r="AC1629" s="0" t="s">
        <v>532</v>
      </c>
      <c r="AD1629" s="0" t="s">
        <v>572</v>
      </c>
      <c r="AF1629" s="0" t="s">
        <v>301</v>
      </c>
      <c r="AP1629" s="0" t="s">
        <v>305</v>
      </c>
      <c r="BA1629" s="0">
        <v>589</v>
      </c>
      <c r="BB1629" s="0" t="s">
        <v>232</v>
      </c>
      <c r="BC1629" s="0">
        <v>2</v>
      </c>
      <c r="BD1629" s="0">
        <v>374043</v>
      </c>
      <c r="BE1629" s="0">
        <v>519203</v>
      </c>
      <c r="BF1629" s="0">
        <v>4</v>
      </c>
      <c r="BG1629" s="0" t="s">
        <v>10848</v>
      </c>
      <c r="BI1629" s="0">
        <v>4901</v>
      </c>
      <c r="BK1629" s="0" t="s">
        <v>10849</v>
      </c>
    </row>
    <row r="1630">
      <c r="A1630" s="0">
        <v>6454</v>
      </c>
      <c r="B1630" s="0" t="s">
        <v>10850</v>
      </c>
      <c r="C1630" s="0" t="s">
        <v>315</v>
      </c>
      <c r="D1630" s="0" t="s">
        <v>10468</v>
      </c>
      <c r="E1630" s="0" t="s">
        <v>10851</v>
      </c>
      <c r="F1630" s="0">
        <v>1</v>
      </c>
      <c r="G1630" s="0" t="s">
        <v>508</v>
      </c>
      <c r="I1630" s="0" t="s">
        <v>10814</v>
      </c>
      <c r="J1630" s="0" t="s">
        <v>400</v>
      </c>
      <c r="L1630" s="0" t="s">
        <v>10814</v>
      </c>
      <c r="M1630" s="0" t="s">
        <v>294</v>
      </c>
      <c r="O1630" s="0" t="s">
        <v>295</v>
      </c>
      <c r="T1630" s="0" t="s">
        <v>10852</v>
      </c>
      <c r="U1630" s="0" t="s">
        <v>10853</v>
      </c>
      <c r="W1630" s="0" t="s">
        <v>10472</v>
      </c>
      <c r="X1630" s="0" t="s">
        <v>347</v>
      </c>
      <c r="Y1630" s="0" t="s">
        <v>56</v>
      </c>
      <c r="Z1630" s="0" t="s">
        <v>570</v>
      </c>
      <c r="AA1630" s="0" t="s">
        <v>55</v>
      </c>
      <c r="AB1630" s="0" t="s">
        <v>531</v>
      </c>
      <c r="AC1630" s="0" t="s">
        <v>532</v>
      </c>
      <c r="AD1630" s="0" t="s">
        <v>572</v>
      </c>
      <c r="AF1630" s="0" t="s">
        <v>301</v>
      </c>
      <c r="AP1630" s="0" t="s">
        <v>305</v>
      </c>
      <c r="BA1630" s="0">
        <v>589</v>
      </c>
      <c r="BB1630" s="0" t="s">
        <v>232</v>
      </c>
      <c r="BC1630" s="0">
        <v>2</v>
      </c>
      <c r="BD1630" s="0">
        <v>374043</v>
      </c>
      <c r="BE1630" s="0">
        <v>519203</v>
      </c>
      <c r="BF1630" s="0">
        <v>4</v>
      </c>
      <c r="BG1630" s="0" t="s">
        <v>10854</v>
      </c>
      <c r="BI1630" s="0">
        <v>4866</v>
      </c>
      <c r="BK1630" s="0" t="s">
        <v>10855</v>
      </c>
    </row>
    <row r="1631">
      <c r="A1631" s="0">
        <v>6448</v>
      </c>
      <c r="B1631" s="0" t="s">
        <v>10856</v>
      </c>
      <c r="C1631" s="0" t="s">
        <v>315</v>
      </c>
      <c r="D1631" s="0" t="s">
        <v>10468</v>
      </c>
      <c r="E1631" s="0" t="s">
        <v>10857</v>
      </c>
      <c r="F1631" s="0">
        <v>1</v>
      </c>
      <c r="G1631" s="0" t="s">
        <v>508</v>
      </c>
      <c r="I1631" s="0" t="s">
        <v>469</v>
      </c>
      <c r="J1631" s="0" t="s">
        <v>592</v>
      </c>
      <c r="K1631" s="0" t="s">
        <v>10858</v>
      </c>
      <c r="P1631" s="0" t="s">
        <v>323</v>
      </c>
      <c r="Q1631" s="0" t="s">
        <v>343</v>
      </c>
      <c r="R1631" s="0" t="s">
        <v>2007</v>
      </c>
      <c r="T1631" s="0" t="s">
        <v>10859</v>
      </c>
      <c r="U1631" s="0" t="s">
        <v>10860</v>
      </c>
      <c r="W1631" s="0" t="s">
        <v>10472</v>
      </c>
      <c r="X1631" s="0" t="s">
        <v>347</v>
      </c>
      <c r="Y1631" s="0" t="s">
        <v>56</v>
      </c>
      <c r="Z1631" s="0" t="s">
        <v>570</v>
      </c>
      <c r="AA1631" s="0" t="s">
        <v>55</v>
      </c>
      <c r="AB1631" s="0" t="s">
        <v>531</v>
      </c>
      <c r="AC1631" s="0" t="s">
        <v>532</v>
      </c>
      <c r="AD1631" s="0" t="s">
        <v>572</v>
      </c>
      <c r="AF1631" s="0" t="s">
        <v>301</v>
      </c>
      <c r="AP1631" s="0" t="s">
        <v>305</v>
      </c>
      <c r="BA1631" s="0">
        <v>589</v>
      </c>
      <c r="BB1631" s="0" t="s">
        <v>232</v>
      </c>
      <c r="BC1631" s="0">
        <v>2</v>
      </c>
      <c r="BD1631" s="0">
        <v>374043</v>
      </c>
      <c r="BE1631" s="0">
        <v>519203</v>
      </c>
      <c r="BF1631" s="0">
        <v>4</v>
      </c>
      <c r="BG1631" s="0" t="s">
        <v>10861</v>
      </c>
      <c r="BI1631" s="0">
        <v>4754</v>
      </c>
      <c r="BK1631" s="0" t="s">
        <v>10862</v>
      </c>
    </row>
    <row r="1632">
      <c r="A1632" s="0">
        <v>6449</v>
      </c>
      <c r="B1632" s="0" t="s">
        <v>10863</v>
      </c>
      <c r="C1632" s="0" t="s">
        <v>315</v>
      </c>
      <c r="D1632" s="0" t="s">
        <v>10468</v>
      </c>
      <c r="E1632" s="0" t="s">
        <v>10864</v>
      </c>
      <c r="F1632" s="0">
        <v>1</v>
      </c>
      <c r="G1632" s="0" t="s">
        <v>508</v>
      </c>
      <c r="I1632" s="0" t="s">
        <v>10814</v>
      </c>
      <c r="J1632" s="0" t="s">
        <v>592</v>
      </c>
      <c r="K1632" s="0" t="s">
        <v>10865</v>
      </c>
      <c r="P1632" s="0" t="s">
        <v>323</v>
      </c>
      <c r="Q1632" s="0" t="s">
        <v>343</v>
      </c>
      <c r="R1632" s="0" t="s">
        <v>324</v>
      </c>
      <c r="T1632" s="0" t="s">
        <v>10866</v>
      </c>
      <c r="U1632" s="0" t="s">
        <v>10867</v>
      </c>
      <c r="W1632" s="0" t="s">
        <v>10472</v>
      </c>
      <c r="X1632" s="0" t="s">
        <v>347</v>
      </c>
      <c r="Y1632" s="0" t="s">
        <v>56</v>
      </c>
      <c r="Z1632" s="0" t="s">
        <v>570</v>
      </c>
      <c r="AA1632" s="0" t="s">
        <v>55</v>
      </c>
      <c r="AB1632" s="0" t="s">
        <v>531</v>
      </c>
      <c r="AC1632" s="0" t="s">
        <v>532</v>
      </c>
      <c r="AD1632" s="0" t="s">
        <v>572</v>
      </c>
      <c r="AF1632" s="0" t="s">
        <v>301</v>
      </c>
      <c r="AP1632" s="0" t="s">
        <v>305</v>
      </c>
      <c r="BA1632" s="0">
        <v>589</v>
      </c>
      <c r="BB1632" s="0" t="s">
        <v>232</v>
      </c>
      <c r="BC1632" s="0">
        <v>2</v>
      </c>
      <c r="BD1632" s="0">
        <v>374043</v>
      </c>
      <c r="BE1632" s="0">
        <v>519203</v>
      </c>
      <c r="BF1632" s="0">
        <v>4</v>
      </c>
      <c r="BG1632" s="0" t="s">
        <v>10868</v>
      </c>
      <c r="BI1632" s="0">
        <v>4773</v>
      </c>
      <c r="BK1632" s="0" t="s">
        <v>10869</v>
      </c>
    </row>
    <row r="1633">
      <c r="A1633" s="0">
        <v>6446</v>
      </c>
      <c r="B1633" s="0" t="s">
        <v>10870</v>
      </c>
      <c r="C1633" s="0" t="s">
        <v>315</v>
      </c>
      <c r="D1633" s="0" t="s">
        <v>10468</v>
      </c>
      <c r="E1633" s="0" t="s">
        <v>10871</v>
      </c>
      <c r="F1633" s="0">
        <v>2</v>
      </c>
      <c r="G1633" s="0" t="s">
        <v>508</v>
      </c>
      <c r="I1633" s="0" t="s">
        <v>469</v>
      </c>
      <c r="J1633" s="0" t="s">
        <v>592</v>
      </c>
      <c r="K1633" s="0" t="s">
        <v>10858</v>
      </c>
      <c r="Q1633" s="0" t="s">
        <v>343</v>
      </c>
      <c r="R1633" s="0" t="s">
        <v>2007</v>
      </c>
      <c r="T1633" s="0" t="s">
        <v>10872</v>
      </c>
      <c r="U1633" s="0" t="s">
        <v>10873</v>
      </c>
      <c r="W1633" s="0" t="s">
        <v>10472</v>
      </c>
      <c r="X1633" s="0" t="s">
        <v>347</v>
      </c>
      <c r="Y1633" s="0" t="s">
        <v>56</v>
      </c>
      <c r="Z1633" s="0" t="s">
        <v>570</v>
      </c>
      <c r="AA1633" s="0" t="s">
        <v>55</v>
      </c>
      <c r="AB1633" s="0" t="s">
        <v>531</v>
      </c>
      <c r="AC1633" s="0" t="s">
        <v>532</v>
      </c>
      <c r="AD1633" s="0" t="s">
        <v>572</v>
      </c>
      <c r="AF1633" s="0" t="s">
        <v>301</v>
      </c>
      <c r="AP1633" s="0" t="s">
        <v>305</v>
      </c>
      <c r="BA1633" s="0">
        <v>589</v>
      </c>
      <c r="BB1633" s="0" t="s">
        <v>232</v>
      </c>
      <c r="BC1633" s="0">
        <v>2</v>
      </c>
      <c r="BD1633" s="0">
        <v>374043</v>
      </c>
      <c r="BE1633" s="0">
        <v>519203</v>
      </c>
      <c r="BF1633" s="0">
        <v>4</v>
      </c>
      <c r="BG1633" s="0" t="s">
        <v>10874</v>
      </c>
      <c r="BI1633" s="0">
        <v>4711</v>
      </c>
      <c r="BK1633" s="0" t="s">
        <v>10875</v>
      </c>
    </row>
    <row r="1634">
      <c r="A1634" s="0">
        <v>6447</v>
      </c>
      <c r="B1634" s="0" t="s">
        <v>10876</v>
      </c>
      <c r="C1634" s="0" t="s">
        <v>315</v>
      </c>
      <c r="D1634" s="0" t="s">
        <v>10468</v>
      </c>
      <c r="E1634" s="0" t="s">
        <v>10877</v>
      </c>
      <c r="F1634" s="0">
        <v>2</v>
      </c>
      <c r="G1634" s="0" t="s">
        <v>508</v>
      </c>
      <c r="I1634" s="0" t="s">
        <v>10814</v>
      </c>
      <c r="J1634" s="0" t="s">
        <v>592</v>
      </c>
      <c r="K1634" s="0" t="s">
        <v>10865</v>
      </c>
      <c r="P1634" s="0" t="s">
        <v>323</v>
      </c>
      <c r="Q1634" s="0" t="s">
        <v>343</v>
      </c>
      <c r="R1634" s="0" t="s">
        <v>324</v>
      </c>
      <c r="T1634" s="0" t="s">
        <v>10878</v>
      </c>
      <c r="U1634" s="0" t="s">
        <v>10879</v>
      </c>
      <c r="W1634" s="0" t="s">
        <v>10472</v>
      </c>
      <c r="X1634" s="0" t="s">
        <v>347</v>
      </c>
      <c r="Y1634" s="0" t="s">
        <v>56</v>
      </c>
      <c r="Z1634" s="0" t="s">
        <v>570</v>
      </c>
      <c r="AA1634" s="0" t="s">
        <v>55</v>
      </c>
      <c r="AB1634" s="0" t="s">
        <v>531</v>
      </c>
      <c r="AC1634" s="0" t="s">
        <v>532</v>
      </c>
      <c r="AD1634" s="0" t="s">
        <v>572</v>
      </c>
      <c r="AF1634" s="0" t="s">
        <v>301</v>
      </c>
      <c r="AP1634" s="0" t="s">
        <v>305</v>
      </c>
      <c r="BA1634" s="0">
        <v>589</v>
      </c>
      <c r="BB1634" s="0" t="s">
        <v>232</v>
      </c>
      <c r="BC1634" s="0">
        <v>2</v>
      </c>
      <c r="BD1634" s="0">
        <v>374043</v>
      </c>
      <c r="BE1634" s="0">
        <v>519203</v>
      </c>
      <c r="BF1634" s="0">
        <v>4</v>
      </c>
      <c r="BG1634" s="0" t="s">
        <v>10880</v>
      </c>
      <c r="BI1634" s="0">
        <v>4735</v>
      </c>
      <c r="BK1634" s="0" t="s">
        <v>10881</v>
      </c>
    </row>
    <row r="1635">
      <c r="A1635" s="0">
        <v>6450</v>
      </c>
      <c r="B1635" s="0" t="s">
        <v>10882</v>
      </c>
      <c r="C1635" s="0" t="s">
        <v>315</v>
      </c>
      <c r="D1635" s="0" t="s">
        <v>10468</v>
      </c>
      <c r="E1635" s="0" t="s">
        <v>10883</v>
      </c>
      <c r="F1635" s="0">
        <v>1</v>
      </c>
      <c r="G1635" s="0" t="s">
        <v>10884</v>
      </c>
      <c r="I1635" s="0" t="s">
        <v>469</v>
      </c>
      <c r="J1635" s="0" t="s">
        <v>293</v>
      </c>
      <c r="K1635" s="0" t="s">
        <v>294</v>
      </c>
      <c r="L1635" s="0" t="s">
        <v>295</v>
      </c>
      <c r="T1635" s="0" t="s">
        <v>10885</v>
      </c>
      <c r="U1635" s="0" t="s">
        <v>10886</v>
      </c>
      <c r="W1635" s="0" t="s">
        <v>10472</v>
      </c>
      <c r="X1635" s="0" t="s">
        <v>347</v>
      </c>
      <c r="Y1635" s="0" t="s">
        <v>56</v>
      </c>
      <c r="Z1635" s="0" t="s">
        <v>570</v>
      </c>
      <c r="AA1635" s="0" t="s">
        <v>55</v>
      </c>
      <c r="AB1635" s="0" t="s">
        <v>531</v>
      </c>
      <c r="AC1635" s="0" t="s">
        <v>532</v>
      </c>
      <c r="AD1635" s="0" t="s">
        <v>572</v>
      </c>
      <c r="AF1635" s="0" t="s">
        <v>301</v>
      </c>
      <c r="AP1635" s="0" t="s">
        <v>305</v>
      </c>
      <c r="BA1635" s="0">
        <v>589</v>
      </c>
      <c r="BB1635" s="0" t="s">
        <v>232</v>
      </c>
      <c r="BC1635" s="0">
        <v>2</v>
      </c>
      <c r="BD1635" s="0">
        <v>374043</v>
      </c>
      <c r="BE1635" s="0">
        <v>519203</v>
      </c>
      <c r="BF1635" s="0">
        <v>4</v>
      </c>
      <c r="BG1635" s="0" t="s">
        <v>10887</v>
      </c>
      <c r="BI1635" s="0">
        <v>4791</v>
      </c>
      <c r="BK1635" s="0" t="s">
        <v>10888</v>
      </c>
    </row>
    <row r="1636">
      <c r="A1636" s="0">
        <v>6451</v>
      </c>
      <c r="B1636" s="0" t="s">
        <v>10889</v>
      </c>
      <c r="C1636" s="0" t="s">
        <v>2060</v>
      </c>
      <c r="D1636" s="0" t="s">
        <v>10468</v>
      </c>
      <c r="E1636" s="0" t="s">
        <v>10890</v>
      </c>
      <c r="F1636" s="0">
        <v>1</v>
      </c>
      <c r="G1636" s="0" t="s">
        <v>10884</v>
      </c>
      <c r="I1636" s="0" t="s">
        <v>10814</v>
      </c>
      <c r="J1636" s="0" t="s">
        <v>293</v>
      </c>
      <c r="K1636" s="0" t="s">
        <v>294</v>
      </c>
      <c r="L1636" s="0" t="s">
        <v>295</v>
      </c>
      <c r="T1636" s="0" t="s">
        <v>10891</v>
      </c>
      <c r="U1636" s="0" t="s">
        <v>10892</v>
      </c>
      <c r="W1636" s="0" t="s">
        <v>10472</v>
      </c>
      <c r="X1636" s="0" t="s">
        <v>347</v>
      </c>
      <c r="Y1636" s="0" t="s">
        <v>56</v>
      </c>
      <c r="Z1636" s="0" t="s">
        <v>570</v>
      </c>
      <c r="AA1636" s="0" t="s">
        <v>55</v>
      </c>
      <c r="AB1636" s="0" t="s">
        <v>531</v>
      </c>
      <c r="AC1636" s="0" t="s">
        <v>532</v>
      </c>
      <c r="AD1636" s="0" t="s">
        <v>572</v>
      </c>
      <c r="AF1636" s="0" t="s">
        <v>301</v>
      </c>
      <c r="AP1636" s="0" t="s">
        <v>305</v>
      </c>
      <c r="BA1636" s="0">
        <v>589</v>
      </c>
      <c r="BB1636" s="0" t="s">
        <v>232</v>
      </c>
      <c r="BC1636" s="0">
        <v>2</v>
      </c>
      <c r="BD1636" s="0">
        <v>374064</v>
      </c>
      <c r="BE1636" s="0">
        <v>519203</v>
      </c>
      <c r="BF1636" s="0">
        <v>4</v>
      </c>
      <c r="BG1636" s="0" t="s">
        <v>10893</v>
      </c>
      <c r="BI1636" s="0">
        <v>4809</v>
      </c>
      <c r="BK1636" s="0" t="s">
        <v>10894</v>
      </c>
    </row>
    <row r="1637">
      <c r="A1637" s="0">
        <v>6444</v>
      </c>
      <c r="B1637" s="0" t="s">
        <v>10895</v>
      </c>
      <c r="C1637" s="0" t="s">
        <v>315</v>
      </c>
      <c r="D1637" s="0" t="s">
        <v>10468</v>
      </c>
      <c r="E1637" s="0" t="s">
        <v>10896</v>
      </c>
      <c r="F1637" s="0">
        <v>2</v>
      </c>
      <c r="G1637" s="0" t="s">
        <v>508</v>
      </c>
      <c r="H1637" s="0" t="s">
        <v>469</v>
      </c>
      <c r="J1637" s="0" t="s">
        <v>592</v>
      </c>
      <c r="L1637" s="0" t="s">
        <v>469</v>
      </c>
      <c r="P1637" s="0" t="s">
        <v>323</v>
      </c>
      <c r="Q1637" s="0" t="s">
        <v>343</v>
      </c>
      <c r="R1637" s="0" t="s">
        <v>2007</v>
      </c>
      <c r="T1637" s="0" t="s">
        <v>10897</v>
      </c>
      <c r="U1637" s="0" t="s">
        <v>10898</v>
      </c>
      <c r="W1637" s="0" t="s">
        <v>10472</v>
      </c>
      <c r="X1637" s="0" t="s">
        <v>347</v>
      </c>
      <c r="Y1637" s="0" t="s">
        <v>56</v>
      </c>
      <c r="Z1637" s="0" t="s">
        <v>570</v>
      </c>
      <c r="AA1637" s="0" t="s">
        <v>55</v>
      </c>
      <c r="AB1637" s="0" t="s">
        <v>531</v>
      </c>
      <c r="AC1637" s="0" t="s">
        <v>532</v>
      </c>
      <c r="AD1637" s="0" t="s">
        <v>572</v>
      </c>
      <c r="AF1637" s="0" t="s">
        <v>301</v>
      </c>
      <c r="AP1637" s="0" t="s">
        <v>305</v>
      </c>
      <c r="BA1637" s="0">
        <v>589</v>
      </c>
      <c r="BB1637" s="0" t="s">
        <v>232</v>
      </c>
      <c r="BC1637" s="0">
        <v>2</v>
      </c>
      <c r="BD1637" s="0">
        <v>374043</v>
      </c>
      <c r="BE1637" s="0">
        <v>519203</v>
      </c>
      <c r="BF1637" s="0">
        <v>4</v>
      </c>
      <c r="BG1637" s="0" t="s">
        <v>10899</v>
      </c>
      <c r="BI1637" s="0">
        <v>4648</v>
      </c>
      <c r="BK1637" s="0" t="s">
        <v>10900</v>
      </c>
    </row>
    <row r="1638">
      <c r="A1638" s="0">
        <v>6445</v>
      </c>
      <c r="B1638" s="0" t="s">
        <v>10901</v>
      </c>
      <c r="C1638" s="0" t="s">
        <v>315</v>
      </c>
      <c r="D1638" s="0" t="s">
        <v>10468</v>
      </c>
      <c r="E1638" s="0" t="s">
        <v>10902</v>
      </c>
      <c r="F1638" s="0">
        <v>2</v>
      </c>
      <c r="G1638" s="0" t="s">
        <v>508</v>
      </c>
      <c r="I1638" s="0" t="s">
        <v>10814</v>
      </c>
      <c r="J1638" s="0" t="s">
        <v>592</v>
      </c>
      <c r="K1638" s="0" t="s">
        <v>10865</v>
      </c>
      <c r="P1638" s="0" t="s">
        <v>323</v>
      </c>
      <c r="Q1638" s="0" t="s">
        <v>343</v>
      </c>
      <c r="R1638" s="0" t="s">
        <v>324</v>
      </c>
      <c r="T1638" s="0" t="s">
        <v>10903</v>
      </c>
      <c r="U1638" s="0" t="s">
        <v>10904</v>
      </c>
      <c r="W1638" s="0" t="s">
        <v>10472</v>
      </c>
      <c r="X1638" s="0" t="s">
        <v>347</v>
      </c>
      <c r="Y1638" s="0" t="s">
        <v>56</v>
      </c>
      <c r="Z1638" s="0" t="s">
        <v>570</v>
      </c>
      <c r="AA1638" s="0" t="s">
        <v>55</v>
      </c>
      <c r="AB1638" s="0" t="s">
        <v>531</v>
      </c>
      <c r="AC1638" s="0" t="s">
        <v>532</v>
      </c>
      <c r="AD1638" s="0" t="s">
        <v>572</v>
      </c>
      <c r="AF1638" s="0" t="s">
        <v>301</v>
      </c>
      <c r="AP1638" s="0" t="s">
        <v>305</v>
      </c>
      <c r="BA1638" s="0">
        <v>589</v>
      </c>
      <c r="BB1638" s="0" t="s">
        <v>232</v>
      </c>
      <c r="BC1638" s="0">
        <v>2</v>
      </c>
      <c r="BD1638" s="0">
        <v>374043</v>
      </c>
      <c r="BE1638" s="0">
        <v>519203</v>
      </c>
      <c r="BF1638" s="0">
        <v>4</v>
      </c>
      <c r="BG1638" s="0" t="s">
        <v>10905</v>
      </c>
      <c r="BI1638" s="0">
        <v>4679</v>
      </c>
      <c r="BK1638" s="0" t="s">
        <v>10906</v>
      </c>
    </row>
    <row r="1639">
      <c r="A1639" s="0">
        <v>6465</v>
      </c>
      <c r="B1639" s="0" t="s">
        <v>10907</v>
      </c>
      <c r="C1639" s="0" t="s">
        <v>579</v>
      </c>
      <c r="D1639" s="0" t="s">
        <v>10468</v>
      </c>
      <c r="E1639" s="0" t="s">
        <v>10908</v>
      </c>
      <c r="F1639" s="0">
        <v>2</v>
      </c>
      <c r="G1639" s="0" t="s">
        <v>294</v>
      </c>
      <c r="I1639" s="0" t="s">
        <v>295</v>
      </c>
      <c r="J1639" s="0" t="s">
        <v>581</v>
      </c>
      <c r="L1639" s="0" t="s">
        <v>583</v>
      </c>
      <c r="T1639" s="0" t="s">
        <v>10909</v>
      </c>
      <c r="U1639" s="0" t="s">
        <v>10910</v>
      </c>
      <c r="W1639" s="0" t="s">
        <v>10472</v>
      </c>
      <c r="X1639" s="0" t="s">
        <v>347</v>
      </c>
      <c r="Y1639" s="0" t="s">
        <v>56</v>
      </c>
      <c r="Z1639" s="0" t="s">
        <v>570</v>
      </c>
      <c r="AA1639" s="0" t="s">
        <v>55</v>
      </c>
      <c r="AB1639" s="0" t="s">
        <v>531</v>
      </c>
      <c r="AC1639" s="0" t="s">
        <v>532</v>
      </c>
      <c r="AD1639" s="0" t="s">
        <v>572</v>
      </c>
      <c r="AF1639" s="0" t="s">
        <v>301</v>
      </c>
      <c r="AP1639" s="0" t="s">
        <v>305</v>
      </c>
      <c r="BA1639" s="0">
        <v>589</v>
      </c>
      <c r="BB1639" s="0" t="s">
        <v>232</v>
      </c>
      <c r="BC1639" s="0">
        <v>2</v>
      </c>
      <c r="BD1639" s="0">
        <v>374046</v>
      </c>
      <c r="BE1639" s="0">
        <v>519203</v>
      </c>
      <c r="BF1639" s="0">
        <v>4</v>
      </c>
      <c r="BG1639" s="0" t="s">
        <v>10911</v>
      </c>
      <c r="BI1639" s="0">
        <v>5020</v>
      </c>
      <c r="BK1639" s="0" t="s">
        <v>10912</v>
      </c>
    </row>
    <row r="1640">
      <c r="A1640" s="0">
        <v>6466</v>
      </c>
      <c r="B1640" s="0" t="s">
        <v>10913</v>
      </c>
      <c r="C1640" s="0" t="s">
        <v>579</v>
      </c>
      <c r="D1640" s="0" t="s">
        <v>10468</v>
      </c>
      <c r="E1640" s="0" t="s">
        <v>10914</v>
      </c>
      <c r="F1640" s="0">
        <v>2</v>
      </c>
      <c r="G1640" s="0" t="s">
        <v>293</v>
      </c>
      <c r="H1640" s="0" t="s">
        <v>294</v>
      </c>
      <c r="I1640" s="0" t="s">
        <v>295</v>
      </c>
      <c r="J1640" s="0" t="s">
        <v>581</v>
      </c>
      <c r="L1640" s="0" t="s">
        <v>583</v>
      </c>
      <c r="T1640" s="0" t="s">
        <v>10915</v>
      </c>
      <c r="U1640" s="0" t="s">
        <v>10916</v>
      </c>
      <c r="W1640" s="0" t="s">
        <v>10472</v>
      </c>
      <c r="X1640" s="0" t="s">
        <v>347</v>
      </c>
      <c r="Y1640" s="0" t="s">
        <v>56</v>
      </c>
      <c r="Z1640" s="0" t="s">
        <v>570</v>
      </c>
      <c r="AA1640" s="0" t="s">
        <v>55</v>
      </c>
      <c r="AB1640" s="0" t="s">
        <v>531</v>
      </c>
      <c r="AC1640" s="0" t="s">
        <v>532</v>
      </c>
      <c r="AD1640" s="0" t="s">
        <v>572</v>
      </c>
      <c r="AF1640" s="0" t="s">
        <v>301</v>
      </c>
      <c r="AP1640" s="0" t="s">
        <v>305</v>
      </c>
      <c r="BA1640" s="0">
        <v>589</v>
      </c>
      <c r="BB1640" s="0" t="s">
        <v>232</v>
      </c>
      <c r="BC1640" s="0">
        <v>2</v>
      </c>
      <c r="BD1640" s="0">
        <v>374046</v>
      </c>
      <c r="BE1640" s="0">
        <v>519203</v>
      </c>
      <c r="BF1640" s="0">
        <v>4</v>
      </c>
      <c r="BG1640" s="0" t="s">
        <v>10917</v>
      </c>
      <c r="BI1640" s="0">
        <v>5029</v>
      </c>
      <c r="BK1640" s="0" t="s">
        <v>10918</v>
      </c>
    </row>
    <row r="1641">
      <c r="A1641" s="0">
        <v>6398</v>
      </c>
      <c r="B1641" s="0" t="s">
        <v>10919</v>
      </c>
      <c r="C1641" s="0" t="s">
        <v>315</v>
      </c>
      <c r="D1641" s="0" t="s">
        <v>10468</v>
      </c>
      <c r="E1641" s="0" t="s">
        <v>10920</v>
      </c>
      <c r="F1641" s="0">
        <v>2</v>
      </c>
      <c r="G1641" s="0" t="s">
        <v>400</v>
      </c>
      <c r="I1641" s="0" t="s">
        <v>1268</v>
      </c>
      <c r="J1641" s="0" t="s">
        <v>319</v>
      </c>
      <c r="K1641" s="0" t="s">
        <v>10921</v>
      </c>
      <c r="L1641" s="0" t="s">
        <v>1268</v>
      </c>
      <c r="M1641" s="0" t="s">
        <v>293</v>
      </c>
      <c r="N1641" s="0" t="s">
        <v>294</v>
      </c>
      <c r="O1641" s="0" t="s">
        <v>295</v>
      </c>
      <c r="T1641" s="0" t="s">
        <v>10922</v>
      </c>
      <c r="U1641" s="0" t="s">
        <v>10923</v>
      </c>
      <c r="W1641" s="0" t="s">
        <v>10472</v>
      </c>
      <c r="X1641" s="0" t="s">
        <v>347</v>
      </c>
      <c r="Y1641" s="0" t="s">
        <v>56</v>
      </c>
      <c r="Z1641" s="0" t="s">
        <v>570</v>
      </c>
      <c r="AA1641" s="0" t="s">
        <v>55</v>
      </c>
      <c r="AB1641" s="0" t="s">
        <v>531</v>
      </c>
      <c r="AC1641" s="0" t="s">
        <v>532</v>
      </c>
      <c r="AD1641" s="0" t="s">
        <v>572</v>
      </c>
      <c r="AF1641" s="0" t="s">
        <v>301</v>
      </c>
      <c r="AP1641" s="0" t="s">
        <v>305</v>
      </c>
      <c r="BA1641" s="0">
        <v>589</v>
      </c>
      <c r="BB1641" s="0" t="s">
        <v>232</v>
      </c>
      <c r="BC1641" s="0">
        <v>2</v>
      </c>
      <c r="BD1641" s="0">
        <v>374043</v>
      </c>
      <c r="BE1641" s="0">
        <v>519203</v>
      </c>
      <c r="BF1641" s="0">
        <v>4</v>
      </c>
      <c r="BG1641" s="0" t="s">
        <v>10924</v>
      </c>
      <c r="BI1641" s="0">
        <v>3524</v>
      </c>
      <c r="BK1641" s="0" t="s">
        <v>10925</v>
      </c>
    </row>
    <row r="1642">
      <c r="A1642" s="0">
        <v>6399</v>
      </c>
      <c r="B1642" s="0" t="s">
        <v>10926</v>
      </c>
      <c r="C1642" s="0" t="s">
        <v>315</v>
      </c>
      <c r="D1642" s="0" t="s">
        <v>10468</v>
      </c>
      <c r="E1642" s="0" t="s">
        <v>10927</v>
      </c>
      <c r="F1642" s="0">
        <v>2</v>
      </c>
      <c r="G1642" s="0" t="s">
        <v>400</v>
      </c>
      <c r="I1642" s="0" t="s">
        <v>469</v>
      </c>
      <c r="J1642" s="0" t="s">
        <v>319</v>
      </c>
      <c r="K1642" s="0" t="s">
        <v>10921</v>
      </c>
      <c r="L1642" s="0" t="s">
        <v>10928</v>
      </c>
      <c r="M1642" s="0" t="s">
        <v>293</v>
      </c>
      <c r="N1642" s="0" t="s">
        <v>294</v>
      </c>
      <c r="O1642" s="0" t="s">
        <v>295</v>
      </c>
      <c r="T1642" s="0" t="s">
        <v>10929</v>
      </c>
      <c r="U1642" s="0" t="s">
        <v>10930</v>
      </c>
      <c r="W1642" s="0" t="s">
        <v>10472</v>
      </c>
      <c r="X1642" s="0" t="s">
        <v>347</v>
      </c>
      <c r="Y1642" s="0" t="s">
        <v>56</v>
      </c>
      <c r="Z1642" s="0" t="s">
        <v>570</v>
      </c>
      <c r="AA1642" s="0" t="s">
        <v>55</v>
      </c>
      <c r="AB1642" s="0" t="s">
        <v>531</v>
      </c>
      <c r="AC1642" s="0" t="s">
        <v>532</v>
      </c>
      <c r="AD1642" s="0" t="s">
        <v>572</v>
      </c>
      <c r="AF1642" s="0" t="s">
        <v>301</v>
      </c>
      <c r="AP1642" s="0" t="s">
        <v>305</v>
      </c>
      <c r="BA1642" s="0">
        <v>589</v>
      </c>
      <c r="BB1642" s="0" t="s">
        <v>232</v>
      </c>
      <c r="BC1642" s="0">
        <v>2</v>
      </c>
      <c r="BD1642" s="0">
        <v>374043</v>
      </c>
      <c r="BE1642" s="0">
        <v>519203</v>
      </c>
      <c r="BF1642" s="0">
        <v>4</v>
      </c>
      <c r="BG1642" s="0" t="s">
        <v>10931</v>
      </c>
      <c r="BI1642" s="0">
        <v>3644</v>
      </c>
      <c r="BK1642" s="0" t="s">
        <v>10932</v>
      </c>
    </row>
    <row r="1643">
      <c r="A1643" s="0">
        <v>6523</v>
      </c>
      <c r="B1643" s="0" t="s">
        <v>10933</v>
      </c>
      <c r="C1643" s="0" t="s">
        <v>945</v>
      </c>
      <c r="D1643" s="0" t="s">
        <v>10934</v>
      </c>
      <c r="E1643" s="0" t="s">
        <v>10935</v>
      </c>
      <c r="F1643" s="0">
        <v>1</v>
      </c>
      <c r="G1643" s="0" t="s">
        <v>508</v>
      </c>
      <c r="I1643" s="0" t="s">
        <v>3204</v>
      </c>
      <c r="J1643" s="0" t="s">
        <v>319</v>
      </c>
      <c r="K1643" s="0" t="s">
        <v>1445</v>
      </c>
      <c r="L1643" s="0" t="s">
        <v>342</v>
      </c>
      <c r="M1643" s="0" t="s">
        <v>10936</v>
      </c>
      <c r="O1643" s="0" t="s">
        <v>469</v>
      </c>
      <c r="P1643" s="0" t="s">
        <v>323</v>
      </c>
      <c r="Q1643" s="0" t="s">
        <v>323</v>
      </c>
      <c r="R1643" s="0" t="s">
        <v>324</v>
      </c>
      <c r="T1643" s="0" t="s">
        <v>10937</v>
      </c>
      <c r="U1643" s="0" t="s">
        <v>10938</v>
      </c>
      <c r="W1643" s="0" t="s">
        <v>10472</v>
      </c>
      <c r="X1643" s="0" t="s">
        <v>347</v>
      </c>
      <c r="Y1643" s="0" t="s">
        <v>56</v>
      </c>
      <c r="Z1643" s="0" t="s">
        <v>570</v>
      </c>
      <c r="AA1643" s="0" t="s">
        <v>55</v>
      </c>
      <c r="AB1643" s="0" t="s">
        <v>531</v>
      </c>
      <c r="AC1643" s="0" t="s">
        <v>532</v>
      </c>
      <c r="AD1643" s="0" t="s">
        <v>572</v>
      </c>
      <c r="AF1643" s="0" t="s">
        <v>301</v>
      </c>
      <c r="AP1643" s="0" t="s">
        <v>305</v>
      </c>
      <c r="BA1643" s="0">
        <v>589</v>
      </c>
      <c r="BB1643" s="0" t="s">
        <v>232</v>
      </c>
      <c r="BC1643" s="0">
        <v>2</v>
      </c>
      <c r="BD1643" s="0">
        <v>14</v>
      </c>
      <c r="BE1643" s="0">
        <v>519203</v>
      </c>
      <c r="BF1643" s="0">
        <v>4</v>
      </c>
      <c r="BG1643" s="0" t="s">
        <v>10939</v>
      </c>
      <c r="BI1643" s="0">
        <v>5225</v>
      </c>
      <c r="BK1643" s="0" t="s">
        <v>10940</v>
      </c>
    </row>
    <row r="1644">
      <c r="A1644" s="0">
        <v>6524</v>
      </c>
      <c r="B1644" s="0" t="s">
        <v>10941</v>
      </c>
      <c r="C1644" s="0" t="s">
        <v>945</v>
      </c>
      <c r="D1644" s="0" t="s">
        <v>10934</v>
      </c>
      <c r="E1644" s="0" t="s">
        <v>10942</v>
      </c>
      <c r="F1644" s="0">
        <v>1</v>
      </c>
      <c r="G1644" s="0" t="s">
        <v>508</v>
      </c>
      <c r="I1644" s="0" t="s">
        <v>660</v>
      </c>
      <c r="J1644" s="0" t="s">
        <v>10936</v>
      </c>
      <c r="L1644" s="0" t="s">
        <v>469</v>
      </c>
      <c r="M1644" s="0" t="s">
        <v>10943</v>
      </c>
      <c r="O1644" s="0" t="s">
        <v>342</v>
      </c>
      <c r="P1644" s="0" t="s">
        <v>323</v>
      </c>
      <c r="Q1644" s="0" t="s">
        <v>323</v>
      </c>
      <c r="R1644" s="0" t="s">
        <v>324</v>
      </c>
      <c r="T1644" s="0" t="s">
        <v>10937</v>
      </c>
      <c r="U1644" s="0" t="s">
        <v>10944</v>
      </c>
      <c r="W1644" s="0" t="s">
        <v>10472</v>
      </c>
      <c r="X1644" s="0" t="s">
        <v>347</v>
      </c>
      <c r="Y1644" s="0" t="s">
        <v>56</v>
      </c>
      <c r="Z1644" s="0" t="s">
        <v>570</v>
      </c>
      <c r="AA1644" s="0" t="s">
        <v>55</v>
      </c>
      <c r="AB1644" s="0" t="s">
        <v>531</v>
      </c>
      <c r="AC1644" s="0" t="s">
        <v>532</v>
      </c>
      <c r="AD1644" s="0" t="s">
        <v>572</v>
      </c>
      <c r="AF1644" s="0" t="s">
        <v>301</v>
      </c>
      <c r="AP1644" s="0" t="s">
        <v>305</v>
      </c>
      <c r="BA1644" s="0">
        <v>589</v>
      </c>
      <c r="BB1644" s="0" t="s">
        <v>232</v>
      </c>
      <c r="BC1644" s="0">
        <v>2</v>
      </c>
      <c r="BD1644" s="0">
        <v>14</v>
      </c>
      <c r="BE1644" s="0">
        <v>519203</v>
      </c>
      <c r="BF1644" s="0">
        <v>4</v>
      </c>
      <c r="BG1644" s="0" t="s">
        <v>10945</v>
      </c>
      <c r="BI1644" s="0">
        <v>5230</v>
      </c>
      <c r="BK1644" s="0" t="s">
        <v>10946</v>
      </c>
    </row>
    <row r="1645">
      <c r="A1645" s="0">
        <v>6525</v>
      </c>
      <c r="B1645" s="0" t="s">
        <v>10947</v>
      </c>
      <c r="C1645" s="0" t="s">
        <v>945</v>
      </c>
      <c r="D1645" s="0" t="s">
        <v>10934</v>
      </c>
      <c r="E1645" s="0" t="s">
        <v>10948</v>
      </c>
      <c r="F1645" s="0">
        <v>1</v>
      </c>
      <c r="G1645" s="0" t="s">
        <v>508</v>
      </c>
      <c r="I1645" s="0" t="s">
        <v>3204</v>
      </c>
      <c r="J1645" s="0" t="s">
        <v>10936</v>
      </c>
      <c r="L1645" s="0" t="s">
        <v>469</v>
      </c>
      <c r="M1645" s="0" t="s">
        <v>10943</v>
      </c>
      <c r="O1645" s="0" t="s">
        <v>342</v>
      </c>
      <c r="P1645" s="0" t="s">
        <v>323</v>
      </c>
      <c r="Q1645" s="0" t="s">
        <v>323</v>
      </c>
      <c r="R1645" s="0" t="s">
        <v>324</v>
      </c>
      <c r="T1645" s="0" t="s">
        <v>10937</v>
      </c>
      <c r="U1645" s="0" t="s">
        <v>10949</v>
      </c>
      <c r="W1645" s="0" t="s">
        <v>10472</v>
      </c>
      <c r="X1645" s="0" t="s">
        <v>347</v>
      </c>
      <c r="Y1645" s="0" t="s">
        <v>56</v>
      </c>
      <c r="Z1645" s="0" t="s">
        <v>570</v>
      </c>
      <c r="AA1645" s="0" t="s">
        <v>55</v>
      </c>
      <c r="AB1645" s="0" t="s">
        <v>531</v>
      </c>
      <c r="AC1645" s="0" t="s">
        <v>532</v>
      </c>
      <c r="AD1645" s="0" t="s">
        <v>572</v>
      </c>
      <c r="AF1645" s="0" t="s">
        <v>301</v>
      </c>
      <c r="AP1645" s="0" t="s">
        <v>305</v>
      </c>
      <c r="BA1645" s="0">
        <v>589</v>
      </c>
      <c r="BB1645" s="0" t="s">
        <v>232</v>
      </c>
      <c r="BC1645" s="0">
        <v>2</v>
      </c>
      <c r="BD1645" s="0">
        <v>14</v>
      </c>
      <c r="BE1645" s="0">
        <v>519203</v>
      </c>
      <c r="BF1645" s="0">
        <v>4</v>
      </c>
      <c r="BG1645" s="0" t="s">
        <v>10950</v>
      </c>
      <c r="BI1645" s="0">
        <v>5235</v>
      </c>
      <c r="BK1645" s="0" t="s">
        <v>10951</v>
      </c>
    </row>
    <row r="1646">
      <c r="A1646" s="0">
        <v>6526</v>
      </c>
      <c r="B1646" s="0" t="s">
        <v>10952</v>
      </c>
      <c r="C1646" s="0" t="s">
        <v>945</v>
      </c>
      <c r="D1646" s="0" t="s">
        <v>10934</v>
      </c>
      <c r="E1646" s="0" t="s">
        <v>10953</v>
      </c>
      <c r="F1646" s="0">
        <v>1</v>
      </c>
      <c r="G1646" s="0" t="s">
        <v>508</v>
      </c>
      <c r="I1646" s="0" t="s">
        <v>3204</v>
      </c>
      <c r="J1646" s="0" t="s">
        <v>10936</v>
      </c>
      <c r="L1646" s="0" t="s">
        <v>469</v>
      </c>
      <c r="M1646" s="0" t="s">
        <v>10943</v>
      </c>
      <c r="O1646" s="0" t="s">
        <v>342</v>
      </c>
      <c r="P1646" s="0" t="s">
        <v>323</v>
      </c>
      <c r="Q1646" s="0" t="s">
        <v>323</v>
      </c>
      <c r="R1646" s="0" t="s">
        <v>324</v>
      </c>
      <c r="T1646" s="0" t="s">
        <v>10937</v>
      </c>
      <c r="U1646" s="0" t="s">
        <v>10954</v>
      </c>
      <c r="W1646" s="0" t="s">
        <v>10472</v>
      </c>
      <c r="X1646" s="0" t="s">
        <v>347</v>
      </c>
      <c r="Y1646" s="0" t="s">
        <v>56</v>
      </c>
      <c r="Z1646" s="0" t="s">
        <v>570</v>
      </c>
      <c r="AA1646" s="0" t="s">
        <v>55</v>
      </c>
      <c r="AB1646" s="0" t="s">
        <v>531</v>
      </c>
      <c r="AC1646" s="0" t="s">
        <v>532</v>
      </c>
      <c r="AD1646" s="0" t="s">
        <v>572</v>
      </c>
      <c r="AF1646" s="0" t="s">
        <v>301</v>
      </c>
      <c r="AP1646" s="0" t="s">
        <v>305</v>
      </c>
      <c r="BA1646" s="0">
        <v>589</v>
      </c>
      <c r="BB1646" s="0" t="s">
        <v>232</v>
      </c>
      <c r="BC1646" s="0">
        <v>2</v>
      </c>
      <c r="BD1646" s="0">
        <v>14</v>
      </c>
      <c r="BE1646" s="0">
        <v>519203</v>
      </c>
      <c r="BF1646" s="0">
        <v>4</v>
      </c>
      <c r="BG1646" s="0" t="s">
        <v>10955</v>
      </c>
      <c r="BI1646" s="0">
        <v>5239</v>
      </c>
      <c r="BK1646" s="0" t="s">
        <v>10956</v>
      </c>
    </row>
    <row r="1647">
      <c r="A1647" s="0">
        <v>6412</v>
      </c>
      <c r="B1647" s="0" t="s">
        <v>10957</v>
      </c>
      <c r="C1647" s="0" t="s">
        <v>339</v>
      </c>
      <c r="D1647" s="0" t="s">
        <v>10468</v>
      </c>
      <c r="E1647" s="0" t="s">
        <v>10958</v>
      </c>
      <c r="F1647" s="0">
        <v>2</v>
      </c>
      <c r="G1647" s="0" t="s">
        <v>508</v>
      </c>
      <c r="I1647" s="0" t="s">
        <v>1268</v>
      </c>
      <c r="J1647" s="0" t="s">
        <v>319</v>
      </c>
      <c r="K1647" s="0" t="s">
        <v>1997</v>
      </c>
      <c r="L1647" s="0" t="s">
        <v>469</v>
      </c>
      <c r="M1647" s="0" t="s">
        <v>319</v>
      </c>
      <c r="N1647" s="0" t="s">
        <v>1997</v>
      </c>
      <c r="O1647" s="0" t="s">
        <v>1268</v>
      </c>
      <c r="P1647" s="0" t="s">
        <v>343</v>
      </c>
      <c r="Q1647" s="0" t="s">
        <v>343</v>
      </c>
      <c r="T1647" s="0" t="s">
        <v>10959</v>
      </c>
      <c r="U1647" s="0" t="s">
        <v>10960</v>
      </c>
      <c r="W1647" s="0" t="s">
        <v>10472</v>
      </c>
      <c r="X1647" s="0" t="s">
        <v>347</v>
      </c>
      <c r="Y1647" s="0" t="s">
        <v>56</v>
      </c>
      <c r="Z1647" s="0" t="s">
        <v>570</v>
      </c>
      <c r="AA1647" s="0" t="s">
        <v>55</v>
      </c>
      <c r="AB1647" s="0" t="s">
        <v>531</v>
      </c>
      <c r="AC1647" s="0" t="s">
        <v>532</v>
      </c>
      <c r="AD1647" s="0" t="s">
        <v>572</v>
      </c>
      <c r="AF1647" s="0" t="s">
        <v>301</v>
      </c>
      <c r="AP1647" s="0" t="s">
        <v>305</v>
      </c>
      <c r="BA1647" s="0">
        <v>589</v>
      </c>
      <c r="BB1647" s="0" t="s">
        <v>232</v>
      </c>
      <c r="BC1647" s="0">
        <v>2</v>
      </c>
      <c r="BD1647" s="0">
        <v>8</v>
      </c>
      <c r="BE1647" s="0">
        <v>519203</v>
      </c>
      <c r="BF1647" s="0">
        <v>4</v>
      </c>
      <c r="BG1647" s="0" t="s">
        <v>10961</v>
      </c>
      <c r="BI1647" s="0">
        <v>4568</v>
      </c>
      <c r="BK1647" s="0" t="s">
        <v>10962</v>
      </c>
    </row>
    <row r="1648">
      <c r="A1648" s="0">
        <v>6411</v>
      </c>
      <c r="B1648" s="0" t="s">
        <v>10963</v>
      </c>
      <c r="C1648" s="0" t="s">
        <v>339</v>
      </c>
      <c r="D1648" s="0" t="s">
        <v>10468</v>
      </c>
      <c r="E1648" s="0" t="s">
        <v>10964</v>
      </c>
      <c r="F1648" s="0">
        <v>3</v>
      </c>
      <c r="G1648" s="0" t="s">
        <v>508</v>
      </c>
      <c r="I1648" s="0" t="s">
        <v>1268</v>
      </c>
      <c r="J1648" s="0" t="s">
        <v>319</v>
      </c>
      <c r="K1648" s="0" t="s">
        <v>1997</v>
      </c>
      <c r="L1648" s="0" t="s">
        <v>469</v>
      </c>
      <c r="M1648" s="0" t="s">
        <v>319</v>
      </c>
      <c r="N1648" s="0" t="s">
        <v>1997</v>
      </c>
      <c r="O1648" s="0" t="s">
        <v>1268</v>
      </c>
      <c r="P1648" s="0" t="s">
        <v>343</v>
      </c>
      <c r="Q1648" s="0" t="s">
        <v>343</v>
      </c>
      <c r="T1648" s="0" t="s">
        <v>10965</v>
      </c>
      <c r="U1648" s="0" t="s">
        <v>10966</v>
      </c>
      <c r="W1648" s="0" t="s">
        <v>10472</v>
      </c>
      <c r="X1648" s="0" t="s">
        <v>347</v>
      </c>
      <c r="Y1648" s="0" t="s">
        <v>56</v>
      </c>
      <c r="Z1648" s="0" t="s">
        <v>570</v>
      </c>
      <c r="AA1648" s="0" t="s">
        <v>55</v>
      </c>
      <c r="AB1648" s="0" t="s">
        <v>531</v>
      </c>
      <c r="AC1648" s="0" t="s">
        <v>532</v>
      </c>
      <c r="AD1648" s="0" t="s">
        <v>572</v>
      </c>
      <c r="AF1648" s="0" t="s">
        <v>301</v>
      </c>
      <c r="AP1648" s="0" t="s">
        <v>305</v>
      </c>
      <c r="BA1648" s="0">
        <v>589</v>
      </c>
      <c r="BB1648" s="0" t="s">
        <v>232</v>
      </c>
      <c r="BC1648" s="0">
        <v>2</v>
      </c>
      <c r="BD1648" s="0">
        <v>8</v>
      </c>
      <c r="BE1648" s="0">
        <v>519203</v>
      </c>
      <c r="BF1648" s="0">
        <v>4</v>
      </c>
      <c r="BG1648" s="0" t="s">
        <v>10967</v>
      </c>
      <c r="BI1648" s="0">
        <v>4520</v>
      </c>
      <c r="BK1648" s="0" t="s">
        <v>10968</v>
      </c>
    </row>
    <row r="1649">
      <c r="A1649" s="0">
        <v>6409</v>
      </c>
      <c r="B1649" s="0" t="s">
        <v>10969</v>
      </c>
      <c r="C1649" s="0" t="s">
        <v>339</v>
      </c>
      <c r="D1649" s="0" t="s">
        <v>10468</v>
      </c>
      <c r="E1649" s="0" t="s">
        <v>10970</v>
      </c>
      <c r="F1649" s="0">
        <v>1</v>
      </c>
      <c r="G1649" s="0" t="s">
        <v>508</v>
      </c>
      <c r="I1649" s="0" t="s">
        <v>1268</v>
      </c>
      <c r="J1649" s="0" t="s">
        <v>319</v>
      </c>
      <c r="K1649" s="0" t="s">
        <v>1997</v>
      </c>
      <c r="L1649" s="0" t="s">
        <v>1268</v>
      </c>
      <c r="P1649" s="0" t="s">
        <v>343</v>
      </c>
      <c r="Q1649" s="0" t="s">
        <v>343</v>
      </c>
      <c r="T1649" s="0" t="s">
        <v>10971</v>
      </c>
      <c r="U1649" s="0" t="s">
        <v>10972</v>
      </c>
      <c r="W1649" s="0" t="s">
        <v>10472</v>
      </c>
      <c r="X1649" s="0" t="s">
        <v>347</v>
      </c>
      <c r="Y1649" s="0" t="s">
        <v>56</v>
      </c>
      <c r="Z1649" s="0" t="s">
        <v>570</v>
      </c>
      <c r="AA1649" s="0" t="s">
        <v>55</v>
      </c>
      <c r="AB1649" s="0" t="s">
        <v>531</v>
      </c>
      <c r="AC1649" s="0" t="s">
        <v>532</v>
      </c>
      <c r="AD1649" s="0" t="s">
        <v>572</v>
      </c>
      <c r="AF1649" s="0" t="s">
        <v>301</v>
      </c>
      <c r="AP1649" s="0" t="s">
        <v>305</v>
      </c>
      <c r="BA1649" s="0">
        <v>589</v>
      </c>
      <c r="BB1649" s="0" t="s">
        <v>232</v>
      </c>
      <c r="BC1649" s="0">
        <v>2</v>
      </c>
      <c r="BD1649" s="0">
        <v>8</v>
      </c>
      <c r="BE1649" s="0">
        <v>519203</v>
      </c>
      <c r="BF1649" s="0">
        <v>4</v>
      </c>
      <c r="BG1649" s="0" t="s">
        <v>10973</v>
      </c>
      <c r="BI1649" s="0">
        <v>4421</v>
      </c>
      <c r="BK1649" s="0" t="s">
        <v>10974</v>
      </c>
    </row>
    <row r="1650">
      <c r="A1650" s="0">
        <v>6467</v>
      </c>
      <c r="B1650" s="0" t="s">
        <v>10975</v>
      </c>
      <c r="C1650" s="0" t="s">
        <v>656</v>
      </c>
      <c r="D1650" s="0" t="s">
        <v>10468</v>
      </c>
      <c r="E1650" s="0" t="s">
        <v>10976</v>
      </c>
      <c r="F1650" s="0">
        <v>1</v>
      </c>
      <c r="G1650" s="0" t="s">
        <v>293</v>
      </c>
      <c r="H1650" s="0" t="s">
        <v>294</v>
      </c>
      <c r="I1650" s="0" t="s">
        <v>10977</v>
      </c>
      <c r="T1650" s="0" t="s">
        <v>10978</v>
      </c>
      <c r="U1650" s="0" t="s">
        <v>10979</v>
      </c>
      <c r="W1650" s="0" t="s">
        <v>10472</v>
      </c>
      <c r="X1650" s="0" t="s">
        <v>347</v>
      </c>
      <c r="Y1650" s="0" t="s">
        <v>56</v>
      </c>
      <c r="Z1650" s="0" t="s">
        <v>570</v>
      </c>
      <c r="AA1650" s="0" t="s">
        <v>55</v>
      </c>
      <c r="AB1650" s="0" t="s">
        <v>531</v>
      </c>
      <c r="AC1650" s="0" t="s">
        <v>532</v>
      </c>
      <c r="AD1650" s="0" t="s">
        <v>572</v>
      </c>
      <c r="AF1650" s="0" t="s">
        <v>301</v>
      </c>
      <c r="AP1650" s="0" t="s">
        <v>305</v>
      </c>
      <c r="BA1650" s="0">
        <v>589</v>
      </c>
      <c r="BB1650" s="0" t="s">
        <v>232</v>
      </c>
      <c r="BC1650" s="0">
        <v>2</v>
      </c>
      <c r="BD1650" s="0">
        <v>10</v>
      </c>
      <c r="BE1650" s="0">
        <v>519203</v>
      </c>
      <c r="BF1650" s="0">
        <v>4</v>
      </c>
      <c r="BG1650" s="0" t="s">
        <v>10980</v>
      </c>
      <c r="BI1650" s="0">
        <v>5038</v>
      </c>
      <c r="BK1650" s="0" t="s">
        <v>10981</v>
      </c>
    </row>
    <row r="1651">
      <c r="A1651" s="0">
        <v>6469</v>
      </c>
      <c r="B1651" s="0" t="s">
        <v>10982</v>
      </c>
      <c r="C1651" s="0" t="s">
        <v>656</v>
      </c>
      <c r="D1651" s="0" t="s">
        <v>10468</v>
      </c>
      <c r="E1651" s="0" t="s">
        <v>10983</v>
      </c>
      <c r="F1651" s="0">
        <v>1</v>
      </c>
      <c r="G1651" s="0" t="s">
        <v>293</v>
      </c>
      <c r="H1651" s="0" t="s">
        <v>294</v>
      </c>
      <c r="I1651" s="0" t="s">
        <v>10977</v>
      </c>
      <c r="T1651" s="0" t="s">
        <v>10984</v>
      </c>
      <c r="U1651" s="0" t="s">
        <v>10985</v>
      </c>
      <c r="W1651" s="0" t="s">
        <v>10472</v>
      </c>
      <c r="X1651" s="0" t="s">
        <v>347</v>
      </c>
      <c r="Y1651" s="0" t="s">
        <v>56</v>
      </c>
      <c r="Z1651" s="0" t="s">
        <v>570</v>
      </c>
      <c r="AA1651" s="0" t="s">
        <v>55</v>
      </c>
      <c r="AB1651" s="0" t="s">
        <v>531</v>
      </c>
      <c r="AC1651" s="0" t="s">
        <v>532</v>
      </c>
      <c r="AD1651" s="0" t="s">
        <v>572</v>
      </c>
      <c r="AF1651" s="0" t="s">
        <v>301</v>
      </c>
      <c r="AP1651" s="0" t="s">
        <v>305</v>
      </c>
      <c r="BA1651" s="0">
        <v>589</v>
      </c>
      <c r="BB1651" s="0" t="s">
        <v>232</v>
      </c>
      <c r="BC1651" s="0">
        <v>2</v>
      </c>
      <c r="BD1651" s="0">
        <v>10</v>
      </c>
      <c r="BE1651" s="0">
        <v>519203</v>
      </c>
      <c r="BF1651" s="0">
        <v>4</v>
      </c>
      <c r="BG1651" s="0" t="s">
        <v>10986</v>
      </c>
      <c r="BI1651" s="0">
        <v>5056</v>
      </c>
      <c r="BK1651" s="0" t="s">
        <v>10987</v>
      </c>
    </row>
    <row r="1652">
      <c r="A1652" s="0">
        <v>6468</v>
      </c>
      <c r="B1652" s="0" t="s">
        <v>10988</v>
      </c>
      <c r="C1652" s="0" t="s">
        <v>656</v>
      </c>
      <c r="D1652" s="0" t="s">
        <v>10468</v>
      </c>
      <c r="E1652" s="0" t="s">
        <v>10989</v>
      </c>
      <c r="F1652" s="0">
        <v>1</v>
      </c>
      <c r="G1652" s="0" t="s">
        <v>293</v>
      </c>
      <c r="H1652" s="0" t="s">
        <v>294</v>
      </c>
      <c r="I1652" s="0" t="s">
        <v>10977</v>
      </c>
      <c r="T1652" s="0" t="s">
        <v>10990</v>
      </c>
      <c r="U1652" s="0" t="s">
        <v>10991</v>
      </c>
      <c r="W1652" s="0" t="s">
        <v>10472</v>
      </c>
      <c r="X1652" s="0" t="s">
        <v>347</v>
      </c>
      <c r="Y1652" s="0" t="s">
        <v>56</v>
      </c>
      <c r="Z1652" s="0" t="s">
        <v>570</v>
      </c>
      <c r="AA1652" s="0" t="s">
        <v>55</v>
      </c>
      <c r="AB1652" s="0" t="s">
        <v>531</v>
      </c>
      <c r="AC1652" s="0" t="s">
        <v>532</v>
      </c>
      <c r="AD1652" s="0" t="s">
        <v>572</v>
      </c>
      <c r="AF1652" s="0" t="s">
        <v>301</v>
      </c>
      <c r="AP1652" s="0" t="s">
        <v>305</v>
      </c>
      <c r="BA1652" s="0">
        <v>589</v>
      </c>
      <c r="BB1652" s="0" t="s">
        <v>232</v>
      </c>
      <c r="BC1652" s="0">
        <v>2</v>
      </c>
      <c r="BD1652" s="0">
        <v>10</v>
      </c>
      <c r="BE1652" s="0">
        <v>519203</v>
      </c>
      <c r="BF1652" s="0">
        <v>4</v>
      </c>
      <c r="BG1652" s="0" t="s">
        <v>10992</v>
      </c>
      <c r="BI1652" s="0">
        <v>5047</v>
      </c>
      <c r="BK1652" s="0" t="s">
        <v>10993</v>
      </c>
    </row>
    <row r="1653">
      <c r="A1653" s="0">
        <v>6396</v>
      </c>
      <c r="B1653" s="0" t="s">
        <v>10994</v>
      </c>
      <c r="C1653" s="0" t="s">
        <v>1139</v>
      </c>
      <c r="D1653" s="0" t="s">
        <v>10995</v>
      </c>
      <c r="E1653" s="0" t="s">
        <v>10996</v>
      </c>
      <c r="F1653" s="0">
        <v>1</v>
      </c>
      <c r="G1653" s="0" t="s">
        <v>293</v>
      </c>
      <c r="H1653" s="0" t="s">
        <v>294</v>
      </c>
      <c r="I1653" s="0" t="s">
        <v>918</v>
      </c>
      <c r="P1653" s="0" t="s">
        <v>343</v>
      </c>
      <c r="Q1653" s="0" t="s">
        <v>343</v>
      </c>
      <c r="U1653" s="0" t="s">
        <v>10997</v>
      </c>
      <c r="W1653" s="0" t="s">
        <v>10998</v>
      </c>
      <c r="X1653" s="0" t="s">
        <v>347</v>
      </c>
      <c r="Y1653" s="0" t="s">
        <v>65</v>
      </c>
      <c r="Z1653" s="0" t="s">
        <v>10999</v>
      </c>
      <c r="AA1653" s="0" t="s">
        <v>64</v>
      </c>
      <c r="AB1653" s="0" t="s">
        <v>531</v>
      </c>
      <c r="AF1653" s="0" t="s">
        <v>301</v>
      </c>
      <c r="AM1653" s="0" t="s">
        <v>11000</v>
      </c>
      <c r="AN1653" s="0" t="s">
        <v>599</v>
      </c>
      <c r="AO1653" s="0" t="s">
        <v>391</v>
      </c>
      <c r="AP1653" s="0" t="s">
        <v>305</v>
      </c>
      <c r="AQ1653" s="0" t="s">
        <v>11001</v>
      </c>
      <c r="AR1653" s="0" t="s">
        <v>310</v>
      </c>
      <c r="AS1653" s="0">
        <v>72</v>
      </c>
      <c r="AT1653" s="0">
        <v>144</v>
      </c>
      <c r="AU1653" s="0">
        <v>182</v>
      </c>
      <c r="AV1653" s="0" t="s">
        <v>332</v>
      </c>
      <c r="AW1653" s="0" t="s">
        <v>332</v>
      </c>
      <c r="AX1653" s="0" t="s">
        <v>11002</v>
      </c>
      <c r="AY1653" s="0" t="s">
        <v>781</v>
      </c>
      <c r="AZ1653" s="0" t="s">
        <v>1287</v>
      </c>
      <c r="BA1653" s="0">
        <v>590</v>
      </c>
      <c r="BB1653" s="0" t="s">
        <v>232</v>
      </c>
      <c r="BC1653" s="0">
        <v>2</v>
      </c>
      <c r="BD1653" s="0">
        <v>38030</v>
      </c>
      <c r="BE1653" s="0">
        <v>70561</v>
      </c>
      <c r="BF1653" s="0">
        <v>4</v>
      </c>
      <c r="BG1653" s="0" t="s">
        <v>11003</v>
      </c>
      <c r="BI1653" s="0">
        <v>1470</v>
      </c>
      <c r="BK1653" s="0" t="s">
        <v>11004</v>
      </c>
    </row>
    <row r="1654">
      <c r="A1654" s="0">
        <v>6419</v>
      </c>
      <c r="B1654" s="0" t="s">
        <v>11005</v>
      </c>
      <c r="C1654" s="0" t="s">
        <v>579</v>
      </c>
      <c r="D1654" s="0" t="s">
        <v>10995</v>
      </c>
      <c r="E1654" s="0" t="s">
        <v>4057</v>
      </c>
      <c r="F1654" s="0">
        <v>1</v>
      </c>
      <c r="G1654" s="0" t="s">
        <v>293</v>
      </c>
      <c r="H1654" s="0" t="s">
        <v>294</v>
      </c>
      <c r="I1654" s="0" t="s">
        <v>918</v>
      </c>
      <c r="J1654" s="0" t="s">
        <v>581</v>
      </c>
      <c r="L1654" s="0" t="s">
        <v>583</v>
      </c>
      <c r="P1654" s="0" t="s">
        <v>343</v>
      </c>
      <c r="Q1654" s="0" t="s">
        <v>343</v>
      </c>
      <c r="U1654" s="0" t="s">
        <v>11006</v>
      </c>
      <c r="W1654" s="0" t="s">
        <v>10998</v>
      </c>
      <c r="X1654" s="0" t="s">
        <v>347</v>
      </c>
      <c r="Y1654" s="0" t="s">
        <v>65</v>
      </c>
      <c r="Z1654" s="0" t="s">
        <v>10999</v>
      </c>
      <c r="AA1654" s="0" t="s">
        <v>64</v>
      </c>
      <c r="AB1654" s="0" t="s">
        <v>531</v>
      </c>
      <c r="AF1654" s="0" t="s">
        <v>301</v>
      </c>
      <c r="AP1654" s="0" t="s">
        <v>305</v>
      </c>
      <c r="BA1654" s="0">
        <v>590</v>
      </c>
      <c r="BB1654" s="0" t="s">
        <v>232</v>
      </c>
      <c r="BC1654" s="0">
        <v>2</v>
      </c>
      <c r="BD1654" s="0">
        <v>374046</v>
      </c>
      <c r="BE1654" s="0">
        <v>70561</v>
      </c>
      <c r="BF1654" s="0">
        <v>4</v>
      </c>
      <c r="BG1654" s="0" t="s">
        <v>11007</v>
      </c>
      <c r="BI1654" s="0">
        <v>1736</v>
      </c>
      <c r="BK1654" s="0" t="s">
        <v>11008</v>
      </c>
    </row>
    <row r="1655">
      <c r="A1655" s="0">
        <v>6420</v>
      </c>
      <c r="B1655" s="0" t="s">
        <v>11009</v>
      </c>
      <c r="C1655" s="0" t="s">
        <v>315</v>
      </c>
      <c r="D1655" s="0" t="s">
        <v>10995</v>
      </c>
      <c r="E1655" s="0" t="s">
        <v>8378</v>
      </c>
      <c r="F1655" s="0">
        <v>4</v>
      </c>
      <c r="G1655" s="0" t="s">
        <v>293</v>
      </c>
      <c r="H1655" s="0" t="s">
        <v>294</v>
      </c>
      <c r="I1655" s="0" t="s">
        <v>918</v>
      </c>
      <c r="J1655" s="0" t="s">
        <v>2635</v>
      </c>
      <c r="L1655" s="0" t="s">
        <v>11010</v>
      </c>
      <c r="P1655" s="0" t="s">
        <v>343</v>
      </c>
      <c r="Q1655" s="0" t="s">
        <v>343</v>
      </c>
      <c r="U1655" s="0" t="s">
        <v>11011</v>
      </c>
      <c r="W1655" s="0" t="s">
        <v>10998</v>
      </c>
      <c r="X1655" s="0" t="s">
        <v>347</v>
      </c>
      <c r="Y1655" s="0" t="s">
        <v>65</v>
      </c>
      <c r="Z1655" s="0" t="s">
        <v>10999</v>
      </c>
      <c r="AA1655" s="0" t="s">
        <v>64</v>
      </c>
      <c r="AB1655" s="0" t="s">
        <v>531</v>
      </c>
      <c r="AF1655" s="0" t="s">
        <v>301</v>
      </c>
      <c r="AP1655" s="0" t="s">
        <v>305</v>
      </c>
      <c r="BA1655" s="0">
        <v>590</v>
      </c>
      <c r="BB1655" s="0" t="s">
        <v>232</v>
      </c>
      <c r="BC1655" s="0">
        <v>2</v>
      </c>
      <c r="BD1655" s="0">
        <v>374043</v>
      </c>
      <c r="BE1655" s="0">
        <v>70561</v>
      </c>
      <c r="BF1655" s="0">
        <v>4</v>
      </c>
      <c r="BG1655" s="0" t="s">
        <v>11012</v>
      </c>
      <c r="BI1655" s="0">
        <v>1977</v>
      </c>
      <c r="BK1655" s="0" t="s">
        <v>11013</v>
      </c>
    </row>
    <row r="1656">
      <c r="A1656" s="0">
        <v>6421</v>
      </c>
      <c r="B1656" s="0" t="s">
        <v>11014</v>
      </c>
      <c r="C1656" s="0" t="s">
        <v>315</v>
      </c>
      <c r="D1656" s="0" t="s">
        <v>10995</v>
      </c>
      <c r="E1656" s="0" t="s">
        <v>8378</v>
      </c>
      <c r="F1656" s="0">
        <v>2</v>
      </c>
      <c r="G1656" s="0" t="s">
        <v>293</v>
      </c>
      <c r="H1656" s="0" t="s">
        <v>294</v>
      </c>
      <c r="I1656" s="0" t="s">
        <v>918</v>
      </c>
      <c r="J1656" s="0" t="s">
        <v>2635</v>
      </c>
      <c r="L1656" s="0" t="s">
        <v>11015</v>
      </c>
      <c r="P1656" s="0" t="s">
        <v>343</v>
      </c>
      <c r="Q1656" s="0" t="s">
        <v>343</v>
      </c>
      <c r="U1656" s="0" t="s">
        <v>11016</v>
      </c>
      <c r="W1656" s="0" t="s">
        <v>10998</v>
      </c>
      <c r="X1656" s="0" t="s">
        <v>347</v>
      </c>
      <c r="Y1656" s="0" t="s">
        <v>65</v>
      </c>
      <c r="Z1656" s="0" t="s">
        <v>10999</v>
      </c>
      <c r="AA1656" s="0" t="s">
        <v>64</v>
      </c>
      <c r="AB1656" s="0" t="s">
        <v>531</v>
      </c>
      <c r="AF1656" s="0" t="s">
        <v>301</v>
      </c>
      <c r="AP1656" s="0" t="s">
        <v>305</v>
      </c>
      <c r="BA1656" s="0">
        <v>590</v>
      </c>
      <c r="BB1656" s="0" t="s">
        <v>232</v>
      </c>
      <c r="BC1656" s="0">
        <v>2</v>
      </c>
      <c r="BD1656" s="0">
        <v>374043</v>
      </c>
      <c r="BE1656" s="0">
        <v>70561</v>
      </c>
      <c r="BF1656" s="0">
        <v>4</v>
      </c>
      <c r="BG1656" s="0" t="s">
        <v>11017</v>
      </c>
      <c r="BI1656" s="0">
        <v>2204</v>
      </c>
      <c r="BK1656" s="0" t="s">
        <v>11018</v>
      </c>
    </row>
    <row r="1657">
      <c r="A1657" s="0">
        <v>6395</v>
      </c>
      <c r="B1657" s="0" t="s">
        <v>11019</v>
      </c>
      <c r="C1657" s="0" t="s">
        <v>656</v>
      </c>
      <c r="D1657" s="0" t="s">
        <v>10995</v>
      </c>
      <c r="E1657" s="0" t="s">
        <v>11020</v>
      </c>
      <c r="F1657" s="0">
        <v>12</v>
      </c>
      <c r="G1657" s="0" t="s">
        <v>555</v>
      </c>
      <c r="H1657" s="0" t="s">
        <v>593</v>
      </c>
      <c r="I1657" s="0" t="s">
        <v>1204</v>
      </c>
      <c r="J1657" s="0" t="s">
        <v>293</v>
      </c>
      <c r="K1657" s="0" t="s">
        <v>294</v>
      </c>
      <c r="L1657" s="0" t="s">
        <v>918</v>
      </c>
      <c r="P1657" s="0" t="s">
        <v>343</v>
      </c>
      <c r="Q1657" s="0" t="s">
        <v>343</v>
      </c>
      <c r="U1657" s="0" t="s">
        <v>11021</v>
      </c>
      <c r="W1657" s="0" t="s">
        <v>10998</v>
      </c>
      <c r="X1657" s="0" t="s">
        <v>347</v>
      </c>
      <c r="Y1657" s="0" t="s">
        <v>65</v>
      </c>
      <c r="Z1657" s="0" t="s">
        <v>10999</v>
      </c>
      <c r="AA1657" s="0" t="s">
        <v>64</v>
      </c>
      <c r="AB1657" s="0" t="s">
        <v>531</v>
      </c>
      <c r="AF1657" s="0" t="s">
        <v>301</v>
      </c>
      <c r="AP1657" s="0" t="s">
        <v>305</v>
      </c>
      <c r="BA1657" s="0">
        <v>590</v>
      </c>
      <c r="BB1657" s="0" t="s">
        <v>232</v>
      </c>
      <c r="BC1657" s="0">
        <v>2</v>
      </c>
      <c r="BD1657" s="0">
        <v>10</v>
      </c>
      <c r="BE1657" s="0">
        <v>70561</v>
      </c>
      <c r="BF1657" s="0">
        <v>4</v>
      </c>
      <c r="BG1657" s="0" t="s">
        <v>11022</v>
      </c>
      <c r="BI1657" s="0">
        <v>1172</v>
      </c>
      <c r="BK1657" s="0" t="s">
        <v>11023</v>
      </c>
    </row>
    <row r="1658">
      <c r="A1658" s="0">
        <v>6417</v>
      </c>
      <c r="B1658" s="0" t="s">
        <v>11024</v>
      </c>
      <c r="C1658" s="0" t="s">
        <v>656</v>
      </c>
      <c r="D1658" s="0" t="s">
        <v>10995</v>
      </c>
      <c r="E1658" s="0" t="s">
        <v>8662</v>
      </c>
      <c r="F1658" s="0">
        <v>1</v>
      </c>
      <c r="G1658" s="0" t="s">
        <v>555</v>
      </c>
      <c r="H1658" s="0" t="s">
        <v>593</v>
      </c>
      <c r="I1658" s="0" t="s">
        <v>1204</v>
      </c>
      <c r="J1658" s="0" t="s">
        <v>293</v>
      </c>
      <c r="K1658" s="0" t="s">
        <v>294</v>
      </c>
      <c r="L1658" s="0" t="s">
        <v>295</v>
      </c>
      <c r="P1658" s="0" t="s">
        <v>343</v>
      </c>
      <c r="Q1658" s="0" t="s">
        <v>343</v>
      </c>
      <c r="U1658" s="0" t="s">
        <v>11025</v>
      </c>
      <c r="W1658" s="0" t="s">
        <v>10998</v>
      </c>
      <c r="X1658" s="0" t="s">
        <v>347</v>
      </c>
      <c r="Y1658" s="0" t="s">
        <v>65</v>
      </c>
      <c r="Z1658" s="0" t="s">
        <v>10999</v>
      </c>
      <c r="AA1658" s="0" t="s">
        <v>64</v>
      </c>
      <c r="AB1658" s="0" t="s">
        <v>531</v>
      </c>
      <c r="AF1658" s="0" t="s">
        <v>301</v>
      </c>
      <c r="AP1658" s="0" t="s">
        <v>305</v>
      </c>
      <c r="BA1658" s="0">
        <v>590</v>
      </c>
      <c r="BB1658" s="0" t="s">
        <v>232</v>
      </c>
      <c r="BC1658" s="0">
        <v>2</v>
      </c>
      <c r="BD1658" s="0">
        <v>10</v>
      </c>
      <c r="BE1658" s="0">
        <v>70561</v>
      </c>
      <c r="BF1658" s="0">
        <v>4</v>
      </c>
      <c r="BG1658" s="0" t="s">
        <v>11026</v>
      </c>
      <c r="BI1658" s="0">
        <v>1173</v>
      </c>
      <c r="BK1658" s="0" t="s">
        <v>11027</v>
      </c>
    </row>
    <row r="1659">
      <c r="A1659" s="0">
        <v>6418</v>
      </c>
      <c r="C1659" s="0" t="s">
        <v>656</v>
      </c>
      <c r="D1659" s="0" t="s">
        <v>10995</v>
      </c>
      <c r="E1659" s="0" t="s">
        <v>4169</v>
      </c>
      <c r="F1659" s="0">
        <v>1</v>
      </c>
      <c r="G1659" s="0" t="s">
        <v>555</v>
      </c>
      <c r="H1659" s="0" t="s">
        <v>593</v>
      </c>
      <c r="I1659" s="0" t="s">
        <v>469</v>
      </c>
      <c r="J1659" s="0" t="s">
        <v>293</v>
      </c>
      <c r="K1659" s="0" t="s">
        <v>294</v>
      </c>
      <c r="L1659" s="0" t="s">
        <v>295</v>
      </c>
      <c r="P1659" s="0" t="s">
        <v>343</v>
      </c>
      <c r="Q1659" s="0" t="s">
        <v>343</v>
      </c>
      <c r="U1659" s="0" t="s">
        <v>11028</v>
      </c>
      <c r="W1659" s="0" t="s">
        <v>10998</v>
      </c>
      <c r="X1659" s="0" t="s">
        <v>347</v>
      </c>
      <c r="Y1659" s="0" t="s">
        <v>65</v>
      </c>
      <c r="Z1659" s="0" t="s">
        <v>10999</v>
      </c>
      <c r="AA1659" s="0" t="s">
        <v>64</v>
      </c>
      <c r="AB1659" s="0" t="s">
        <v>531</v>
      </c>
      <c r="AF1659" s="0" t="s">
        <v>301</v>
      </c>
      <c r="AP1659" s="0" t="s">
        <v>305</v>
      </c>
      <c r="BA1659" s="0">
        <v>590</v>
      </c>
      <c r="BB1659" s="0" t="s">
        <v>232</v>
      </c>
      <c r="BC1659" s="0">
        <v>2</v>
      </c>
      <c r="BD1659" s="0">
        <v>10</v>
      </c>
      <c r="BE1659" s="0">
        <v>70561</v>
      </c>
      <c r="BF1659" s="0">
        <v>4</v>
      </c>
      <c r="BG1659" s="0" t="s">
        <v>11029</v>
      </c>
      <c r="BI1659" s="0">
        <v>1469</v>
      </c>
      <c r="BK1659" s="0" t="s">
        <v>11030</v>
      </c>
    </row>
    <row r="1660">
      <c r="A1660" s="0">
        <v>6423</v>
      </c>
      <c r="B1660" s="0" t="s">
        <v>11031</v>
      </c>
      <c r="C1660" s="0" t="s">
        <v>945</v>
      </c>
      <c r="D1660" s="0" t="s">
        <v>10998</v>
      </c>
      <c r="E1660" s="0" t="s">
        <v>11032</v>
      </c>
      <c r="F1660" s="0">
        <v>1</v>
      </c>
      <c r="G1660" s="0" t="s">
        <v>319</v>
      </c>
      <c r="H1660" s="0" t="s">
        <v>658</v>
      </c>
      <c r="I1660" s="0" t="s">
        <v>8059</v>
      </c>
      <c r="P1660" s="0" t="s">
        <v>323</v>
      </c>
      <c r="Q1660" s="0" t="s">
        <v>868</v>
      </c>
      <c r="R1660" s="0" t="s">
        <v>1791</v>
      </c>
      <c r="T1660" s="0" t="s">
        <v>11033</v>
      </c>
      <c r="U1660" s="0" t="s">
        <v>11034</v>
      </c>
      <c r="W1660" s="0" t="s">
        <v>10998</v>
      </c>
      <c r="X1660" s="0" t="s">
        <v>347</v>
      </c>
      <c r="Y1660" s="0" t="s">
        <v>67</v>
      </c>
      <c r="Z1660" s="0" t="s">
        <v>11035</v>
      </c>
      <c r="AA1660" s="0" t="s">
        <v>66</v>
      </c>
      <c r="AB1660" s="0" t="s">
        <v>3740</v>
      </c>
      <c r="AC1660" s="0" t="s">
        <v>532</v>
      </c>
      <c r="AF1660" s="0" t="s">
        <v>301</v>
      </c>
      <c r="AM1660" s="0" t="s">
        <v>503</v>
      </c>
      <c r="AN1660" s="0" t="s">
        <v>611</v>
      </c>
      <c r="AO1660" s="0" t="s">
        <v>11036</v>
      </c>
      <c r="AP1660" s="0" t="s">
        <v>305</v>
      </c>
      <c r="AQ1660" s="0" t="s">
        <v>1024</v>
      </c>
      <c r="AR1660" s="0" t="s">
        <v>489</v>
      </c>
      <c r="AS1660" s="0">
        <v>58</v>
      </c>
      <c r="AT1660" s="0">
        <v>117</v>
      </c>
      <c r="AU1660" s="0">
        <v>140</v>
      </c>
      <c r="AV1660" s="0" t="s">
        <v>332</v>
      </c>
      <c r="AW1660" s="0" t="s">
        <v>332</v>
      </c>
      <c r="AX1660" s="0" t="s">
        <v>739</v>
      </c>
      <c r="AY1660" s="0" t="s">
        <v>387</v>
      </c>
      <c r="AZ1660" s="0" t="s">
        <v>707</v>
      </c>
      <c r="BA1660" s="0">
        <v>591</v>
      </c>
      <c r="BB1660" s="0" t="s">
        <v>232</v>
      </c>
      <c r="BC1660" s="0">
        <v>2</v>
      </c>
      <c r="BD1660" s="0">
        <v>14</v>
      </c>
      <c r="BE1660" s="0">
        <v>76572</v>
      </c>
      <c r="BF1660" s="0">
        <v>4</v>
      </c>
      <c r="BG1660" s="0" t="s">
        <v>11037</v>
      </c>
      <c r="BI1660" s="0">
        <v>457</v>
      </c>
      <c r="BK1660" s="0" t="s">
        <v>11038</v>
      </c>
    </row>
    <row r="1661">
      <c r="A1661" s="0">
        <v>6495</v>
      </c>
      <c r="B1661" s="0" t="s">
        <v>11039</v>
      </c>
      <c r="C1661" s="0" t="s">
        <v>1855</v>
      </c>
      <c r="D1661" s="0" t="s">
        <v>11040</v>
      </c>
      <c r="E1661" s="0" t="s">
        <v>11041</v>
      </c>
      <c r="F1661" s="0">
        <v>1</v>
      </c>
      <c r="G1661" s="0" t="s">
        <v>525</v>
      </c>
      <c r="H1661" s="0" t="s">
        <v>400</v>
      </c>
      <c r="I1661" s="0" t="s">
        <v>1133</v>
      </c>
      <c r="J1661" s="0" t="s">
        <v>293</v>
      </c>
      <c r="K1661" s="0" t="s">
        <v>294</v>
      </c>
      <c r="L1661" s="0" t="s">
        <v>295</v>
      </c>
      <c r="P1661" s="0" t="s">
        <v>343</v>
      </c>
      <c r="Q1661" s="0" t="s">
        <v>343</v>
      </c>
      <c r="T1661" s="0" t="s">
        <v>11042</v>
      </c>
      <c r="U1661" s="0" t="s">
        <v>11043</v>
      </c>
      <c r="W1661" s="0" t="s">
        <v>11044</v>
      </c>
      <c r="X1661" s="0" t="s">
        <v>347</v>
      </c>
      <c r="Y1661" s="0" t="s">
        <v>60</v>
      </c>
      <c r="Z1661" s="0" t="s">
        <v>5926</v>
      </c>
      <c r="AA1661" s="0" t="s">
        <v>59</v>
      </c>
      <c r="AB1661" s="0" t="s">
        <v>531</v>
      </c>
      <c r="AC1661" s="0" t="s">
        <v>571</v>
      </c>
      <c r="AD1661" s="0" t="s">
        <v>11045</v>
      </c>
      <c r="AF1661" s="0" t="s">
        <v>301</v>
      </c>
      <c r="AP1661" s="0" t="s">
        <v>305</v>
      </c>
      <c r="BA1661" s="0">
        <v>593</v>
      </c>
      <c r="BB1661" s="0" t="s">
        <v>232</v>
      </c>
      <c r="BC1661" s="0">
        <v>2</v>
      </c>
      <c r="BD1661" s="0">
        <v>28</v>
      </c>
      <c r="BE1661" s="0">
        <v>305</v>
      </c>
      <c r="BF1661" s="0">
        <v>4</v>
      </c>
      <c r="BG1661" s="0" t="s">
        <v>11046</v>
      </c>
      <c r="BI1661" s="0">
        <v>460</v>
      </c>
      <c r="BK1661" s="0" t="s">
        <v>11047</v>
      </c>
    </row>
    <row r="1662">
      <c r="A1662" s="0">
        <v>6496</v>
      </c>
      <c r="B1662" s="0" t="s">
        <v>11048</v>
      </c>
      <c r="C1662" s="0" t="s">
        <v>315</v>
      </c>
      <c r="D1662" s="0" t="s">
        <v>11040</v>
      </c>
      <c r="E1662" s="0" t="s">
        <v>11049</v>
      </c>
      <c r="F1662" s="0">
        <v>1</v>
      </c>
      <c r="G1662" s="0" t="s">
        <v>555</v>
      </c>
      <c r="H1662" s="0" t="s">
        <v>6541</v>
      </c>
      <c r="I1662" s="0" t="s">
        <v>417</v>
      </c>
      <c r="K1662" s="0" t="s">
        <v>400</v>
      </c>
      <c r="L1662" s="0" t="s">
        <v>549</v>
      </c>
      <c r="P1662" s="0" t="s">
        <v>2521</v>
      </c>
      <c r="Q1662" s="0" t="s">
        <v>2521</v>
      </c>
      <c r="R1662" s="0" t="s">
        <v>10322</v>
      </c>
      <c r="U1662" s="0" t="s">
        <v>11050</v>
      </c>
      <c r="W1662" s="0" t="s">
        <v>10472</v>
      </c>
      <c r="X1662" s="0" t="s">
        <v>347</v>
      </c>
      <c r="Y1662" s="0" t="s">
        <v>63</v>
      </c>
      <c r="Z1662" s="0" t="s">
        <v>5387</v>
      </c>
      <c r="AA1662" s="0" t="s">
        <v>62</v>
      </c>
      <c r="AB1662" s="0" t="s">
        <v>531</v>
      </c>
      <c r="AC1662" s="0" t="s">
        <v>571</v>
      </c>
      <c r="AF1662" s="0" t="s">
        <v>301</v>
      </c>
      <c r="AP1662" s="0" t="s">
        <v>305</v>
      </c>
      <c r="BA1662" s="0">
        <v>594</v>
      </c>
      <c r="BB1662" s="0" t="s">
        <v>232</v>
      </c>
      <c r="BC1662" s="0">
        <v>2</v>
      </c>
      <c r="BD1662" s="0">
        <v>374043</v>
      </c>
      <c r="BE1662" s="0">
        <v>2566</v>
      </c>
      <c r="BF1662" s="0">
        <v>4</v>
      </c>
      <c r="BG1662" s="0" t="s">
        <v>11051</v>
      </c>
      <c r="BI1662" s="0">
        <v>461</v>
      </c>
      <c r="BK1662" s="0" t="s">
        <v>11052</v>
      </c>
    </row>
    <row r="1663">
      <c r="A1663" s="0">
        <v>6498</v>
      </c>
      <c r="B1663" s="0" t="s">
        <v>11053</v>
      </c>
      <c r="C1663" s="0" t="s">
        <v>315</v>
      </c>
      <c r="D1663" s="0" t="s">
        <v>11054</v>
      </c>
      <c r="E1663" s="0" t="s">
        <v>11055</v>
      </c>
      <c r="F1663" s="0">
        <v>5</v>
      </c>
      <c r="G1663" s="0" t="s">
        <v>319</v>
      </c>
      <c r="H1663" s="0" t="s">
        <v>11056</v>
      </c>
      <c r="I1663" s="0" t="s">
        <v>2656</v>
      </c>
      <c r="J1663" s="0" t="s">
        <v>293</v>
      </c>
      <c r="K1663" s="0" t="s">
        <v>294</v>
      </c>
      <c r="L1663" s="0" t="s">
        <v>918</v>
      </c>
      <c r="M1663" s="0" t="s">
        <v>10445</v>
      </c>
      <c r="P1663" s="0" t="s">
        <v>11057</v>
      </c>
      <c r="Q1663" s="0" t="s">
        <v>11058</v>
      </c>
      <c r="R1663" s="0" t="s">
        <v>11059</v>
      </c>
      <c r="T1663" s="0" t="s">
        <v>11060</v>
      </c>
      <c r="U1663" s="0" t="s">
        <v>11061</v>
      </c>
      <c r="X1663" s="0" t="s">
        <v>529</v>
      </c>
      <c r="Y1663" s="0" t="s">
        <v>69</v>
      </c>
      <c r="Z1663" s="0" t="s">
        <v>9248</v>
      </c>
      <c r="AA1663" s="0" t="s">
        <v>228</v>
      </c>
      <c r="AB1663" s="0" t="s">
        <v>531</v>
      </c>
      <c r="AC1663" s="0" t="s">
        <v>571</v>
      </c>
      <c r="AD1663" s="0" t="s">
        <v>10450</v>
      </c>
      <c r="AF1663" s="0" t="s">
        <v>301</v>
      </c>
      <c r="AP1663" s="0" t="s">
        <v>305</v>
      </c>
      <c r="BA1663" s="0">
        <v>595</v>
      </c>
      <c r="BB1663" s="0" t="s">
        <v>232</v>
      </c>
      <c r="BC1663" s="0">
        <v>2</v>
      </c>
      <c r="BD1663" s="0">
        <v>374043</v>
      </c>
      <c r="BE1663" s="0">
        <v>519892</v>
      </c>
      <c r="BF1663" s="0">
        <v>2</v>
      </c>
      <c r="BG1663" s="0" t="s">
        <v>11062</v>
      </c>
      <c r="BI1663" s="0">
        <v>850</v>
      </c>
      <c r="BK1663" s="0" t="s">
        <v>11063</v>
      </c>
    </row>
    <row r="1664">
      <c r="A1664" s="0">
        <v>6499</v>
      </c>
      <c r="B1664" s="0" t="s">
        <v>11064</v>
      </c>
      <c r="C1664" s="0" t="s">
        <v>315</v>
      </c>
      <c r="D1664" s="0" t="s">
        <v>11054</v>
      </c>
      <c r="E1664" s="0" t="s">
        <v>11065</v>
      </c>
      <c r="F1664" s="0">
        <v>5</v>
      </c>
      <c r="G1664" s="0" t="s">
        <v>2566</v>
      </c>
      <c r="H1664" s="0" t="s">
        <v>400</v>
      </c>
      <c r="I1664" s="0" t="s">
        <v>549</v>
      </c>
      <c r="J1664" s="0" t="s">
        <v>319</v>
      </c>
      <c r="K1664" s="0" t="s">
        <v>1003</v>
      </c>
      <c r="L1664" s="0" t="s">
        <v>524</v>
      </c>
      <c r="T1664" s="0" t="s">
        <v>11066</v>
      </c>
      <c r="U1664" s="0" t="s">
        <v>11067</v>
      </c>
      <c r="X1664" s="0" t="s">
        <v>347</v>
      </c>
      <c r="Y1664" s="0" t="s">
        <v>69</v>
      </c>
      <c r="Z1664" s="0" t="s">
        <v>9248</v>
      </c>
      <c r="AA1664" s="0" t="s">
        <v>228</v>
      </c>
      <c r="AB1664" s="0" t="s">
        <v>531</v>
      </c>
      <c r="AC1664" s="0" t="s">
        <v>571</v>
      </c>
      <c r="AD1664" s="0" t="s">
        <v>10450</v>
      </c>
      <c r="AF1664" s="0" t="s">
        <v>301</v>
      </c>
      <c r="AP1664" s="0" t="s">
        <v>305</v>
      </c>
      <c r="BA1664" s="0">
        <v>595</v>
      </c>
      <c r="BB1664" s="0" t="s">
        <v>232</v>
      </c>
      <c r="BC1664" s="0">
        <v>2</v>
      </c>
      <c r="BD1664" s="0">
        <v>374043</v>
      </c>
      <c r="BE1664" s="0">
        <v>519892</v>
      </c>
      <c r="BF1664" s="0">
        <v>4</v>
      </c>
      <c r="BG1664" s="0" t="s">
        <v>11068</v>
      </c>
      <c r="BI1664" s="0">
        <v>1177</v>
      </c>
      <c r="BK1664" s="0" t="s">
        <v>11069</v>
      </c>
    </row>
    <row r="1665">
      <c r="A1665" s="0">
        <v>6497</v>
      </c>
      <c r="B1665" s="0" t="s">
        <v>11070</v>
      </c>
      <c r="C1665" s="0" t="s">
        <v>290</v>
      </c>
      <c r="D1665" s="0" t="s">
        <v>11054</v>
      </c>
      <c r="E1665" s="0" t="s">
        <v>11071</v>
      </c>
      <c r="F1665" s="0">
        <v>2</v>
      </c>
      <c r="G1665" s="0" t="s">
        <v>293</v>
      </c>
      <c r="H1665" s="0" t="s">
        <v>294</v>
      </c>
      <c r="I1665" s="0" t="s">
        <v>11072</v>
      </c>
      <c r="J1665" s="0" t="s">
        <v>2566</v>
      </c>
      <c r="K1665" s="0" t="s">
        <v>10445</v>
      </c>
      <c r="L1665" s="0" t="s">
        <v>469</v>
      </c>
      <c r="T1665" s="0" t="s">
        <v>11073</v>
      </c>
      <c r="U1665" s="0" t="s">
        <v>11074</v>
      </c>
      <c r="X1665" s="0" t="s">
        <v>347</v>
      </c>
      <c r="Y1665" s="0" t="s">
        <v>69</v>
      </c>
      <c r="Z1665" s="0" t="s">
        <v>9248</v>
      </c>
      <c r="AA1665" s="0" t="s">
        <v>228</v>
      </c>
      <c r="AB1665" s="0" t="s">
        <v>531</v>
      </c>
      <c r="AC1665" s="0" t="s">
        <v>571</v>
      </c>
      <c r="AD1665" s="0" t="s">
        <v>10450</v>
      </c>
      <c r="AF1665" s="0" t="s">
        <v>301</v>
      </c>
      <c r="AP1665" s="0" t="s">
        <v>305</v>
      </c>
      <c r="BA1665" s="0">
        <v>595</v>
      </c>
      <c r="BB1665" s="0" t="s">
        <v>232</v>
      </c>
      <c r="BC1665" s="0">
        <v>2</v>
      </c>
      <c r="BD1665" s="0">
        <v>374053</v>
      </c>
      <c r="BE1665" s="0">
        <v>519892</v>
      </c>
      <c r="BF1665" s="0">
        <v>4</v>
      </c>
      <c r="BG1665" s="0" t="s">
        <v>11075</v>
      </c>
      <c r="BI1665" s="0">
        <v>463</v>
      </c>
      <c r="BK1665" s="0" t="s">
        <v>11076</v>
      </c>
    </row>
    <row r="1666">
      <c r="A1666" s="0">
        <v>6501</v>
      </c>
      <c r="B1666" s="0" t="s">
        <v>11077</v>
      </c>
      <c r="C1666" s="0" t="s">
        <v>339</v>
      </c>
      <c r="D1666" s="0" t="s">
        <v>11054</v>
      </c>
      <c r="E1666" s="0" t="s">
        <v>11078</v>
      </c>
      <c r="F1666" s="0">
        <v>2</v>
      </c>
      <c r="G1666" s="0" t="s">
        <v>319</v>
      </c>
      <c r="H1666" s="0" t="s">
        <v>11079</v>
      </c>
      <c r="I1666" s="0" t="s">
        <v>1268</v>
      </c>
      <c r="J1666" s="0" t="s">
        <v>759</v>
      </c>
      <c r="K1666" s="0" t="s">
        <v>1685</v>
      </c>
      <c r="M1666" s="0" t="s">
        <v>2566</v>
      </c>
      <c r="N1666" s="0" t="s">
        <v>10445</v>
      </c>
      <c r="O1666" s="0" t="s">
        <v>1268</v>
      </c>
      <c r="T1666" s="0" t="s">
        <v>11080</v>
      </c>
      <c r="U1666" s="0" t="s">
        <v>11081</v>
      </c>
      <c r="X1666" s="0" t="s">
        <v>529</v>
      </c>
      <c r="Y1666" s="0" t="s">
        <v>69</v>
      </c>
      <c r="Z1666" s="0" t="s">
        <v>9248</v>
      </c>
      <c r="AA1666" s="0" t="s">
        <v>228</v>
      </c>
      <c r="AB1666" s="0" t="s">
        <v>531</v>
      </c>
      <c r="AC1666" s="0" t="s">
        <v>571</v>
      </c>
      <c r="AD1666" s="0" t="s">
        <v>10450</v>
      </c>
      <c r="AF1666" s="0" t="s">
        <v>301</v>
      </c>
      <c r="AP1666" s="0" t="s">
        <v>305</v>
      </c>
      <c r="BA1666" s="0">
        <v>595</v>
      </c>
      <c r="BB1666" s="0" t="s">
        <v>232</v>
      </c>
      <c r="BC1666" s="0">
        <v>2</v>
      </c>
      <c r="BD1666" s="0">
        <v>8</v>
      </c>
      <c r="BE1666" s="0">
        <v>519892</v>
      </c>
      <c r="BF1666" s="0">
        <v>2</v>
      </c>
      <c r="BG1666" s="0" t="s">
        <v>11082</v>
      </c>
      <c r="BI1666" s="0">
        <v>1740</v>
      </c>
      <c r="BK1666" s="0" t="s">
        <v>11083</v>
      </c>
    </row>
    <row r="1667">
      <c r="A1667" s="0">
        <v>6502</v>
      </c>
      <c r="B1667" s="0" t="s">
        <v>11084</v>
      </c>
      <c r="C1667" s="0" t="s">
        <v>339</v>
      </c>
      <c r="D1667" s="0" t="s">
        <v>11054</v>
      </c>
      <c r="E1667" s="0" t="s">
        <v>11085</v>
      </c>
      <c r="F1667" s="0">
        <v>2</v>
      </c>
      <c r="G1667" s="0" t="s">
        <v>319</v>
      </c>
      <c r="H1667" s="0" t="s">
        <v>11086</v>
      </c>
      <c r="I1667" s="0" t="s">
        <v>1268</v>
      </c>
      <c r="J1667" s="0" t="s">
        <v>2566</v>
      </c>
      <c r="K1667" s="0" t="s">
        <v>10445</v>
      </c>
      <c r="L1667" s="0" t="s">
        <v>1268</v>
      </c>
      <c r="M1667" s="0" t="s">
        <v>759</v>
      </c>
      <c r="N1667" s="0" t="s">
        <v>1685</v>
      </c>
      <c r="T1667" s="0" t="s">
        <v>11087</v>
      </c>
      <c r="U1667" s="0" t="s">
        <v>11088</v>
      </c>
      <c r="X1667" s="0" t="s">
        <v>529</v>
      </c>
      <c r="Y1667" s="0" t="s">
        <v>69</v>
      </c>
      <c r="Z1667" s="0" t="s">
        <v>9248</v>
      </c>
      <c r="AA1667" s="0" t="s">
        <v>228</v>
      </c>
      <c r="AB1667" s="0" t="s">
        <v>531</v>
      </c>
      <c r="AC1667" s="0" t="s">
        <v>571</v>
      </c>
      <c r="AD1667" s="0" t="s">
        <v>10450</v>
      </c>
      <c r="AF1667" s="0" t="s">
        <v>301</v>
      </c>
      <c r="AP1667" s="0" t="s">
        <v>305</v>
      </c>
      <c r="BA1667" s="0">
        <v>595</v>
      </c>
      <c r="BB1667" s="0" t="s">
        <v>232</v>
      </c>
      <c r="BC1667" s="0">
        <v>2</v>
      </c>
      <c r="BD1667" s="0">
        <v>8</v>
      </c>
      <c r="BE1667" s="0">
        <v>519892</v>
      </c>
      <c r="BF1667" s="0">
        <v>2</v>
      </c>
      <c r="BG1667" s="0" t="s">
        <v>11089</v>
      </c>
      <c r="BI1667" s="0">
        <v>1981</v>
      </c>
      <c r="BK1667" s="0" t="s">
        <v>11090</v>
      </c>
    </row>
    <row r="1668">
      <c r="A1668" s="0">
        <v>6516</v>
      </c>
      <c r="B1668" s="0" t="s">
        <v>11091</v>
      </c>
      <c r="C1668" s="0" t="s">
        <v>315</v>
      </c>
      <c r="D1668" s="0" t="s">
        <v>11092</v>
      </c>
      <c r="E1668" s="0" t="s">
        <v>11093</v>
      </c>
      <c r="F1668" s="0">
        <v>1</v>
      </c>
      <c r="G1668" s="0" t="s">
        <v>319</v>
      </c>
      <c r="H1668" s="0" t="s">
        <v>1745</v>
      </c>
      <c r="I1668" s="0" t="s">
        <v>948</v>
      </c>
      <c r="P1668" s="0" t="s">
        <v>323</v>
      </c>
      <c r="Q1668" s="0" t="s">
        <v>4015</v>
      </c>
      <c r="R1668" s="0" t="s">
        <v>673</v>
      </c>
      <c r="W1668" s="0" t="s">
        <v>11094</v>
      </c>
      <c r="X1668" s="0" t="s">
        <v>529</v>
      </c>
      <c r="Y1668" s="0" t="s">
        <v>46</v>
      </c>
      <c r="Z1668" s="0" t="s">
        <v>8094</v>
      </c>
      <c r="AA1668" s="0" t="s">
        <v>53</v>
      </c>
      <c r="AB1668" s="0" t="s">
        <v>300</v>
      </c>
      <c r="AD1668" s="0" t="s">
        <v>11095</v>
      </c>
      <c r="AF1668" s="0" t="s">
        <v>1688</v>
      </c>
      <c r="AP1668" s="0" t="s">
        <v>305</v>
      </c>
      <c r="BA1668" s="0">
        <v>597</v>
      </c>
      <c r="BB1668" s="0" t="s">
        <v>232</v>
      </c>
      <c r="BC1668" s="0">
        <v>3</v>
      </c>
      <c r="BD1668" s="0">
        <v>374043</v>
      </c>
      <c r="BE1668" s="0">
        <v>413</v>
      </c>
      <c r="BF1668" s="0">
        <v>2</v>
      </c>
      <c r="BG1668" s="0" t="s">
        <v>11096</v>
      </c>
      <c r="BI1668" s="0">
        <v>2955</v>
      </c>
      <c r="BK1668" s="0" t="s">
        <v>11097</v>
      </c>
    </row>
    <row r="1669">
      <c r="A1669" s="0">
        <v>6528</v>
      </c>
      <c r="B1669" s="0" t="s">
        <v>11098</v>
      </c>
      <c r="C1669" s="0" t="s">
        <v>8139</v>
      </c>
      <c r="D1669" s="0" t="s">
        <v>11094</v>
      </c>
      <c r="E1669" s="0" t="s">
        <v>11099</v>
      </c>
      <c r="F1669" s="0">
        <v>1</v>
      </c>
      <c r="G1669" s="0" t="s">
        <v>319</v>
      </c>
      <c r="H1669" s="0" t="s">
        <v>1745</v>
      </c>
      <c r="I1669" s="0" t="s">
        <v>8059</v>
      </c>
      <c r="J1669" s="0" t="s">
        <v>525</v>
      </c>
      <c r="K1669" s="0" t="s">
        <v>400</v>
      </c>
      <c r="P1669" s="0" t="s">
        <v>323</v>
      </c>
      <c r="Q1669" s="0" t="s">
        <v>343</v>
      </c>
      <c r="R1669" s="0" t="s">
        <v>8757</v>
      </c>
      <c r="X1669" s="0" t="s">
        <v>529</v>
      </c>
      <c r="Y1669" s="0" t="s">
        <v>58</v>
      </c>
      <c r="Z1669" s="0" t="s">
        <v>11100</v>
      </c>
      <c r="AA1669" s="0" t="s">
        <v>57</v>
      </c>
      <c r="AF1669" s="0" t="s">
        <v>301</v>
      </c>
      <c r="AP1669" s="0" t="s">
        <v>305</v>
      </c>
      <c r="BA1669" s="0">
        <v>599</v>
      </c>
      <c r="BB1669" s="0" t="s">
        <v>232</v>
      </c>
      <c r="BC1669" s="0">
        <v>2</v>
      </c>
      <c r="BD1669" s="0">
        <v>374088</v>
      </c>
      <c r="BE1669" s="0">
        <v>134779</v>
      </c>
      <c r="BF1669" s="0">
        <v>2</v>
      </c>
      <c r="BG1669" s="0" t="s">
        <v>11101</v>
      </c>
      <c r="BI1669" s="0">
        <v>465</v>
      </c>
      <c r="BK1669" s="0" t="s">
        <v>11102</v>
      </c>
    </row>
    <row r="1670">
      <c r="A1670" s="0">
        <v>6529</v>
      </c>
      <c r="B1670" s="0" t="s">
        <v>11103</v>
      </c>
      <c r="C1670" s="0" t="s">
        <v>8139</v>
      </c>
      <c r="D1670" s="0" t="s">
        <v>11094</v>
      </c>
      <c r="E1670" s="0" t="s">
        <v>11104</v>
      </c>
      <c r="F1670" s="0">
        <v>1</v>
      </c>
      <c r="G1670" s="0" t="s">
        <v>319</v>
      </c>
      <c r="H1670" s="0" t="s">
        <v>658</v>
      </c>
      <c r="I1670" s="0" t="s">
        <v>8059</v>
      </c>
      <c r="J1670" s="0" t="s">
        <v>525</v>
      </c>
      <c r="K1670" s="0" t="s">
        <v>400</v>
      </c>
      <c r="X1670" s="0" t="s">
        <v>529</v>
      </c>
      <c r="Y1670" s="0" t="s">
        <v>58</v>
      </c>
      <c r="Z1670" s="0" t="s">
        <v>11100</v>
      </c>
      <c r="AA1670" s="0" t="s">
        <v>57</v>
      </c>
      <c r="AF1670" s="0" t="s">
        <v>301</v>
      </c>
      <c r="AP1670" s="0" t="s">
        <v>305</v>
      </c>
      <c r="BA1670" s="0">
        <v>599</v>
      </c>
      <c r="BB1670" s="0" t="s">
        <v>232</v>
      </c>
      <c r="BC1670" s="0">
        <v>2</v>
      </c>
      <c r="BD1670" s="0">
        <v>374088</v>
      </c>
      <c r="BE1670" s="0">
        <v>134779</v>
      </c>
      <c r="BF1670" s="0">
        <v>2</v>
      </c>
      <c r="BG1670" s="0" t="s">
        <v>11105</v>
      </c>
      <c r="BI1670" s="0">
        <v>851</v>
      </c>
      <c r="BK1670" s="0" t="s">
        <v>11106</v>
      </c>
    </row>
    <row r="1671">
      <c r="A1671" s="0">
        <v>6535</v>
      </c>
      <c r="B1671" s="0" t="s">
        <v>11107</v>
      </c>
      <c r="C1671" s="0" t="s">
        <v>290</v>
      </c>
      <c r="D1671" s="0" t="s">
        <v>11108</v>
      </c>
      <c r="E1671" s="0" t="s">
        <v>11109</v>
      </c>
      <c r="F1671" s="0">
        <v>1</v>
      </c>
      <c r="G1671" s="0" t="s">
        <v>293</v>
      </c>
      <c r="H1671" s="0" t="s">
        <v>294</v>
      </c>
      <c r="I1671" s="0" t="s">
        <v>295</v>
      </c>
      <c r="P1671" s="0" t="s">
        <v>343</v>
      </c>
      <c r="Q1671" s="0" t="s">
        <v>343</v>
      </c>
      <c r="U1671" s="0" t="s">
        <v>11110</v>
      </c>
      <c r="W1671" s="0" t="s">
        <v>11111</v>
      </c>
      <c r="X1671" s="0" t="s">
        <v>347</v>
      </c>
      <c r="Y1671" s="0" t="s">
        <v>89</v>
      </c>
      <c r="Z1671" s="0" t="s">
        <v>6095</v>
      </c>
      <c r="AA1671" s="0" t="s">
        <v>229</v>
      </c>
      <c r="AB1671" s="0" t="s">
        <v>531</v>
      </c>
      <c r="AC1671" s="0" t="s">
        <v>571</v>
      </c>
      <c r="AE1671" s="0" t="s">
        <v>11112</v>
      </c>
      <c r="AF1671" s="0" t="s">
        <v>1688</v>
      </c>
      <c r="AP1671" s="0" t="s">
        <v>305</v>
      </c>
      <c r="BA1671" s="0">
        <v>600</v>
      </c>
      <c r="BB1671" s="0" t="s">
        <v>232</v>
      </c>
      <c r="BC1671" s="0">
        <v>3</v>
      </c>
      <c r="BD1671" s="0">
        <v>374053</v>
      </c>
      <c r="BE1671" s="0">
        <v>519537</v>
      </c>
      <c r="BF1671" s="0">
        <v>4</v>
      </c>
      <c r="BG1671" s="0" t="s">
        <v>11113</v>
      </c>
      <c r="BI1671" s="0">
        <v>1983</v>
      </c>
      <c r="BK1671" s="0" t="s">
        <v>11114</v>
      </c>
    </row>
    <row r="1672">
      <c r="A1672" s="0">
        <v>6531</v>
      </c>
      <c r="B1672" s="0" t="s">
        <v>11115</v>
      </c>
      <c r="C1672" s="0" t="s">
        <v>315</v>
      </c>
      <c r="D1672" s="0" t="s">
        <v>11108</v>
      </c>
      <c r="E1672" s="0" t="s">
        <v>11116</v>
      </c>
      <c r="F1672" s="0">
        <v>1</v>
      </c>
      <c r="G1672" s="0" t="s">
        <v>594</v>
      </c>
      <c r="H1672" s="0" t="s">
        <v>1190</v>
      </c>
      <c r="I1672" s="0" t="s">
        <v>10431</v>
      </c>
      <c r="J1672" s="0" t="s">
        <v>555</v>
      </c>
      <c r="K1672" s="0" t="s">
        <v>1112</v>
      </c>
      <c r="L1672" s="0" t="s">
        <v>9330</v>
      </c>
      <c r="M1672" s="0" t="s">
        <v>555</v>
      </c>
      <c r="N1672" s="0" t="s">
        <v>1112</v>
      </c>
      <c r="O1672" s="0" t="s">
        <v>2947</v>
      </c>
      <c r="P1672" s="0" t="s">
        <v>343</v>
      </c>
      <c r="Q1672" s="0" t="s">
        <v>343</v>
      </c>
      <c r="U1672" s="0" t="s">
        <v>11117</v>
      </c>
      <c r="W1672" s="0" t="s">
        <v>11111</v>
      </c>
      <c r="X1672" s="0" t="s">
        <v>347</v>
      </c>
      <c r="Y1672" s="0" t="s">
        <v>89</v>
      </c>
      <c r="Z1672" s="0" t="s">
        <v>6095</v>
      </c>
      <c r="AA1672" s="0" t="s">
        <v>229</v>
      </c>
      <c r="AB1672" s="0" t="s">
        <v>531</v>
      </c>
      <c r="AC1672" s="0" t="s">
        <v>571</v>
      </c>
      <c r="AE1672" s="0" t="s">
        <v>11112</v>
      </c>
      <c r="AF1672" s="0" t="s">
        <v>1688</v>
      </c>
      <c r="AP1672" s="0" t="s">
        <v>305</v>
      </c>
      <c r="BA1672" s="0">
        <v>600</v>
      </c>
      <c r="BB1672" s="0" t="s">
        <v>232</v>
      </c>
      <c r="BC1672" s="0">
        <v>3</v>
      </c>
      <c r="BD1672" s="0">
        <v>374043</v>
      </c>
      <c r="BE1672" s="0">
        <v>519537</v>
      </c>
      <c r="BF1672" s="0">
        <v>4</v>
      </c>
      <c r="BG1672" s="0" t="s">
        <v>11118</v>
      </c>
      <c r="BI1672" s="0">
        <v>855</v>
      </c>
      <c r="BK1672" s="0" t="s">
        <v>11119</v>
      </c>
    </row>
    <row r="1673">
      <c r="A1673" s="0">
        <v>6532</v>
      </c>
      <c r="B1673" s="0" t="s">
        <v>11120</v>
      </c>
      <c r="C1673" s="0" t="s">
        <v>315</v>
      </c>
      <c r="D1673" s="0" t="s">
        <v>11108</v>
      </c>
      <c r="E1673" s="0" t="s">
        <v>11121</v>
      </c>
      <c r="F1673" s="0">
        <v>2</v>
      </c>
      <c r="G1673" s="0" t="s">
        <v>594</v>
      </c>
      <c r="H1673" s="0" t="s">
        <v>1190</v>
      </c>
      <c r="I1673" s="0" t="s">
        <v>10431</v>
      </c>
      <c r="J1673" s="0" t="s">
        <v>555</v>
      </c>
      <c r="K1673" s="0" t="s">
        <v>1112</v>
      </c>
      <c r="L1673" s="0" t="s">
        <v>9330</v>
      </c>
      <c r="M1673" s="0" t="s">
        <v>555</v>
      </c>
      <c r="N1673" s="0" t="s">
        <v>1112</v>
      </c>
      <c r="O1673" s="0" t="s">
        <v>2947</v>
      </c>
      <c r="P1673" s="0" t="s">
        <v>343</v>
      </c>
      <c r="Q1673" s="0" t="s">
        <v>343</v>
      </c>
      <c r="U1673" s="0" t="s">
        <v>11122</v>
      </c>
      <c r="W1673" s="0" t="s">
        <v>11111</v>
      </c>
      <c r="X1673" s="0" t="s">
        <v>529</v>
      </c>
      <c r="Y1673" s="0" t="s">
        <v>89</v>
      </c>
      <c r="Z1673" s="0" t="s">
        <v>6095</v>
      </c>
      <c r="AA1673" s="0" t="s">
        <v>229</v>
      </c>
      <c r="AB1673" s="0" t="s">
        <v>531</v>
      </c>
      <c r="AC1673" s="0" t="s">
        <v>571</v>
      </c>
      <c r="AE1673" s="0" t="s">
        <v>11112</v>
      </c>
      <c r="AF1673" s="0" t="s">
        <v>1688</v>
      </c>
      <c r="AP1673" s="0" t="s">
        <v>305</v>
      </c>
      <c r="BA1673" s="0">
        <v>600</v>
      </c>
      <c r="BB1673" s="0" t="s">
        <v>232</v>
      </c>
      <c r="BC1673" s="0">
        <v>3</v>
      </c>
      <c r="BD1673" s="0">
        <v>374043</v>
      </c>
      <c r="BE1673" s="0">
        <v>519537</v>
      </c>
      <c r="BF1673" s="0">
        <v>2</v>
      </c>
      <c r="BG1673" s="0" t="s">
        <v>11123</v>
      </c>
      <c r="BI1673" s="0">
        <v>1181</v>
      </c>
      <c r="BK1673" s="0" t="s">
        <v>11124</v>
      </c>
    </row>
    <row r="1674">
      <c r="A1674" s="0">
        <v>6530</v>
      </c>
      <c r="B1674" s="0" t="s">
        <v>11125</v>
      </c>
      <c r="C1674" s="0" t="s">
        <v>315</v>
      </c>
      <c r="D1674" s="0" t="s">
        <v>11108</v>
      </c>
      <c r="E1674" s="0" t="s">
        <v>11126</v>
      </c>
      <c r="F1674" s="0">
        <v>1</v>
      </c>
      <c r="G1674" s="0" t="s">
        <v>594</v>
      </c>
      <c r="H1674" s="0" t="s">
        <v>1190</v>
      </c>
      <c r="I1674" s="0" t="s">
        <v>10431</v>
      </c>
      <c r="J1674" s="0" t="s">
        <v>293</v>
      </c>
      <c r="K1674" s="0" t="s">
        <v>294</v>
      </c>
      <c r="L1674" s="0" t="s">
        <v>295</v>
      </c>
      <c r="P1674" s="0" t="s">
        <v>343</v>
      </c>
      <c r="Q1674" s="0" t="s">
        <v>343</v>
      </c>
      <c r="U1674" s="0" t="s">
        <v>11127</v>
      </c>
      <c r="W1674" s="0" t="s">
        <v>11111</v>
      </c>
      <c r="X1674" s="0" t="s">
        <v>347</v>
      </c>
      <c r="Y1674" s="0" t="s">
        <v>89</v>
      </c>
      <c r="Z1674" s="0" t="s">
        <v>6095</v>
      </c>
      <c r="AA1674" s="0" t="s">
        <v>229</v>
      </c>
      <c r="AB1674" s="0" t="s">
        <v>531</v>
      </c>
      <c r="AC1674" s="0" t="s">
        <v>571</v>
      </c>
      <c r="AE1674" s="0" t="s">
        <v>11112</v>
      </c>
      <c r="AF1674" s="0" t="s">
        <v>1688</v>
      </c>
      <c r="AP1674" s="0" t="s">
        <v>305</v>
      </c>
      <c r="BA1674" s="0">
        <v>600</v>
      </c>
      <c r="BB1674" s="0" t="s">
        <v>232</v>
      </c>
      <c r="BC1674" s="0">
        <v>3</v>
      </c>
      <c r="BD1674" s="0">
        <v>374043</v>
      </c>
      <c r="BE1674" s="0">
        <v>519537</v>
      </c>
      <c r="BF1674" s="0">
        <v>4</v>
      </c>
      <c r="BG1674" s="0" t="s">
        <v>11128</v>
      </c>
      <c r="BI1674" s="0">
        <v>471</v>
      </c>
      <c r="BK1674" s="0" t="s">
        <v>11129</v>
      </c>
    </row>
    <row r="1675">
      <c r="A1675" s="0">
        <v>6533</v>
      </c>
      <c r="B1675" s="0" t="s">
        <v>11130</v>
      </c>
      <c r="C1675" s="0" t="s">
        <v>315</v>
      </c>
      <c r="D1675" s="0" t="s">
        <v>11108</v>
      </c>
      <c r="E1675" s="0" t="s">
        <v>11131</v>
      </c>
      <c r="F1675" s="0">
        <v>1</v>
      </c>
      <c r="G1675" s="0" t="s">
        <v>525</v>
      </c>
      <c r="H1675" s="0" t="s">
        <v>400</v>
      </c>
      <c r="I1675" s="0" t="s">
        <v>549</v>
      </c>
      <c r="J1675" s="0" t="s">
        <v>555</v>
      </c>
      <c r="K1675" s="0" t="s">
        <v>6541</v>
      </c>
      <c r="L1675" s="0" t="s">
        <v>549</v>
      </c>
      <c r="M1675" s="0" t="s">
        <v>555</v>
      </c>
      <c r="N1675" s="0" t="s">
        <v>1020</v>
      </c>
      <c r="O1675" s="0" t="s">
        <v>549</v>
      </c>
      <c r="P1675" s="0" t="s">
        <v>323</v>
      </c>
      <c r="Q1675" s="0" t="s">
        <v>323</v>
      </c>
      <c r="R1675" s="0" t="s">
        <v>1783</v>
      </c>
      <c r="W1675" s="0" t="s">
        <v>11111</v>
      </c>
      <c r="X1675" s="0" t="s">
        <v>529</v>
      </c>
      <c r="Y1675" s="0" t="s">
        <v>89</v>
      </c>
      <c r="Z1675" s="0" t="s">
        <v>6095</v>
      </c>
      <c r="AA1675" s="0" t="s">
        <v>229</v>
      </c>
      <c r="AB1675" s="0" t="s">
        <v>531</v>
      </c>
      <c r="AC1675" s="0" t="s">
        <v>571</v>
      </c>
      <c r="AE1675" s="0" t="s">
        <v>11112</v>
      </c>
      <c r="AF1675" s="0" t="s">
        <v>1688</v>
      </c>
      <c r="AP1675" s="0" t="s">
        <v>305</v>
      </c>
      <c r="BA1675" s="0">
        <v>600</v>
      </c>
      <c r="BB1675" s="0" t="s">
        <v>232</v>
      </c>
      <c r="BC1675" s="0">
        <v>3</v>
      </c>
      <c r="BD1675" s="0">
        <v>374043</v>
      </c>
      <c r="BE1675" s="0">
        <v>519537</v>
      </c>
      <c r="BF1675" s="0">
        <v>2</v>
      </c>
      <c r="BG1675" s="0" t="s">
        <v>11132</v>
      </c>
      <c r="BI1675" s="0">
        <v>1477</v>
      </c>
      <c r="BK1675" s="0" t="s">
        <v>11133</v>
      </c>
    </row>
    <row r="1676">
      <c r="A1676" s="0">
        <v>6534</v>
      </c>
      <c r="B1676" s="0" t="s">
        <v>11134</v>
      </c>
      <c r="C1676" s="0" t="s">
        <v>315</v>
      </c>
      <c r="D1676" s="0" t="s">
        <v>11108</v>
      </c>
      <c r="E1676" s="0" t="s">
        <v>11135</v>
      </c>
      <c r="F1676" s="0">
        <v>1</v>
      </c>
      <c r="G1676" s="0" t="s">
        <v>525</v>
      </c>
      <c r="H1676" s="0" t="s">
        <v>400</v>
      </c>
      <c r="I1676" s="0" t="s">
        <v>549</v>
      </c>
      <c r="J1676" s="0" t="s">
        <v>555</v>
      </c>
      <c r="K1676" s="0" t="s">
        <v>6541</v>
      </c>
      <c r="L1676" s="0" t="s">
        <v>549</v>
      </c>
      <c r="M1676" s="0" t="s">
        <v>555</v>
      </c>
      <c r="N1676" s="0" t="s">
        <v>1020</v>
      </c>
      <c r="O1676" s="0" t="s">
        <v>549</v>
      </c>
      <c r="P1676" s="0" t="s">
        <v>323</v>
      </c>
      <c r="Q1676" s="0" t="s">
        <v>323</v>
      </c>
      <c r="R1676" s="0" t="s">
        <v>1783</v>
      </c>
      <c r="W1676" s="0" t="s">
        <v>11111</v>
      </c>
      <c r="X1676" s="0" t="s">
        <v>529</v>
      </c>
      <c r="Y1676" s="0" t="s">
        <v>89</v>
      </c>
      <c r="Z1676" s="0" t="s">
        <v>6095</v>
      </c>
      <c r="AA1676" s="0" t="s">
        <v>229</v>
      </c>
      <c r="AB1676" s="0" t="s">
        <v>531</v>
      </c>
      <c r="AC1676" s="0" t="s">
        <v>571</v>
      </c>
      <c r="AE1676" s="0" t="s">
        <v>11112</v>
      </c>
      <c r="AF1676" s="0" t="s">
        <v>1688</v>
      </c>
      <c r="AP1676" s="0" t="s">
        <v>305</v>
      </c>
      <c r="BA1676" s="0">
        <v>600</v>
      </c>
      <c r="BB1676" s="0" t="s">
        <v>232</v>
      </c>
      <c r="BC1676" s="0">
        <v>3</v>
      </c>
      <c r="BD1676" s="0">
        <v>374043</v>
      </c>
      <c r="BE1676" s="0">
        <v>519537</v>
      </c>
      <c r="BF1676" s="0">
        <v>2</v>
      </c>
      <c r="BG1676" s="0" t="s">
        <v>11136</v>
      </c>
      <c r="BI1676" s="0">
        <v>1743</v>
      </c>
      <c r="BK1676" s="0" t="s">
        <v>11137</v>
      </c>
    </row>
    <row r="1677">
      <c r="A1677" s="0">
        <v>6536</v>
      </c>
      <c r="B1677" s="0" t="s">
        <v>11138</v>
      </c>
      <c r="C1677" s="0" t="s">
        <v>290</v>
      </c>
      <c r="D1677" s="0" t="s">
        <v>11108</v>
      </c>
      <c r="E1677" s="0" t="s">
        <v>11139</v>
      </c>
      <c r="F1677" s="0">
        <v>2</v>
      </c>
      <c r="G1677" s="0" t="s">
        <v>293</v>
      </c>
      <c r="H1677" s="0" t="s">
        <v>294</v>
      </c>
      <c r="I1677" s="0" t="s">
        <v>295</v>
      </c>
      <c r="J1677" s="0" t="s">
        <v>555</v>
      </c>
      <c r="K1677" s="0" t="s">
        <v>1020</v>
      </c>
      <c r="L1677" s="0" t="s">
        <v>549</v>
      </c>
      <c r="P1677" s="0" t="s">
        <v>343</v>
      </c>
      <c r="Q1677" s="0" t="s">
        <v>343</v>
      </c>
      <c r="U1677" s="0" t="s">
        <v>11140</v>
      </c>
      <c r="W1677" s="0" t="s">
        <v>11111</v>
      </c>
      <c r="X1677" s="0" t="s">
        <v>347</v>
      </c>
      <c r="Y1677" s="0" t="s">
        <v>89</v>
      </c>
      <c r="Z1677" s="0" t="s">
        <v>6095</v>
      </c>
      <c r="AA1677" s="0" t="s">
        <v>229</v>
      </c>
      <c r="AB1677" s="0" t="s">
        <v>531</v>
      </c>
      <c r="AC1677" s="0" t="s">
        <v>571</v>
      </c>
      <c r="AE1677" s="0" t="s">
        <v>11112</v>
      </c>
      <c r="AF1677" s="0" t="s">
        <v>1688</v>
      </c>
      <c r="AP1677" s="0" t="s">
        <v>305</v>
      </c>
      <c r="BA1677" s="0">
        <v>600</v>
      </c>
      <c r="BB1677" s="0" t="s">
        <v>232</v>
      </c>
      <c r="BC1677" s="0">
        <v>3</v>
      </c>
      <c r="BD1677" s="0">
        <v>374053</v>
      </c>
      <c r="BE1677" s="0">
        <v>519537</v>
      </c>
      <c r="BF1677" s="0">
        <v>4</v>
      </c>
      <c r="BG1677" s="0" t="s">
        <v>11141</v>
      </c>
      <c r="BI1677" s="0">
        <v>2210</v>
      </c>
      <c r="BK1677" s="0" t="s">
        <v>11142</v>
      </c>
    </row>
    <row r="1678">
      <c r="A1678" s="0">
        <v>6538</v>
      </c>
      <c r="B1678" s="0" t="s">
        <v>11143</v>
      </c>
      <c r="C1678" s="0" t="s">
        <v>315</v>
      </c>
      <c r="D1678" s="0" t="s">
        <v>11108</v>
      </c>
      <c r="E1678" s="0" t="s">
        <v>11144</v>
      </c>
      <c r="F1678" s="0">
        <v>1</v>
      </c>
      <c r="G1678" s="0" t="s">
        <v>594</v>
      </c>
      <c r="H1678" s="0" t="s">
        <v>1190</v>
      </c>
      <c r="I1678" s="0" t="s">
        <v>549</v>
      </c>
      <c r="J1678" s="0" t="s">
        <v>293</v>
      </c>
      <c r="K1678" s="0" t="s">
        <v>294</v>
      </c>
      <c r="L1678" s="0" t="s">
        <v>295</v>
      </c>
      <c r="P1678" s="0" t="s">
        <v>323</v>
      </c>
      <c r="Q1678" s="0" t="s">
        <v>323</v>
      </c>
      <c r="R1678" s="0" t="s">
        <v>673</v>
      </c>
      <c r="T1678" s="0" t="s">
        <v>11145</v>
      </c>
      <c r="W1678" s="0" t="s">
        <v>11111</v>
      </c>
      <c r="X1678" s="0" t="s">
        <v>529</v>
      </c>
      <c r="Y1678" s="0" t="s">
        <v>89</v>
      </c>
      <c r="Z1678" s="0" t="s">
        <v>6095</v>
      </c>
      <c r="AA1678" s="0" t="s">
        <v>229</v>
      </c>
      <c r="AB1678" s="0" t="s">
        <v>531</v>
      </c>
      <c r="AC1678" s="0" t="s">
        <v>571</v>
      </c>
      <c r="AE1678" s="0" t="s">
        <v>11112</v>
      </c>
      <c r="AF1678" s="0" t="s">
        <v>1688</v>
      </c>
      <c r="AP1678" s="0" t="s">
        <v>305</v>
      </c>
      <c r="BA1678" s="0">
        <v>600</v>
      </c>
      <c r="BB1678" s="0" t="s">
        <v>232</v>
      </c>
      <c r="BC1678" s="0">
        <v>3</v>
      </c>
      <c r="BD1678" s="0">
        <v>374043</v>
      </c>
      <c r="BE1678" s="0">
        <v>519537</v>
      </c>
      <c r="BF1678" s="0">
        <v>2</v>
      </c>
      <c r="BG1678" s="0" t="s">
        <v>11146</v>
      </c>
      <c r="BI1678" s="0">
        <v>2610</v>
      </c>
      <c r="BK1678" s="0" t="s">
        <v>11147</v>
      </c>
    </row>
    <row r="1679">
      <c r="A1679" s="0">
        <v>6537</v>
      </c>
      <c r="B1679" s="0" t="s">
        <v>11148</v>
      </c>
      <c r="C1679" s="0" t="s">
        <v>315</v>
      </c>
      <c r="D1679" s="0" t="s">
        <v>11108</v>
      </c>
      <c r="E1679" s="0" t="s">
        <v>10056</v>
      </c>
      <c r="F1679" s="0">
        <v>1</v>
      </c>
      <c r="G1679" s="0" t="s">
        <v>594</v>
      </c>
      <c r="H1679" s="0" t="s">
        <v>1190</v>
      </c>
      <c r="I1679" s="0" t="s">
        <v>497</v>
      </c>
      <c r="J1679" s="0" t="s">
        <v>293</v>
      </c>
      <c r="K1679" s="0" t="s">
        <v>294</v>
      </c>
      <c r="L1679" s="0" t="s">
        <v>295</v>
      </c>
      <c r="P1679" s="0" t="s">
        <v>323</v>
      </c>
      <c r="Q1679" s="0" t="s">
        <v>323</v>
      </c>
      <c r="R1679" s="0" t="s">
        <v>1783</v>
      </c>
      <c r="W1679" s="0" t="s">
        <v>11111</v>
      </c>
      <c r="X1679" s="0" t="s">
        <v>529</v>
      </c>
      <c r="Y1679" s="0" t="s">
        <v>89</v>
      </c>
      <c r="Z1679" s="0" t="s">
        <v>6095</v>
      </c>
      <c r="AA1679" s="0" t="s">
        <v>229</v>
      </c>
      <c r="AB1679" s="0" t="s">
        <v>531</v>
      </c>
      <c r="AC1679" s="0" t="s">
        <v>571</v>
      </c>
      <c r="AE1679" s="0" t="s">
        <v>11112</v>
      </c>
      <c r="AF1679" s="0" t="s">
        <v>1688</v>
      </c>
      <c r="AP1679" s="0" t="s">
        <v>305</v>
      </c>
      <c r="BA1679" s="0">
        <v>600</v>
      </c>
      <c r="BB1679" s="0" t="s">
        <v>232</v>
      </c>
      <c r="BC1679" s="0">
        <v>3</v>
      </c>
      <c r="BD1679" s="0">
        <v>374043</v>
      </c>
      <c r="BE1679" s="0">
        <v>519537</v>
      </c>
      <c r="BF1679" s="0">
        <v>2</v>
      </c>
      <c r="BG1679" s="0" t="s">
        <v>11149</v>
      </c>
      <c r="BI1679" s="0">
        <v>2415</v>
      </c>
      <c r="BK1679" s="0" t="s">
        <v>11150</v>
      </c>
    </row>
    <row r="1680">
      <c r="A1680" s="0">
        <v>6554</v>
      </c>
      <c r="B1680" s="0" t="s">
        <v>11151</v>
      </c>
      <c r="C1680" s="0" t="s">
        <v>656</v>
      </c>
      <c r="D1680" s="0" t="s">
        <v>11054</v>
      </c>
      <c r="E1680" s="0" t="s">
        <v>11020</v>
      </c>
      <c r="F1680" s="0">
        <v>1</v>
      </c>
      <c r="G1680" s="0" t="s">
        <v>293</v>
      </c>
      <c r="H1680" s="0" t="s">
        <v>294</v>
      </c>
      <c r="I1680" s="0" t="s">
        <v>918</v>
      </c>
      <c r="J1680" s="0" t="s">
        <v>555</v>
      </c>
      <c r="L1680" s="0" t="s">
        <v>469</v>
      </c>
      <c r="P1680" s="0" t="s">
        <v>343</v>
      </c>
      <c r="Q1680" s="0" t="s">
        <v>343</v>
      </c>
      <c r="T1680" s="0" t="s">
        <v>11152</v>
      </c>
      <c r="U1680" s="0" t="s">
        <v>11153</v>
      </c>
      <c r="W1680" s="0" t="s">
        <v>11054</v>
      </c>
      <c r="X1680" s="0" t="s">
        <v>347</v>
      </c>
      <c r="Y1680" s="0" t="s">
        <v>42</v>
      </c>
      <c r="Z1680" s="0" t="s">
        <v>2384</v>
      </c>
      <c r="AA1680" s="0" t="s">
        <v>61</v>
      </c>
      <c r="AD1680" s="0" t="s">
        <v>11154</v>
      </c>
      <c r="AF1680" s="0" t="s">
        <v>301</v>
      </c>
      <c r="AP1680" s="0" t="s">
        <v>305</v>
      </c>
      <c r="BA1680" s="0">
        <v>601</v>
      </c>
      <c r="BB1680" s="0" t="s">
        <v>232</v>
      </c>
      <c r="BC1680" s="0">
        <v>2</v>
      </c>
      <c r="BD1680" s="0">
        <v>10</v>
      </c>
      <c r="BE1680" s="0">
        <v>70560</v>
      </c>
      <c r="BF1680" s="0">
        <v>4</v>
      </c>
      <c r="BG1680" s="0" t="s">
        <v>11155</v>
      </c>
      <c r="BI1680" s="0">
        <v>1982</v>
      </c>
      <c r="BK1680" s="0" t="s">
        <v>11156</v>
      </c>
    </row>
    <row r="1681">
      <c r="A1681" s="0">
        <v>6541</v>
      </c>
      <c r="B1681" s="0" t="s">
        <v>11157</v>
      </c>
      <c r="C1681" s="0" t="s">
        <v>656</v>
      </c>
      <c r="D1681" s="0" t="s">
        <v>11054</v>
      </c>
      <c r="E1681" s="0" t="s">
        <v>11158</v>
      </c>
      <c r="F1681" s="0">
        <v>1</v>
      </c>
      <c r="G1681" s="0" t="s">
        <v>293</v>
      </c>
      <c r="H1681" s="0" t="s">
        <v>294</v>
      </c>
      <c r="I1681" s="0" t="s">
        <v>295</v>
      </c>
      <c r="P1681" s="0" t="s">
        <v>323</v>
      </c>
      <c r="Q1681" s="0" t="s">
        <v>323</v>
      </c>
      <c r="R1681" s="0" t="s">
        <v>8555</v>
      </c>
      <c r="T1681" s="0" t="s">
        <v>11159</v>
      </c>
      <c r="U1681" s="0" t="s">
        <v>11160</v>
      </c>
      <c r="W1681" s="0" t="s">
        <v>11054</v>
      </c>
      <c r="X1681" s="0" t="s">
        <v>347</v>
      </c>
      <c r="Y1681" s="0" t="s">
        <v>42</v>
      </c>
      <c r="Z1681" s="0" t="s">
        <v>2384</v>
      </c>
      <c r="AA1681" s="0" t="s">
        <v>61</v>
      </c>
      <c r="AD1681" s="0" t="s">
        <v>11154</v>
      </c>
      <c r="AF1681" s="0" t="s">
        <v>301</v>
      </c>
      <c r="AP1681" s="0" t="s">
        <v>305</v>
      </c>
      <c r="BA1681" s="0">
        <v>601</v>
      </c>
      <c r="BB1681" s="0" t="s">
        <v>232</v>
      </c>
      <c r="BC1681" s="0">
        <v>2</v>
      </c>
      <c r="BD1681" s="0">
        <v>10</v>
      </c>
      <c r="BE1681" s="0">
        <v>70560</v>
      </c>
      <c r="BF1681" s="0">
        <v>4</v>
      </c>
      <c r="BG1681" s="0" t="s">
        <v>11161</v>
      </c>
      <c r="BI1681" s="0">
        <v>1178</v>
      </c>
      <c r="BK1681" s="0" t="s">
        <v>11162</v>
      </c>
    </row>
    <row r="1682">
      <c r="A1682" s="0">
        <v>6539</v>
      </c>
      <c r="B1682" s="0" t="s">
        <v>11163</v>
      </c>
      <c r="C1682" s="0" t="s">
        <v>656</v>
      </c>
      <c r="D1682" s="0" t="s">
        <v>11054</v>
      </c>
      <c r="E1682" s="0" t="s">
        <v>11164</v>
      </c>
      <c r="F1682" s="0">
        <v>1</v>
      </c>
      <c r="G1682" s="0" t="s">
        <v>293</v>
      </c>
      <c r="H1682" s="0" t="s">
        <v>294</v>
      </c>
      <c r="I1682" s="0" t="s">
        <v>918</v>
      </c>
      <c r="P1682" s="0" t="s">
        <v>323</v>
      </c>
      <c r="Q1682" s="0" t="s">
        <v>323</v>
      </c>
      <c r="R1682" s="0" t="s">
        <v>1541</v>
      </c>
      <c r="T1682" s="0" t="s">
        <v>11165</v>
      </c>
      <c r="U1682" s="0" t="s">
        <v>11166</v>
      </c>
      <c r="W1682" s="0" t="s">
        <v>11054</v>
      </c>
      <c r="X1682" s="0" t="s">
        <v>347</v>
      </c>
      <c r="Y1682" s="0" t="s">
        <v>42</v>
      </c>
      <c r="Z1682" s="0" t="s">
        <v>2384</v>
      </c>
      <c r="AA1682" s="0" t="s">
        <v>61</v>
      </c>
      <c r="AD1682" s="0" t="s">
        <v>11154</v>
      </c>
      <c r="AF1682" s="0" t="s">
        <v>301</v>
      </c>
      <c r="AP1682" s="0" t="s">
        <v>305</v>
      </c>
      <c r="BA1682" s="0">
        <v>601</v>
      </c>
      <c r="BB1682" s="0" t="s">
        <v>232</v>
      </c>
      <c r="BC1682" s="0">
        <v>2</v>
      </c>
      <c r="BD1682" s="0">
        <v>10</v>
      </c>
      <c r="BE1682" s="0">
        <v>70560</v>
      </c>
      <c r="BF1682" s="0">
        <v>4</v>
      </c>
      <c r="BG1682" s="0" t="s">
        <v>11167</v>
      </c>
      <c r="BI1682" s="0">
        <v>464</v>
      </c>
      <c r="BK1682" s="0" t="s">
        <v>11168</v>
      </c>
    </row>
    <row r="1683">
      <c r="A1683" s="0">
        <v>6543</v>
      </c>
      <c r="B1683" s="0" t="s">
        <v>11169</v>
      </c>
      <c r="C1683" s="0" t="s">
        <v>290</v>
      </c>
      <c r="D1683" s="0" t="s">
        <v>11044</v>
      </c>
      <c r="E1683" s="0" t="s">
        <v>11170</v>
      </c>
      <c r="F1683" s="0">
        <v>1</v>
      </c>
      <c r="G1683" s="0" t="s">
        <v>293</v>
      </c>
      <c r="H1683" s="0" t="s">
        <v>294</v>
      </c>
      <c r="I1683" s="0" t="s">
        <v>295</v>
      </c>
      <c r="T1683" s="0" t="s">
        <v>11171</v>
      </c>
      <c r="U1683" s="0" t="s">
        <v>11172</v>
      </c>
      <c r="W1683" s="0" t="s">
        <v>11054</v>
      </c>
      <c r="X1683" s="0" t="s">
        <v>347</v>
      </c>
      <c r="Y1683" s="0" t="s">
        <v>42</v>
      </c>
      <c r="Z1683" s="0" t="s">
        <v>2384</v>
      </c>
      <c r="AA1683" s="0" t="s">
        <v>61</v>
      </c>
      <c r="AD1683" s="0" t="s">
        <v>11154</v>
      </c>
      <c r="AF1683" s="0" t="s">
        <v>301</v>
      </c>
      <c r="AP1683" s="0" t="s">
        <v>305</v>
      </c>
      <c r="BA1683" s="0">
        <v>601</v>
      </c>
      <c r="BB1683" s="0" t="s">
        <v>232</v>
      </c>
      <c r="BC1683" s="0">
        <v>2</v>
      </c>
      <c r="BD1683" s="0">
        <v>374053</v>
      </c>
      <c r="BE1683" s="0">
        <v>70560</v>
      </c>
      <c r="BF1683" s="0">
        <v>4</v>
      </c>
      <c r="BG1683" s="0" t="s">
        <v>11173</v>
      </c>
      <c r="BI1683" s="0">
        <v>1741</v>
      </c>
      <c r="BK1683" s="0" t="s">
        <v>11174</v>
      </c>
    </row>
    <row r="1684">
      <c r="A1684" s="0">
        <v>6542</v>
      </c>
      <c r="B1684" s="0" t="s">
        <v>11175</v>
      </c>
      <c r="C1684" s="0" t="s">
        <v>290</v>
      </c>
      <c r="D1684" s="0" t="s">
        <v>11044</v>
      </c>
      <c r="E1684" s="0" t="s">
        <v>11176</v>
      </c>
      <c r="F1684" s="0">
        <v>1</v>
      </c>
      <c r="G1684" s="0" t="s">
        <v>293</v>
      </c>
      <c r="H1684" s="0" t="s">
        <v>294</v>
      </c>
      <c r="I1684" s="0" t="s">
        <v>295</v>
      </c>
      <c r="J1684" s="0" t="s">
        <v>555</v>
      </c>
      <c r="K1684" s="0" t="s">
        <v>1112</v>
      </c>
      <c r="L1684" s="0" t="s">
        <v>2947</v>
      </c>
      <c r="P1684" s="0" t="s">
        <v>343</v>
      </c>
      <c r="Q1684" s="0" t="s">
        <v>343</v>
      </c>
      <c r="S1684" s="0" t="s">
        <v>11177</v>
      </c>
      <c r="T1684" s="0" t="s">
        <v>11178</v>
      </c>
      <c r="U1684" s="0" t="s">
        <v>11179</v>
      </c>
      <c r="W1684" s="0" t="s">
        <v>11054</v>
      </c>
      <c r="X1684" s="0" t="s">
        <v>347</v>
      </c>
      <c r="Y1684" s="0" t="s">
        <v>42</v>
      </c>
      <c r="Z1684" s="0" t="s">
        <v>2384</v>
      </c>
      <c r="AA1684" s="0" t="s">
        <v>61</v>
      </c>
      <c r="AD1684" s="0" t="s">
        <v>11154</v>
      </c>
      <c r="AF1684" s="0" t="s">
        <v>301</v>
      </c>
      <c r="AP1684" s="0" t="s">
        <v>305</v>
      </c>
      <c r="BA1684" s="0">
        <v>601</v>
      </c>
      <c r="BB1684" s="0" t="s">
        <v>232</v>
      </c>
      <c r="BC1684" s="0">
        <v>2</v>
      </c>
      <c r="BD1684" s="0">
        <v>374053</v>
      </c>
      <c r="BE1684" s="0">
        <v>70560</v>
      </c>
      <c r="BF1684" s="0">
        <v>4</v>
      </c>
      <c r="BG1684" s="0" t="s">
        <v>11180</v>
      </c>
      <c r="BI1684" s="0">
        <v>1474</v>
      </c>
      <c r="BK1684" s="0" t="s">
        <v>11181</v>
      </c>
    </row>
    <row r="1685">
      <c r="A1685" s="0">
        <v>6560</v>
      </c>
      <c r="B1685" s="0" t="s">
        <v>11182</v>
      </c>
      <c r="C1685" s="0" t="s">
        <v>656</v>
      </c>
      <c r="D1685" s="0" t="s">
        <v>11183</v>
      </c>
      <c r="E1685" s="0" t="s">
        <v>11184</v>
      </c>
      <c r="F1685" s="0">
        <v>1</v>
      </c>
      <c r="H1685" s="0" t="s">
        <v>508</v>
      </c>
      <c r="J1685" s="0" t="s">
        <v>319</v>
      </c>
      <c r="K1685" s="0" t="s">
        <v>658</v>
      </c>
      <c r="L1685" s="0" t="s">
        <v>2166</v>
      </c>
      <c r="Q1685" s="0" t="s">
        <v>343</v>
      </c>
      <c r="R1685" s="0" t="s">
        <v>4585</v>
      </c>
      <c r="T1685" s="0" t="s">
        <v>11185</v>
      </c>
      <c r="U1685" s="0" t="s">
        <v>11186</v>
      </c>
      <c r="W1685" s="0" t="s">
        <v>11054</v>
      </c>
      <c r="X1685" s="0" t="s">
        <v>347</v>
      </c>
      <c r="Y1685" s="0" t="s">
        <v>42</v>
      </c>
      <c r="Z1685" s="0" t="s">
        <v>2384</v>
      </c>
      <c r="AA1685" s="0" t="s">
        <v>61</v>
      </c>
      <c r="AD1685" s="0" t="s">
        <v>11154</v>
      </c>
      <c r="AF1685" s="0" t="s">
        <v>301</v>
      </c>
      <c r="AP1685" s="0" t="s">
        <v>305</v>
      </c>
      <c r="BA1685" s="0">
        <v>601</v>
      </c>
      <c r="BB1685" s="0" t="s">
        <v>232</v>
      </c>
      <c r="BC1685" s="0">
        <v>2</v>
      </c>
      <c r="BD1685" s="0">
        <v>10</v>
      </c>
      <c r="BE1685" s="0">
        <v>70560</v>
      </c>
      <c r="BF1685" s="0">
        <v>4</v>
      </c>
      <c r="BG1685" s="0" t="s">
        <v>11187</v>
      </c>
      <c r="BI1685" s="0">
        <v>2209</v>
      </c>
      <c r="BK1685" s="0" t="s">
        <v>11188</v>
      </c>
    </row>
    <row r="1686">
      <c r="A1686" s="0">
        <v>6544</v>
      </c>
      <c r="B1686" s="0" t="s">
        <v>11189</v>
      </c>
      <c r="C1686" s="0" t="s">
        <v>315</v>
      </c>
      <c r="D1686" s="0" t="s">
        <v>11111</v>
      </c>
      <c r="E1686" s="0" t="s">
        <v>11190</v>
      </c>
      <c r="F1686" s="0">
        <v>1</v>
      </c>
      <c r="G1686" s="0" t="s">
        <v>293</v>
      </c>
      <c r="H1686" s="0" t="s">
        <v>3113</v>
      </c>
      <c r="I1686" s="0" t="s">
        <v>6072</v>
      </c>
      <c r="J1686" s="0" t="s">
        <v>525</v>
      </c>
      <c r="K1686" s="0" t="s">
        <v>508</v>
      </c>
      <c r="L1686" s="0" t="s">
        <v>549</v>
      </c>
      <c r="P1686" s="0" t="s">
        <v>323</v>
      </c>
      <c r="Q1686" s="0" t="s">
        <v>323</v>
      </c>
      <c r="R1686" s="0" t="s">
        <v>10322</v>
      </c>
      <c r="T1686" s="0" t="s">
        <v>11191</v>
      </c>
      <c r="U1686" s="0" t="s">
        <v>11192</v>
      </c>
      <c r="W1686" s="0" t="s">
        <v>11193</v>
      </c>
      <c r="X1686" s="0" t="s">
        <v>529</v>
      </c>
      <c r="Y1686" s="0" t="s">
        <v>48</v>
      </c>
      <c r="Z1686" s="0" t="s">
        <v>11194</v>
      </c>
      <c r="AA1686" s="0" t="s">
        <v>47</v>
      </c>
      <c r="AB1686" s="0" t="s">
        <v>300</v>
      </c>
      <c r="AF1686" s="0" t="s">
        <v>11195</v>
      </c>
      <c r="AP1686" s="0" t="s">
        <v>305</v>
      </c>
      <c r="BA1686" s="0">
        <v>602</v>
      </c>
      <c r="BB1686" s="0" t="s">
        <v>232</v>
      </c>
      <c r="BC1686" s="0">
        <v>1</v>
      </c>
      <c r="BD1686" s="0">
        <v>374043</v>
      </c>
      <c r="BE1686" s="0">
        <v>520349</v>
      </c>
      <c r="BF1686" s="0">
        <v>2</v>
      </c>
      <c r="BG1686" s="0" t="s">
        <v>11196</v>
      </c>
      <c r="BI1686" s="0">
        <v>470</v>
      </c>
      <c r="BK1686" s="0" t="s">
        <v>11197</v>
      </c>
    </row>
    <row r="1687">
      <c r="A1687" s="0">
        <v>6561</v>
      </c>
      <c r="B1687" s="0" t="s">
        <v>11198</v>
      </c>
      <c r="C1687" s="0" t="s">
        <v>315</v>
      </c>
      <c r="D1687" s="0" t="s">
        <v>11199</v>
      </c>
      <c r="E1687" s="0" t="s">
        <v>11200</v>
      </c>
      <c r="F1687" s="0">
        <v>1</v>
      </c>
      <c r="G1687" s="0" t="s">
        <v>508</v>
      </c>
      <c r="J1687" s="0" t="s">
        <v>319</v>
      </c>
      <c r="K1687" s="0" t="s">
        <v>11201</v>
      </c>
      <c r="M1687" s="0" t="s">
        <v>293</v>
      </c>
      <c r="N1687" s="0" t="s">
        <v>11202</v>
      </c>
      <c r="P1687" s="0" t="s">
        <v>323</v>
      </c>
      <c r="Q1687" s="0" t="s">
        <v>323</v>
      </c>
      <c r="R1687" s="0" t="s">
        <v>2103</v>
      </c>
      <c r="T1687" s="0" t="s">
        <v>11203</v>
      </c>
      <c r="U1687" s="0" t="s">
        <v>11204</v>
      </c>
      <c r="V1687" s="0" t="s">
        <v>290</v>
      </c>
      <c r="W1687" s="0" t="s">
        <v>11205</v>
      </c>
      <c r="X1687" s="0" t="s">
        <v>347</v>
      </c>
      <c r="Y1687" s="0" t="s">
        <v>52</v>
      </c>
      <c r="Z1687" s="0" t="s">
        <v>11206</v>
      </c>
      <c r="AA1687" s="0" t="s">
        <v>51</v>
      </c>
      <c r="AB1687" s="0" t="s">
        <v>531</v>
      </c>
      <c r="AC1687" s="0" t="s">
        <v>571</v>
      </c>
      <c r="AD1687" s="0" t="s">
        <v>11207</v>
      </c>
      <c r="AF1687" s="0" t="s">
        <v>301</v>
      </c>
      <c r="AP1687" s="0" t="s">
        <v>305</v>
      </c>
      <c r="BA1687" s="0">
        <v>603</v>
      </c>
      <c r="BB1687" s="0" t="s">
        <v>232</v>
      </c>
      <c r="BC1687" s="0">
        <v>2</v>
      </c>
      <c r="BD1687" s="0">
        <v>374043</v>
      </c>
      <c r="BE1687" s="0">
        <v>520278</v>
      </c>
      <c r="BF1687" s="0">
        <v>4</v>
      </c>
      <c r="BG1687" s="0" t="s">
        <v>11208</v>
      </c>
      <c r="BI1687" s="0">
        <v>1984</v>
      </c>
      <c r="BK1687" s="0" t="s">
        <v>11209</v>
      </c>
    </row>
    <row r="1688">
      <c r="A1688" s="0">
        <v>6553</v>
      </c>
      <c r="B1688" s="0" t="s">
        <v>11210</v>
      </c>
      <c r="C1688" s="0" t="s">
        <v>339</v>
      </c>
      <c r="D1688" s="0" t="s">
        <v>11211</v>
      </c>
      <c r="E1688" s="0" t="s">
        <v>11212</v>
      </c>
      <c r="F1688" s="0">
        <v>1</v>
      </c>
      <c r="G1688" s="0" t="s">
        <v>508</v>
      </c>
      <c r="J1688" s="0" t="s">
        <v>319</v>
      </c>
      <c r="K1688" s="0" t="s">
        <v>11213</v>
      </c>
      <c r="M1688" s="0" t="s">
        <v>293</v>
      </c>
      <c r="N1688" s="0" t="s">
        <v>11214</v>
      </c>
      <c r="T1688" s="0" t="s">
        <v>11215</v>
      </c>
      <c r="U1688" s="0" t="s">
        <v>11216</v>
      </c>
      <c r="W1688" s="0" t="s">
        <v>11205</v>
      </c>
      <c r="X1688" s="0" t="s">
        <v>347</v>
      </c>
      <c r="Y1688" s="0" t="s">
        <v>52</v>
      </c>
      <c r="Z1688" s="0" t="s">
        <v>11206</v>
      </c>
      <c r="AA1688" s="0" t="s">
        <v>51</v>
      </c>
      <c r="AB1688" s="0" t="s">
        <v>531</v>
      </c>
      <c r="AC1688" s="0" t="s">
        <v>571</v>
      </c>
      <c r="AD1688" s="0" t="s">
        <v>11207</v>
      </c>
      <c r="AF1688" s="0" t="s">
        <v>301</v>
      </c>
      <c r="AP1688" s="0" t="s">
        <v>305</v>
      </c>
      <c r="BA1688" s="0">
        <v>603</v>
      </c>
      <c r="BB1688" s="0" t="s">
        <v>232</v>
      </c>
      <c r="BC1688" s="0">
        <v>2</v>
      </c>
      <c r="BD1688" s="0">
        <v>8</v>
      </c>
      <c r="BE1688" s="0">
        <v>520278</v>
      </c>
      <c r="BF1688" s="0">
        <v>4</v>
      </c>
      <c r="BG1688" s="0" t="s">
        <v>11217</v>
      </c>
      <c r="BI1688" s="0">
        <v>1742</v>
      </c>
      <c r="BK1688" s="0" t="s">
        <v>11218</v>
      </c>
    </row>
    <row r="1689">
      <c r="A1689" s="0">
        <v>6552</v>
      </c>
      <c r="C1689" s="0" t="s">
        <v>339</v>
      </c>
      <c r="D1689" s="0" t="s">
        <v>11211</v>
      </c>
      <c r="E1689" s="0" t="s">
        <v>11219</v>
      </c>
      <c r="F1689" s="0">
        <v>5</v>
      </c>
      <c r="G1689" s="0" t="s">
        <v>11220</v>
      </c>
      <c r="H1689" s="0" t="s">
        <v>11221</v>
      </c>
      <c r="J1689" s="0" t="s">
        <v>360</v>
      </c>
      <c r="K1689" s="0" t="s">
        <v>11222</v>
      </c>
      <c r="P1689" s="0" t="s">
        <v>451</v>
      </c>
      <c r="R1689" s="0" t="s">
        <v>11223</v>
      </c>
      <c r="T1689" s="0" t="s">
        <v>11224</v>
      </c>
      <c r="U1689" s="0" t="s">
        <v>11225</v>
      </c>
      <c r="W1689" s="0" t="s">
        <v>11205</v>
      </c>
      <c r="X1689" s="0" t="s">
        <v>347</v>
      </c>
      <c r="Y1689" s="0" t="s">
        <v>52</v>
      </c>
      <c r="Z1689" s="0" t="s">
        <v>11206</v>
      </c>
      <c r="AA1689" s="0" t="s">
        <v>51</v>
      </c>
      <c r="AB1689" s="0" t="s">
        <v>531</v>
      </c>
      <c r="AC1689" s="0" t="s">
        <v>571</v>
      </c>
      <c r="AD1689" s="0" t="s">
        <v>11207</v>
      </c>
      <c r="AF1689" s="0" t="s">
        <v>301</v>
      </c>
      <c r="AP1689" s="0" t="s">
        <v>305</v>
      </c>
      <c r="BA1689" s="0">
        <v>603</v>
      </c>
      <c r="BB1689" s="0" t="s">
        <v>232</v>
      </c>
      <c r="BC1689" s="0">
        <v>2</v>
      </c>
      <c r="BD1689" s="0">
        <v>8</v>
      </c>
      <c r="BE1689" s="0">
        <v>520278</v>
      </c>
      <c r="BF1689" s="0">
        <v>4</v>
      </c>
      <c r="BG1689" s="0" t="s">
        <v>11226</v>
      </c>
      <c r="BI1689" s="0">
        <v>1475</v>
      </c>
      <c r="BK1689" s="0" t="s">
        <v>11227</v>
      </c>
    </row>
    <row r="1690">
      <c r="A1690" s="0">
        <v>6545</v>
      </c>
      <c r="B1690" s="0" t="s">
        <v>11228</v>
      </c>
      <c r="C1690" s="0" t="s">
        <v>339</v>
      </c>
      <c r="D1690" s="0" t="s">
        <v>11211</v>
      </c>
      <c r="E1690" s="0" t="s">
        <v>11229</v>
      </c>
      <c r="F1690" s="0">
        <v>1</v>
      </c>
      <c r="G1690" s="0" t="s">
        <v>11230</v>
      </c>
      <c r="J1690" s="0" t="s">
        <v>319</v>
      </c>
      <c r="K1690" s="0" t="s">
        <v>11213</v>
      </c>
      <c r="P1690" s="0" t="s">
        <v>323</v>
      </c>
      <c r="Q1690" s="0" t="s">
        <v>343</v>
      </c>
      <c r="R1690" s="0" t="s">
        <v>7617</v>
      </c>
      <c r="T1690" s="0" t="s">
        <v>11231</v>
      </c>
      <c r="U1690" s="0" t="s">
        <v>11232</v>
      </c>
      <c r="W1690" s="0" t="s">
        <v>11205</v>
      </c>
      <c r="X1690" s="0" t="s">
        <v>347</v>
      </c>
      <c r="Y1690" s="0" t="s">
        <v>52</v>
      </c>
      <c r="Z1690" s="0" t="s">
        <v>11206</v>
      </c>
      <c r="AA1690" s="0" t="s">
        <v>51</v>
      </c>
      <c r="AB1690" s="0" t="s">
        <v>531</v>
      </c>
      <c r="AC1690" s="0" t="s">
        <v>571</v>
      </c>
      <c r="AD1690" s="0" t="s">
        <v>11207</v>
      </c>
      <c r="AF1690" s="0" t="s">
        <v>301</v>
      </c>
      <c r="AP1690" s="0" t="s">
        <v>305</v>
      </c>
      <c r="BA1690" s="0">
        <v>603</v>
      </c>
      <c r="BB1690" s="0" t="s">
        <v>232</v>
      </c>
      <c r="BC1690" s="0">
        <v>2</v>
      </c>
      <c r="BD1690" s="0">
        <v>8</v>
      </c>
      <c r="BE1690" s="0">
        <v>520278</v>
      </c>
      <c r="BF1690" s="0">
        <v>4</v>
      </c>
      <c r="BG1690" s="0" t="s">
        <v>11233</v>
      </c>
      <c r="BI1690" s="0">
        <v>466</v>
      </c>
      <c r="BK1690" s="0" t="s">
        <v>11234</v>
      </c>
    </row>
    <row r="1691">
      <c r="A1691" s="0">
        <v>6562</v>
      </c>
      <c r="C1691" s="0" t="s">
        <v>339</v>
      </c>
      <c r="D1691" s="0" t="s">
        <v>11183</v>
      </c>
      <c r="E1691" s="0" t="s">
        <v>11235</v>
      </c>
      <c r="F1691" s="0">
        <v>3</v>
      </c>
      <c r="G1691" s="0" t="s">
        <v>10445</v>
      </c>
      <c r="I1691" s="0" t="s">
        <v>1268</v>
      </c>
      <c r="J1691" s="0" t="s">
        <v>319</v>
      </c>
      <c r="K1691" s="0" t="s">
        <v>398</v>
      </c>
      <c r="L1691" s="0" t="s">
        <v>1268</v>
      </c>
      <c r="W1691" s="0" t="s">
        <v>11205</v>
      </c>
      <c r="X1691" s="0" t="s">
        <v>529</v>
      </c>
      <c r="Y1691" s="0" t="s">
        <v>52</v>
      </c>
      <c r="Z1691" s="0" t="s">
        <v>11206</v>
      </c>
      <c r="AA1691" s="0" t="s">
        <v>51</v>
      </c>
      <c r="AB1691" s="0" t="s">
        <v>531</v>
      </c>
      <c r="AC1691" s="0" t="s">
        <v>571</v>
      </c>
      <c r="AD1691" s="0" t="s">
        <v>11207</v>
      </c>
      <c r="AF1691" s="0" t="s">
        <v>301</v>
      </c>
      <c r="AP1691" s="0" t="s">
        <v>305</v>
      </c>
      <c r="BA1691" s="0">
        <v>603</v>
      </c>
      <c r="BB1691" s="0" t="s">
        <v>232</v>
      </c>
      <c r="BC1691" s="0">
        <v>2</v>
      </c>
      <c r="BD1691" s="0">
        <v>8</v>
      </c>
      <c r="BE1691" s="0">
        <v>520278</v>
      </c>
      <c r="BF1691" s="0">
        <v>2</v>
      </c>
      <c r="BG1691" s="0" t="s">
        <v>11236</v>
      </c>
      <c r="BI1691" s="0">
        <v>2208</v>
      </c>
      <c r="BK1691" s="0" t="s">
        <v>11237</v>
      </c>
    </row>
    <row r="1692">
      <c r="A1692" s="0">
        <v>6550</v>
      </c>
      <c r="B1692" s="0" t="s">
        <v>11238</v>
      </c>
      <c r="C1692" s="0" t="s">
        <v>339</v>
      </c>
      <c r="D1692" s="0" t="s">
        <v>11211</v>
      </c>
      <c r="E1692" s="0" t="s">
        <v>11239</v>
      </c>
      <c r="F1692" s="0">
        <v>1</v>
      </c>
      <c r="G1692" s="0" t="s">
        <v>508</v>
      </c>
      <c r="H1692" s="0" t="s">
        <v>1268</v>
      </c>
      <c r="J1692" s="0" t="s">
        <v>319</v>
      </c>
      <c r="K1692" s="0" t="s">
        <v>11240</v>
      </c>
      <c r="T1692" s="0" t="s">
        <v>11241</v>
      </c>
      <c r="U1692" s="0" t="s">
        <v>11242</v>
      </c>
      <c r="W1692" s="0" t="s">
        <v>11205</v>
      </c>
      <c r="X1692" s="0" t="s">
        <v>347</v>
      </c>
      <c r="Y1692" s="0" t="s">
        <v>52</v>
      </c>
      <c r="Z1692" s="0" t="s">
        <v>11206</v>
      </c>
      <c r="AA1692" s="0" t="s">
        <v>51</v>
      </c>
      <c r="AB1692" s="0" t="s">
        <v>531</v>
      </c>
      <c r="AC1692" s="0" t="s">
        <v>571</v>
      </c>
      <c r="AD1692" s="0" t="s">
        <v>11207</v>
      </c>
      <c r="AF1692" s="0" t="s">
        <v>301</v>
      </c>
      <c r="AP1692" s="0" t="s">
        <v>305</v>
      </c>
      <c r="BA1692" s="0">
        <v>603</v>
      </c>
      <c r="BB1692" s="0" t="s">
        <v>232</v>
      </c>
      <c r="BC1692" s="0">
        <v>2</v>
      </c>
      <c r="BD1692" s="0">
        <v>8</v>
      </c>
      <c r="BE1692" s="0">
        <v>520278</v>
      </c>
      <c r="BF1692" s="0">
        <v>4</v>
      </c>
      <c r="BG1692" s="0" t="s">
        <v>11243</v>
      </c>
      <c r="BI1692" s="0">
        <v>852</v>
      </c>
      <c r="BK1692" s="0" t="s">
        <v>11244</v>
      </c>
    </row>
    <row r="1693">
      <c r="A1693" s="0">
        <v>6551</v>
      </c>
      <c r="B1693" s="0" t="s">
        <v>11245</v>
      </c>
      <c r="C1693" s="0" t="s">
        <v>339</v>
      </c>
      <c r="D1693" s="0" t="s">
        <v>11211</v>
      </c>
      <c r="E1693" s="0" t="s">
        <v>11246</v>
      </c>
      <c r="F1693" s="0">
        <v>1</v>
      </c>
      <c r="G1693" s="0" t="s">
        <v>11220</v>
      </c>
      <c r="H1693" s="0" t="s">
        <v>11221</v>
      </c>
      <c r="J1693" s="0" t="s">
        <v>360</v>
      </c>
      <c r="K1693" s="0" t="s">
        <v>11247</v>
      </c>
      <c r="T1693" s="0" t="s">
        <v>11241</v>
      </c>
      <c r="U1693" s="0" t="s">
        <v>11248</v>
      </c>
      <c r="W1693" s="0" t="s">
        <v>11205</v>
      </c>
      <c r="X1693" s="0" t="s">
        <v>347</v>
      </c>
      <c r="Y1693" s="0" t="s">
        <v>52</v>
      </c>
      <c r="Z1693" s="0" t="s">
        <v>11206</v>
      </c>
      <c r="AA1693" s="0" t="s">
        <v>51</v>
      </c>
      <c r="AB1693" s="0" t="s">
        <v>531</v>
      </c>
      <c r="AC1693" s="0" t="s">
        <v>571</v>
      </c>
      <c r="AD1693" s="0" t="s">
        <v>11207</v>
      </c>
      <c r="AF1693" s="0" t="s">
        <v>301</v>
      </c>
      <c r="AP1693" s="0" t="s">
        <v>305</v>
      </c>
      <c r="BA1693" s="0">
        <v>603</v>
      </c>
      <c r="BB1693" s="0" t="s">
        <v>232</v>
      </c>
      <c r="BC1693" s="0">
        <v>2</v>
      </c>
      <c r="BD1693" s="0">
        <v>8</v>
      </c>
      <c r="BE1693" s="0">
        <v>520278</v>
      </c>
      <c r="BF1693" s="0">
        <v>4</v>
      </c>
      <c r="BG1693" s="0" t="s">
        <v>11249</v>
      </c>
      <c r="BI1693" s="0">
        <v>1179</v>
      </c>
      <c r="BK1693" s="0" t="s">
        <v>11250</v>
      </c>
    </row>
    <row r="1694">
      <c r="A1694" s="0">
        <v>6549</v>
      </c>
      <c r="B1694" s="0" t="s">
        <v>11251</v>
      </c>
      <c r="E1694" s="0" t="s">
        <v>11252</v>
      </c>
      <c r="F1694" s="0">
        <v>1</v>
      </c>
      <c r="G1694" s="0" t="s">
        <v>525</v>
      </c>
      <c r="H1694" s="0" t="s">
        <v>400</v>
      </c>
      <c r="I1694" s="0" t="s">
        <v>497</v>
      </c>
      <c r="R1694" s="0" t="s">
        <v>903</v>
      </c>
      <c r="T1694" s="0" t="s">
        <v>11253</v>
      </c>
      <c r="W1694" s="0" t="s">
        <v>11094</v>
      </c>
      <c r="X1694" s="0" t="s">
        <v>1116</v>
      </c>
      <c r="Y1694" s="0" t="s">
        <v>46</v>
      </c>
      <c r="Z1694" s="0" t="s">
        <v>8094</v>
      </c>
      <c r="AA1694" s="0" t="s">
        <v>54</v>
      </c>
      <c r="AB1694" s="0" t="s">
        <v>300</v>
      </c>
      <c r="AF1694" s="0" t="s">
        <v>1688</v>
      </c>
      <c r="AP1694" s="0" t="s">
        <v>305</v>
      </c>
      <c r="BA1694" s="0">
        <v>604</v>
      </c>
      <c r="BB1694" s="0" t="s">
        <v>232</v>
      </c>
      <c r="BC1694" s="0">
        <v>3</v>
      </c>
      <c r="BE1694" s="0">
        <v>413</v>
      </c>
      <c r="BF1694" s="0">
        <v>1</v>
      </c>
      <c r="BG1694" s="0" t="s">
        <v>11254</v>
      </c>
      <c r="BI1694" s="0">
        <v>1194</v>
      </c>
      <c r="BK1694" s="0" t="s">
        <v>11255</v>
      </c>
    </row>
    <row r="1695">
      <c r="A1695" s="0">
        <v>6548</v>
      </c>
      <c r="B1695" s="0" t="s">
        <v>11256</v>
      </c>
      <c r="E1695" s="0" t="s">
        <v>11257</v>
      </c>
      <c r="F1695" s="0">
        <v>1</v>
      </c>
      <c r="G1695" s="0" t="s">
        <v>319</v>
      </c>
      <c r="H1695" s="0" t="s">
        <v>1745</v>
      </c>
      <c r="I1695" s="0" t="s">
        <v>11258</v>
      </c>
      <c r="J1695" s="0" t="s">
        <v>525</v>
      </c>
      <c r="K1695" s="0" t="s">
        <v>400</v>
      </c>
      <c r="R1695" s="0" t="s">
        <v>1869</v>
      </c>
      <c r="T1695" s="0" t="s">
        <v>11259</v>
      </c>
      <c r="W1695" s="0" t="s">
        <v>11094</v>
      </c>
      <c r="X1695" s="0" t="s">
        <v>1116</v>
      </c>
      <c r="Y1695" s="0" t="s">
        <v>46</v>
      </c>
      <c r="Z1695" s="0" t="s">
        <v>8094</v>
      </c>
      <c r="AA1695" s="0" t="s">
        <v>54</v>
      </c>
      <c r="AB1695" s="0" t="s">
        <v>300</v>
      </c>
      <c r="AF1695" s="0" t="s">
        <v>1688</v>
      </c>
      <c r="AP1695" s="0" t="s">
        <v>305</v>
      </c>
      <c r="BA1695" s="0">
        <v>604</v>
      </c>
      <c r="BB1695" s="0" t="s">
        <v>232</v>
      </c>
      <c r="BC1695" s="0">
        <v>3</v>
      </c>
      <c r="BE1695" s="0">
        <v>413</v>
      </c>
      <c r="BF1695" s="0">
        <v>1</v>
      </c>
      <c r="BG1695" s="0" t="s">
        <v>11260</v>
      </c>
      <c r="BI1695" s="0">
        <v>867</v>
      </c>
      <c r="BK1695" s="0" t="s">
        <v>11261</v>
      </c>
    </row>
    <row r="1696">
      <c r="A1696" s="0">
        <v>6546</v>
      </c>
      <c r="B1696" s="0" t="s">
        <v>11262</v>
      </c>
      <c r="E1696" s="0" t="s">
        <v>11263</v>
      </c>
      <c r="F1696" s="0">
        <v>1</v>
      </c>
      <c r="G1696" s="0" t="s">
        <v>319</v>
      </c>
      <c r="H1696" s="0" t="s">
        <v>523</v>
      </c>
      <c r="I1696" s="0" t="s">
        <v>1268</v>
      </c>
      <c r="J1696" s="0" t="s">
        <v>525</v>
      </c>
      <c r="K1696" s="0" t="s">
        <v>400</v>
      </c>
      <c r="L1696" s="0" t="s">
        <v>469</v>
      </c>
      <c r="R1696" s="0" t="s">
        <v>1783</v>
      </c>
      <c r="T1696" s="0" t="s">
        <v>11264</v>
      </c>
      <c r="W1696" s="0" t="s">
        <v>11094</v>
      </c>
      <c r="X1696" s="0" t="s">
        <v>1116</v>
      </c>
      <c r="Y1696" s="0" t="s">
        <v>46</v>
      </c>
      <c r="Z1696" s="0" t="s">
        <v>8094</v>
      </c>
      <c r="AA1696" s="0" t="s">
        <v>54</v>
      </c>
      <c r="AB1696" s="0" t="s">
        <v>300</v>
      </c>
      <c r="AF1696" s="0" t="s">
        <v>1688</v>
      </c>
      <c r="AP1696" s="0" t="s">
        <v>305</v>
      </c>
      <c r="BA1696" s="0">
        <v>604</v>
      </c>
      <c r="BB1696" s="0" t="s">
        <v>232</v>
      </c>
      <c r="BC1696" s="0">
        <v>3</v>
      </c>
      <c r="BE1696" s="0">
        <v>413</v>
      </c>
      <c r="BF1696" s="0">
        <v>1</v>
      </c>
      <c r="BG1696" s="0" t="s">
        <v>11265</v>
      </c>
      <c r="BI1696" s="0">
        <v>30</v>
      </c>
      <c r="BK1696" s="0" t="s">
        <v>11266</v>
      </c>
    </row>
    <row r="1697">
      <c r="A1697" s="0">
        <v>6547</v>
      </c>
      <c r="B1697" s="0" t="s">
        <v>11267</v>
      </c>
      <c r="E1697" s="0" t="s">
        <v>11268</v>
      </c>
      <c r="F1697" s="0">
        <v>1</v>
      </c>
      <c r="G1697" s="0" t="s">
        <v>319</v>
      </c>
      <c r="H1697" s="0" t="s">
        <v>523</v>
      </c>
      <c r="I1697" s="0" t="s">
        <v>1268</v>
      </c>
      <c r="J1697" s="0" t="s">
        <v>525</v>
      </c>
      <c r="K1697" s="0" t="s">
        <v>400</v>
      </c>
      <c r="L1697" s="0" t="s">
        <v>469</v>
      </c>
      <c r="T1697" s="0" t="s">
        <v>11269</v>
      </c>
      <c r="W1697" s="0" t="s">
        <v>11094</v>
      </c>
      <c r="X1697" s="0" t="s">
        <v>1116</v>
      </c>
      <c r="Y1697" s="0" t="s">
        <v>46</v>
      </c>
      <c r="Z1697" s="0" t="s">
        <v>8094</v>
      </c>
      <c r="AA1697" s="0" t="s">
        <v>54</v>
      </c>
      <c r="AB1697" s="0" t="s">
        <v>300</v>
      </c>
      <c r="AF1697" s="0" t="s">
        <v>1688</v>
      </c>
      <c r="AP1697" s="0" t="s">
        <v>305</v>
      </c>
      <c r="BA1697" s="0">
        <v>604</v>
      </c>
      <c r="BB1697" s="0" t="s">
        <v>232</v>
      </c>
      <c r="BC1697" s="0">
        <v>3</v>
      </c>
      <c r="BE1697" s="0">
        <v>413</v>
      </c>
      <c r="BF1697" s="0">
        <v>1</v>
      </c>
      <c r="BG1697" s="0" t="s">
        <v>11270</v>
      </c>
      <c r="BI1697" s="0">
        <v>484</v>
      </c>
      <c r="BK1697" s="0" t="s">
        <v>11271</v>
      </c>
    </row>
    <row r="1698">
      <c r="A1698" s="0">
        <v>6555</v>
      </c>
      <c r="B1698" s="0" t="s">
        <v>11272</v>
      </c>
      <c r="C1698" s="0" t="s">
        <v>4376</v>
      </c>
      <c r="D1698" s="0" t="s">
        <v>11183</v>
      </c>
      <c r="E1698" s="0" t="s">
        <v>11273</v>
      </c>
      <c r="F1698" s="0">
        <v>1</v>
      </c>
      <c r="G1698" s="0" t="s">
        <v>508</v>
      </c>
      <c r="I1698" s="0" t="s">
        <v>729</v>
      </c>
      <c r="J1698" s="0" t="s">
        <v>319</v>
      </c>
      <c r="K1698" s="0" t="s">
        <v>483</v>
      </c>
      <c r="L1698" s="0" t="s">
        <v>11274</v>
      </c>
      <c r="P1698" s="0" t="s">
        <v>2521</v>
      </c>
      <c r="Q1698" s="0" t="s">
        <v>868</v>
      </c>
      <c r="R1698" s="0" t="s">
        <v>11275</v>
      </c>
      <c r="U1698" s="0" t="s">
        <v>11276</v>
      </c>
      <c r="W1698" s="0" t="s">
        <v>11111</v>
      </c>
      <c r="X1698" s="0" t="s">
        <v>347</v>
      </c>
      <c r="Y1698" s="0" t="s">
        <v>50</v>
      </c>
      <c r="Z1698" s="0" t="s">
        <v>9723</v>
      </c>
      <c r="AA1698" s="0" t="s">
        <v>49</v>
      </c>
      <c r="AB1698" s="0" t="s">
        <v>531</v>
      </c>
      <c r="AC1698" s="0" t="s">
        <v>571</v>
      </c>
      <c r="AE1698" s="0" t="s">
        <v>9733</v>
      </c>
      <c r="AF1698" s="0" t="s">
        <v>301</v>
      </c>
      <c r="AP1698" s="0" t="s">
        <v>305</v>
      </c>
      <c r="BA1698" s="0">
        <v>605</v>
      </c>
      <c r="BB1698" s="0" t="s">
        <v>232</v>
      </c>
      <c r="BC1698" s="0">
        <v>2</v>
      </c>
      <c r="BD1698" s="0">
        <v>374062</v>
      </c>
      <c r="BE1698" s="0">
        <v>519208</v>
      </c>
      <c r="BF1698" s="0">
        <v>4</v>
      </c>
      <c r="BG1698" s="0" t="s">
        <v>11277</v>
      </c>
      <c r="BI1698" s="0">
        <v>468</v>
      </c>
      <c r="BK1698" s="0" t="s">
        <v>11278</v>
      </c>
    </row>
    <row r="1699">
      <c r="A1699" s="0">
        <v>6556</v>
      </c>
      <c r="B1699" s="0" t="s">
        <v>11279</v>
      </c>
      <c r="C1699" s="0" t="s">
        <v>1139</v>
      </c>
      <c r="D1699" s="0" t="s">
        <v>11183</v>
      </c>
      <c r="E1699" s="0" t="s">
        <v>11280</v>
      </c>
      <c r="F1699" s="0">
        <v>1</v>
      </c>
      <c r="G1699" s="0" t="s">
        <v>293</v>
      </c>
      <c r="H1699" s="0" t="s">
        <v>294</v>
      </c>
      <c r="I1699" s="0" t="s">
        <v>295</v>
      </c>
      <c r="P1699" s="0" t="s">
        <v>323</v>
      </c>
      <c r="Q1699" s="0" t="s">
        <v>323</v>
      </c>
      <c r="R1699" s="0" t="s">
        <v>849</v>
      </c>
      <c r="W1699" s="0" t="s">
        <v>11111</v>
      </c>
      <c r="X1699" s="0" t="s">
        <v>529</v>
      </c>
      <c r="Y1699" s="0" t="s">
        <v>50</v>
      </c>
      <c r="Z1699" s="0" t="s">
        <v>9723</v>
      </c>
      <c r="AA1699" s="0" t="s">
        <v>49</v>
      </c>
      <c r="AB1699" s="0" t="s">
        <v>531</v>
      </c>
      <c r="AC1699" s="0" t="s">
        <v>571</v>
      </c>
      <c r="AE1699" s="0" t="s">
        <v>9733</v>
      </c>
      <c r="AF1699" s="0" t="s">
        <v>301</v>
      </c>
      <c r="AP1699" s="0" t="s">
        <v>305</v>
      </c>
      <c r="BA1699" s="0">
        <v>605</v>
      </c>
      <c r="BB1699" s="0" t="s">
        <v>232</v>
      </c>
      <c r="BC1699" s="0">
        <v>2</v>
      </c>
      <c r="BD1699" s="0">
        <v>38030</v>
      </c>
      <c r="BE1699" s="0">
        <v>519208</v>
      </c>
      <c r="BF1699" s="0">
        <v>2</v>
      </c>
      <c r="BG1699" s="0" t="s">
        <v>11281</v>
      </c>
      <c r="BI1699" s="0">
        <v>853</v>
      </c>
      <c r="BK1699" s="0" t="s">
        <v>11282</v>
      </c>
    </row>
    <row r="1700">
      <c r="A1700" s="0">
        <v>6557</v>
      </c>
      <c r="B1700" s="0" t="s">
        <v>11283</v>
      </c>
      <c r="C1700" s="0" t="s">
        <v>1139</v>
      </c>
      <c r="D1700" s="0" t="s">
        <v>11183</v>
      </c>
      <c r="E1700" s="0" t="s">
        <v>11284</v>
      </c>
      <c r="F1700" s="0">
        <v>1</v>
      </c>
      <c r="G1700" s="0" t="s">
        <v>293</v>
      </c>
      <c r="H1700" s="0" t="s">
        <v>294</v>
      </c>
      <c r="I1700" s="0" t="s">
        <v>11285</v>
      </c>
      <c r="W1700" s="0" t="s">
        <v>11111</v>
      </c>
      <c r="X1700" s="0" t="s">
        <v>529</v>
      </c>
      <c r="Y1700" s="0" t="s">
        <v>50</v>
      </c>
      <c r="Z1700" s="0" t="s">
        <v>9723</v>
      </c>
      <c r="AA1700" s="0" t="s">
        <v>49</v>
      </c>
      <c r="AB1700" s="0" t="s">
        <v>531</v>
      </c>
      <c r="AC1700" s="0" t="s">
        <v>571</v>
      </c>
      <c r="AE1700" s="0" t="s">
        <v>9733</v>
      </c>
      <c r="AF1700" s="0" t="s">
        <v>301</v>
      </c>
      <c r="AP1700" s="0" t="s">
        <v>305</v>
      </c>
      <c r="BA1700" s="0">
        <v>605</v>
      </c>
      <c r="BB1700" s="0" t="s">
        <v>232</v>
      </c>
      <c r="BC1700" s="0">
        <v>2</v>
      </c>
      <c r="BD1700" s="0">
        <v>38030</v>
      </c>
      <c r="BE1700" s="0">
        <v>519208</v>
      </c>
      <c r="BF1700" s="0">
        <v>2</v>
      </c>
      <c r="BG1700" s="0" t="s">
        <v>11286</v>
      </c>
      <c r="BI1700" s="0">
        <v>1180</v>
      </c>
      <c r="BK1700" s="0" t="s">
        <v>11287</v>
      </c>
    </row>
    <row r="1701">
      <c r="A1701" s="0">
        <v>6558</v>
      </c>
      <c r="B1701" s="0" t="s">
        <v>11288</v>
      </c>
      <c r="C1701" s="0" t="s">
        <v>1139</v>
      </c>
      <c r="D1701" s="0" t="s">
        <v>11183</v>
      </c>
      <c r="E1701" s="0" t="s">
        <v>11289</v>
      </c>
      <c r="F1701" s="0">
        <v>1</v>
      </c>
      <c r="G1701" s="0" t="s">
        <v>293</v>
      </c>
      <c r="H1701" s="0" t="s">
        <v>294</v>
      </c>
      <c r="I1701" s="0" t="s">
        <v>295</v>
      </c>
      <c r="W1701" s="0" t="s">
        <v>11111</v>
      </c>
      <c r="X1701" s="0" t="s">
        <v>529</v>
      </c>
      <c r="Y1701" s="0" t="s">
        <v>50</v>
      </c>
      <c r="Z1701" s="0" t="s">
        <v>9723</v>
      </c>
      <c r="AA1701" s="0" t="s">
        <v>49</v>
      </c>
      <c r="AB1701" s="0" t="s">
        <v>531</v>
      </c>
      <c r="AC1701" s="0" t="s">
        <v>571</v>
      </c>
      <c r="AE1701" s="0" t="s">
        <v>9733</v>
      </c>
      <c r="AF1701" s="0" t="s">
        <v>301</v>
      </c>
      <c r="AP1701" s="0" t="s">
        <v>305</v>
      </c>
      <c r="BA1701" s="0">
        <v>605</v>
      </c>
      <c r="BB1701" s="0" t="s">
        <v>232</v>
      </c>
      <c r="BC1701" s="0">
        <v>2</v>
      </c>
      <c r="BD1701" s="0">
        <v>38030</v>
      </c>
      <c r="BE1701" s="0">
        <v>519208</v>
      </c>
      <c r="BF1701" s="0">
        <v>2</v>
      </c>
      <c r="BG1701" s="0" t="s">
        <v>11290</v>
      </c>
      <c r="BI1701" s="0">
        <v>1476</v>
      </c>
      <c r="BK1701" s="0" t="s">
        <v>11291</v>
      </c>
    </row>
    <row r="1702">
      <c r="A1702" s="0">
        <v>6559</v>
      </c>
      <c r="B1702" s="0" t="s">
        <v>11292</v>
      </c>
      <c r="C1702" s="0" t="s">
        <v>339</v>
      </c>
      <c r="D1702" s="0" t="s">
        <v>11111</v>
      </c>
      <c r="E1702" s="0" t="s">
        <v>11293</v>
      </c>
      <c r="F1702" s="0">
        <v>1</v>
      </c>
      <c r="G1702" s="0" t="s">
        <v>319</v>
      </c>
      <c r="H1702" s="0" t="s">
        <v>523</v>
      </c>
      <c r="I1702" s="0" t="s">
        <v>1268</v>
      </c>
      <c r="J1702" s="0" t="s">
        <v>508</v>
      </c>
      <c r="L1702" s="0" t="s">
        <v>1268</v>
      </c>
      <c r="M1702" s="0" t="s">
        <v>400</v>
      </c>
      <c r="O1702" s="0" t="s">
        <v>469</v>
      </c>
      <c r="P1702" s="0" t="s">
        <v>1667</v>
      </c>
      <c r="Q1702" s="0" t="s">
        <v>11294</v>
      </c>
      <c r="R1702" s="0" t="s">
        <v>324</v>
      </c>
      <c r="T1702" s="0" t="s">
        <v>11295</v>
      </c>
      <c r="V1702" s="0" t="s">
        <v>11296</v>
      </c>
      <c r="X1702" s="0" t="s">
        <v>529</v>
      </c>
      <c r="Y1702" s="0" t="s">
        <v>222</v>
      </c>
      <c r="Z1702" s="0" t="s">
        <v>9039</v>
      </c>
      <c r="AA1702" s="0" t="s">
        <v>230</v>
      </c>
      <c r="AB1702" s="0" t="s">
        <v>531</v>
      </c>
      <c r="AC1702" s="0" t="s">
        <v>571</v>
      </c>
      <c r="AD1702" s="0" t="s">
        <v>1642</v>
      </c>
      <c r="AF1702" s="0" t="s">
        <v>11195</v>
      </c>
      <c r="AP1702" s="0" t="s">
        <v>305</v>
      </c>
      <c r="BA1702" s="0">
        <v>606</v>
      </c>
      <c r="BB1702" s="0" t="s">
        <v>232</v>
      </c>
      <c r="BC1702" s="0">
        <v>1</v>
      </c>
      <c r="BD1702" s="0">
        <v>8</v>
      </c>
      <c r="BE1702" s="0">
        <v>520277</v>
      </c>
      <c r="BF1702" s="0">
        <v>2</v>
      </c>
      <c r="BG1702" s="0" t="s">
        <v>11297</v>
      </c>
      <c r="BI1702" s="0">
        <v>469</v>
      </c>
      <c r="BK1702" s="0" t="s">
        <v>11298</v>
      </c>
    </row>
    <row r="1703">
      <c r="A1703" s="0">
        <v>6579</v>
      </c>
      <c r="B1703" s="0" t="s">
        <v>11299</v>
      </c>
      <c r="C1703" s="0" t="s">
        <v>9476</v>
      </c>
      <c r="D1703" s="0" t="s">
        <v>11300</v>
      </c>
      <c r="E1703" s="0" t="s">
        <v>11301</v>
      </c>
      <c r="F1703" s="0">
        <v>2</v>
      </c>
      <c r="G1703" s="0" t="s">
        <v>525</v>
      </c>
      <c r="H1703" s="0" t="s">
        <v>400</v>
      </c>
      <c r="I1703" s="0" t="s">
        <v>549</v>
      </c>
      <c r="J1703" s="0" t="s">
        <v>293</v>
      </c>
      <c r="K1703" s="0" t="s">
        <v>294</v>
      </c>
      <c r="L1703" s="0" t="s">
        <v>295</v>
      </c>
      <c r="P1703" s="0" t="s">
        <v>11302</v>
      </c>
      <c r="Q1703" s="0" t="s">
        <v>11302</v>
      </c>
      <c r="R1703" s="0" t="s">
        <v>11303</v>
      </c>
      <c r="W1703" s="0" t="s">
        <v>11304</v>
      </c>
      <c r="X1703" s="0" t="s">
        <v>529</v>
      </c>
      <c r="Y1703" s="0" t="s">
        <v>46</v>
      </c>
      <c r="Z1703" s="0" t="s">
        <v>8094</v>
      </c>
      <c r="AA1703" s="0" t="s">
        <v>45</v>
      </c>
      <c r="AB1703" s="0" t="s">
        <v>3740</v>
      </c>
      <c r="AD1703" s="0" t="s">
        <v>11305</v>
      </c>
      <c r="AF1703" s="0" t="s">
        <v>11195</v>
      </c>
      <c r="AP1703" s="0" t="s">
        <v>305</v>
      </c>
      <c r="BA1703" s="0">
        <v>608</v>
      </c>
      <c r="BB1703" s="0" t="s">
        <v>232</v>
      </c>
      <c r="BC1703" s="0">
        <v>1</v>
      </c>
      <c r="BD1703" s="0">
        <v>374087</v>
      </c>
      <c r="BE1703" s="0">
        <v>413</v>
      </c>
      <c r="BF1703" s="0">
        <v>2</v>
      </c>
      <c r="BG1703" s="0" t="s">
        <v>11306</v>
      </c>
      <c r="BI1703" s="0">
        <v>1182</v>
      </c>
      <c r="BK1703" s="0" t="s">
        <v>11307</v>
      </c>
    </row>
    <row r="1704">
      <c r="A1704" s="0">
        <v>6578</v>
      </c>
      <c r="B1704" s="0" t="s">
        <v>11308</v>
      </c>
      <c r="C1704" s="0" t="s">
        <v>315</v>
      </c>
      <c r="D1704" s="0" t="s">
        <v>11300</v>
      </c>
      <c r="E1704" s="0" t="s">
        <v>11093</v>
      </c>
      <c r="F1704" s="0">
        <v>9</v>
      </c>
      <c r="G1704" s="0" t="s">
        <v>525</v>
      </c>
      <c r="H1704" s="0" t="s">
        <v>508</v>
      </c>
      <c r="J1704" s="0" t="s">
        <v>319</v>
      </c>
      <c r="K1704" s="0" t="s">
        <v>1745</v>
      </c>
      <c r="L1704" s="0" t="s">
        <v>948</v>
      </c>
      <c r="P1704" s="0" t="s">
        <v>323</v>
      </c>
      <c r="Q1704" s="0" t="s">
        <v>11309</v>
      </c>
      <c r="R1704" s="0" t="s">
        <v>11310</v>
      </c>
      <c r="U1704" s="0" t="s">
        <v>11311</v>
      </c>
      <c r="W1704" s="0" t="s">
        <v>11304</v>
      </c>
      <c r="X1704" s="0" t="s">
        <v>529</v>
      </c>
      <c r="Y1704" s="0" t="s">
        <v>46</v>
      </c>
      <c r="Z1704" s="0" t="s">
        <v>8094</v>
      </c>
      <c r="AA1704" s="0" t="s">
        <v>45</v>
      </c>
      <c r="AB1704" s="0" t="s">
        <v>3740</v>
      </c>
      <c r="AD1704" s="0" t="s">
        <v>11305</v>
      </c>
      <c r="AF1704" s="0" t="s">
        <v>11195</v>
      </c>
      <c r="AP1704" s="0" t="s">
        <v>305</v>
      </c>
      <c r="BA1704" s="0">
        <v>608</v>
      </c>
      <c r="BB1704" s="0" t="s">
        <v>232</v>
      </c>
      <c r="BC1704" s="0">
        <v>1</v>
      </c>
      <c r="BD1704" s="0">
        <v>374043</v>
      </c>
      <c r="BE1704" s="0">
        <v>413</v>
      </c>
      <c r="BF1704" s="0">
        <v>2</v>
      </c>
      <c r="BG1704" s="0" t="s">
        <v>11312</v>
      </c>
      <c r="BI1704" s="0">
        <v>856</v>
      </c>
      <c r="BK1704" s="0" t="s">
        <v>11313</v>
      </c>
    </row>
    <row r="1705">
      <c r="A1705" s="0">
        <v>6577</v>
      </c>
      <c r="B1705" s="0" t="s">
        <v>11314</v>
      </c>
      <c r="C1705" s="0" t="s">
        <v>315</v>
      </c>
      <c r="D1705" s="0" t="s">
        <v>11300</v>
      </c>
      <c r="E1705" s="0" t="s">
        <v>11263</v>
      </c>
      <c r="F1705" s="0">
        <v>1</v>
      </c>
      <c r="G1705" s="0" t="s">
        <v>525</v>
      </c>
      <c r="H1705" s="0" t="s">
        <v>400</v>
      </c>
      <c r="J1705" s="0" t="s">
        <v>319</v>
      </c>
      <c r="K1705" s="0" t="s">
        <v>523</v>
      </c>
      <c r="L1705" s="0" t="s">
        <v>1268</v>
      </c>
      <c r="M1705" s="0" t="s">
        <v>525</v>
      </c>
      <c r="N1705" s="0" t="s">
        <v>400</v>
      </c>
      <c r="O1705" s="0" t="s">
        <v>11315</v>
      </c>
      <c r="P1705" s="0" t="s">
        <v>323</v>
      </c>
      <c r="Q1705" s="0" t="s">
        <v>343</v>
      </c>
      <c r="R1705" s="0" t="s">
        <v>2007</v>
      </c>
      <c r="T1705" s="0" t="s">
        <v>11316</v>
      </c>
      <c r="W1705" s="0" t="s">
        <v>11304</v>
      </c>
      <c r="X1705" s="0" t="s">
        <v>529</v>
      </c>
      <c r="Y1705" s="0" t="s">
        <v>46</v>
      </c>
      <c r="Z1705" s="0" t="s">
        <v>8094</v>
      </c>
      <c r="AA1705" s="0" t="s">
        <v>45</v>
      </c>
      <c r="AB1705" s="0" t="s">
        <v>3740</v>
      </c>
      <c r="AD1705" s="0" t="s">
        <v>11305</v>
      </c>
      <c r="AF1705" s="0" t="s">
        <v>11195</v>
      </c>
      <c r="AP1705" s="0" t="s">
        <v>305</v>
      </c>
      <c r="BA1705" s="0">
        <v>608</v>
      </c>
      <c r="BB1705" s="0" t="s">
        <v>232</v>
      </c>
      <c r="BC1705" s="0">
        <v>1</v>
      </c>
      <c r="BD1705" s="0">
        <v>374043</v>
      </c>
      <c r="BE1705" s="0">
        <v>413</v>
      </c>
      <c r="BF1705" s="0">
        <v>2</v>
      </c>
      <c r="BG1705" s="0" t="s">
        <v>11317</v>
      </c>
      <c r="BI1705" s="0">
        <v>472</v>
      </c>
      <c r="BK1705" s="0" t="s">
        <v>11318</v>
      </c>
    </row>
    <row r="1706">
      <c r="A1706" s="0">
        <v>6580</v>
      </c>
      <c r="B1706" s="0" t="s">
        <v>11319</v>
      </c>
      <c r="C1706" s="0" t="s">
        <v>315</v>
      </c>
      <c r="D1706" s="0" t="s">
        <v>11320</v>
      </c>
      <c r="E1706" s="0" t="s">
        <v>11321</v>
      </c>
      <c r="F1706" s="0">
        <v>1</v>
      </c>
      <c r="G1706" s="0" t="s">
        <v>508</v>
      </c>
      <c r="H1706" s="0" t="s">
        <v>469</v>
      </c>
      <c r="J1706" s="0" t="s">
        <v>293</v>
      </c>
      <c r="K1706" s="0" t="s">
        <v>294</v>
      </c>
      <c r="L1706" s="0" t="s">
        <v>295</v>
      </c>
      <c r="P1706" s="0" t="s">
        <v>323</v>
      </c>
      <c r="Q1706" s="0" t="s">
        <v>323</v>
      </c>
      <c r="R1706" s="0" t="s">
        <v>324</v>
      </c>
      <c r="T1706" s="0" t="s">
        <v>11322</v>
      </c>
      <c r="W1706" s="0" t="s">
        <v>11323</v>
      </c>
      <c r="X1706" s="0" t="s">
        <v>529</v>
      </c>
      <c r="Y1706" s="0" t="s">
        <v>42</v>
      </c>
      <c r="Z1706" s="0" t="s">
        <v>2384</v>
      </c>
      <c r="AA1706" s="0" t="s">
        <v>41</v>
      </c>
      <c r="AB1706" s="0" t="s">
        <v>300</v>
      </c>
      <c r="AD1706" s="0" t="s">
        <v>11324</v>
      </c>
      <c r="AE1706" s="0" t="s">
        <v>11325</v>
      </c>
      <c r="AF1706" s="0" t="s">
        <v>11195</v>
      </c>
      <c r="AP1706" s="0" t="s">
        <v>305</v>
      </c>
      <c r="BA1706" s="0">
        <v>609</v>
      </c>
      <c r="BB1706" s="0" t="s">
        <v>232</v>
      </c>
      <c r="BC1706" s="0">
        <v>1</v>
      </c>
      <c r="BD1706" s="0">
        <v>374043</v>
      </c>
      <c r="BE1706" s="0">
        <v>70560</v>
      </c>
      <c r="BF1706" s="0">
        <v>2</v>
      </c>
      <c r="BG1706" s="0" t="s">
        <v>11326</v>
      </c>
      <c r="BI1706" s="0">
        <v>474</v>
      </c>
      <c r="BK1706" s="0" t="s">
        <v>11327</v>
      </c>
    </row>
    <row r="1707">
      <c r="A1707" s="0">
        <v>6605</v>
      </c>
      <c r="B1707" s="0" t="s">
        <v>8255</v>
      </c>
      <c r="C1707" s="0" t="s">
        <v>945</v>
      </c>
      <c r="D1707" s="0" t="s">
        <v>11320</v>
      </c>
      <c r="E1707" s="0" t="s">
        <v>8256</v>
      </c>
      <c r="F1707" s="0">
        <v>1</v>
      </c>
      <c r="G1707" s="0" t="s">
        <v>319</v>
      </c>
      <c r="H1707" s="0" t="s">
        <v>947</v>
      </c>
      <c r="I1707" s="0" t="s">
        <v>321</v>
      </c>
      <c r="P1707" s="0" t="s">
        <v>323</v>
      </c>
      <c r="Q1707" s="0" t="s">
        <v>323</v>
      </c>
      <c r="R1707" s="0" t="s">
        <v>1295</v>
      </c>
      <c r="T1707" s="0" t="s">
        <v>11328</v>
      </c>
      <c r="U1707" s="0" t="s">
        <v>11329</v>
      </c>
      <c r="W1707" s="0" t="s">
        <v>11323</v>
      </c>
      <c r="X1707" s="0" t="s">
        <v>347</v>
      </c>
      <c r="Y1707" s="0" t="s">
        <v>42</v>
      </c>
      <c r="Z1707" s="0" t="s">
        <v>2384</v>
      </c>
      <c r="AA1707" s="0" t="s">
        <v>41</v>
      </c>
      <c r="AB1707" s="0" t="s">
        <v>300</v>
      </c>
      <c r="AD1707" s="0" t="s">
        <v>11324</v>
      </c>
      <c r="AE1707" s="0" t="s">
        <v>11325</v>
      </c>
      <c r="AF1707" s="0" t="s">
        <v>11195</v>
      </c>
      <c r="AP1707" s="0" t="s">
        <v>305</v>
      </c>
      <c r="BA1707" s="0">
        <v>609</v>
      </c>
      <c r="BB1707" s="0" t="s">
        <v>232</v>
      </c>
      <c r="BC1707" s="0">
        <v>1</v>
      </c>
      <c r="BD1707" s="0">
        <v>14</v>
      </c>
      <c r="BE1707" s="0">
        <v>70560</v>
      </c>
      <c r="BF1707" s="0">
        <v>4</v>
      </c>
      <c r="BG1707" s="0" t="s">
        <v>11330</v>
      </c>
      <c r="BI1707" s="0">
        <v>2957</v>
      </c>
      <c r="BK1707" s="0" t="s">
        <v>11331</v>
      </c>
    </row>
    <row r="1708">
      <c r="A1708" s="0">
        <v>6604</v>
      </c>
      <c r="B1708" s="0" t="s">
        <v>6529</v>
      </c>
      <c r="C1708" s="0" t="s">
        <v>945</v>
      </c>
      <c r="D1708" s="0" t="s">
        <v>11320</v>
      </c>
      <c r="E1708" s="0" t="s">
        <v>11332</v>
      </c>
      <c r="F1708" s="0">
        <v>1</v>
      </c>
      <c r="G1708" s="0" t="s">
        <v>594</v>
      </c>
      <c r="I1708" s="0" t="s">
        <v>11333</v>
      </c>
      <c r="J1708" s="0" t="s">
        <v>319</v>
      </c>
      <c r="K1708" s="0" t="s">
        <v>398</v>
      </c>
      <c r="L1708" s="0" t="s">
        <v>6530</v>
      </c>
      <c r="P1708" s="0" t="s">
        <v>323</v>
      </c>
      <c r="Q1708" s="0" t="s">
        <v>323</v>
      </c>
      <c r="R1708" s="0" t="s">
        <v>11334</v>
      </c>
      <c r="T1708" s="0" t="s">
        <v>11335</v>
      </c>
      <c r="U1708" s="0" t="s">
        <v>11336</v>
      </c>
      <c r="W1708" s="0" t="s">
        <v>11323</v>
      </c>
      <c r="X1708" s="0" t="s">
        <v>347</v>
      </c>
      <c r="Y1708" s="0" t="s">
        <v>42</v>
      </c>
      <c r="Z1708" s="0" t="s">
        <v>2384</v>
      </c>
      <c r="AA1708" s="0" t="s">
        <v>41</v>
      </c>
      <c r="AB1708" s="0" t="s">
        <v>300</v>
      </c>
      <c r="AD1708" s="0" t="s">
        <v>11324</v>
      </c>
      <c r="AE1708" s="0" t="s">
        <v>11325</v>
      </c>
      <c r="AF1708" s="0" t="s">
        <v>11195</v>
      </c>
      <c r="AP1708" s="0" t="s">
        <v>305</v>
      </c>
      <c r="BA1708" s="0">
        <v>609</v>
      </c>
      <c r="BB1708" s="0" t="s">
        <v>232</v>
      </c>
      <c r="BC1708" s="0">
        <v>1</v>
      </c>
      <c r="BD1708" s="0">
        <v>14</v>
      </c>
      <c r="BE1708" s="0">
        <v>70560</v>
      </c>
      <c r="BF1708" s="0">
        <v>4</v>
      </c>
      <c r="BG1708" s="0" t="s">
        <v>11337</v>
      </c>
      <c r="BI1708" s="0">
        <v>2787</v>
      </c>
      <c r="BK1708" s="0" t="s">
        <v>11338</v>
      </c>
    </row>
    <row r="1709">
      <c r="A1709" s="0">
        <v>6583</v>
      </c>
      <c r="B1709" s="0" t="s">
        <v>1821</v>
      </c>
      <c r="C1709" s="0" t="s">
        <v>1139</v>
      </c>
      <c r="D1709" s="0" t="s">
        <v>11320</v>
      </c>
      <c r="E1709" s="0" t="s">
        <v>1822</v>
      </c>
      <c r="F1709" s="0">
        <v>1</v>
      </c>
      <c r="G1709" s="0" t="s">
        <v>293</v>
      </c>
      <c r="H1709" s="0" t="s">
        <v>294</v>
      </c>
      <c r="I1709" s="0" t="s">
        <v>918</v>
      </c>
      <c r="T1709" s="0" t="s">
        <v>11339</v>
      </c>
      <c r="U1709" s="0" t="s">
        <v>11340</v>
      </c>
      <c r="W1709" s="0" t="s">
        <v>11323</v>
      </c>
      <c r="X1709" s="0" t="s">
        <v>347</v>
      </c>
      <c r="Y1709" s="0" t="s">
        <v>42</v>
      </c>
      <c r="Z1709" s="0" t="s">
        <v>2384</v>
      </c>
      <c r="AA1709" s="0" t="s">
        <v>41</v>
      </c>
      <c r="AB1709" s="0" t="s">
        <v>300</v>
      </c>
      <c r="AD1709" s="0" t="s">
        <v>11324</v>
      </c>
      <c r="AE1709" s="0" t="s">
        <v>11325</v>
      </c>
      <c r="AF1709" s="0" t="s">
        <v>11195</v>
      </c>
      <c r="AP1709" s="0" t="s">
        <v>305</v>
      </c>
      <c r="BA1709" s="0">
        <v>609</v>
      </c>
      <c r="BB1709" s="0" t="s">
        <v>232</v>
      </c>
      <c r="BC1709" s="0">
        <v>1</v>
      </c>
      <c r="BD1709" s="0">
        <v>38030</v>
      </c>
      <c r="BE1709" s="0">
        <v>70560</v>
      </c>
      <c r="BF1709" s="0">
        <v>4</v>
      </c>
      <c r="BG1709" s="0" t="s">
        <v>11341</v>
      </c>
      <c r="BI1709" s="0">
        <v>1479</v>
      </c>
      <c r="BK1709" s="0" t="s">
        <v>11342</v>
      </c>
    </row>
    <row r="1710">
      <c r="A1710" s="0">
        <v>6609</v>
      </c>
      <c r="B1710" s="0" t="s">
        <v>11343</v>
      </c>
      <c r="C1710" s="0" t="s">
        <v>290</v>
      </c>
      <c r="D1710" s="0" t="s">
        <v>11320</v>
      </c>
      <c r="E1710" s="0" t="s">
        <v>11344</v>
      </c>
      <c r="F1710" s="0">
        <v>1</v>
      </c>
      <c r="G1710" s="0" t="s">
        <v>293</v>
      </c>
      <c r="H1710" s="0" t="s">
        <v>294</v>
      </c>
      <c r="I1710" s="0" t="s">
        <v>295</v>
      </c>
      <c r="J1710" s="0" t="s">
        <v>555</v>
      </c>
      <c r="K1710" s="0" t="s">
        <v>1112</v>
      </c>
      <c r="L1710" s="0" t="s">
        <v>2947</v>
      </c>
      <c r="P1710" s="0" t="s">
        <v>323</v>
      </c>
      <c r="Q1710" s="0" t="s">
        <v>323</v>
      </c>
      <c r="R1710" s="0" t="s">
        <v>4585</v>
      </c>
      <c r="T1710" s="0" t="s">
        <v>11345</v>
      </c>
      <c r="U1710" s="0" t="s">
        <v>11346</v>
      </c>
      <c r="W1710" s="0" t="s">
        <v>11323</v>
      </c>
      <c r="X1710" s="0" t="s">
        <v>529</v>
      </c>
      <c r="Y1710" s="0" t="s">
        <v>42</v>
      </c>
      <c r="Z1710" s="0" t="s">
        <v>2384</v>
      </c>
      <c r="AA1710" s="0" t="s">
        <v>41</v>
      </c>
      <c r="AB1710" s="0" t="s">
        <v>300</v>
      </c>
      <c r="AD1710" s="0" t="s">
        <v>11324</v>
      </c>
      <c r="AE1710" s="0" t="s">
        <v>11325</v>
      </c>
      <c r="AF1710" s="0" t="s">
        <v>11195</v>
      </c>
      <c r="AP1710" s="0" t="s">
        <v>305</v>
      </c>
      <c r="BA1710" s="0">
        <v>609</v>
      </c>
      <c r="BB1710" s="0" t="s">
        <v>232</v>
      </c>
      <c r="BC1710" s="0">
        <v>1</v>
      </c>
      <c r="BD1710" s="0">
        <v>374053</v>
      </c>
      <c r="BE1710" s="0">
        <v>70560</v>
      </c>
      <c r="BF1710" s="0">
        <v>2</v>
      </c>
      <c r="BG1710" s="0" t="s">
        <v>11347</v>
      </c>
      <c r="BI1710" s="0">
        <v>3525</v>
      </c>
      <c r="BK1710" s="0" t="s">
        <v>11348</v>
      </c>
    </row>
    <row r="1711">
      <c r="A1711" s="0">
        <v>6606</v>
      </c>
      <c r="B1711" s="0" t="s">
        <v>11349</v>
      </c>
      <c r="C1711" s="0" t="s">
        <v>945</v>
      </c>
      <c r="D1711" s="0" t="s">
        <v>11320</v>
      </c>
      <c r="E1711" s="0" t="s">
        <v>11350</v>
      </c>
      <c r="F1711" s="0">
        <v>1</v>
      </c>
      <c r="G1711" s="0" t="s">
        <v>594</v>
      </c>
      <c r="I1711" s="0" t="s">
        <v>3204</v>
      </c>
      <c r="J1711" s="0" t="s">
        <v>319</v>
      </c>
      <c r="K1711" s="0" t="s">
        <v>398</v>
      </c>
      <c r="L1711" s="0" t="s">
        <v>2656</v>
      </c>
      <c r="P1711" s="0" t="s">
        <v>323</v>
      </c>
      <c r="Q1711" s="0" t="s">
        <v>323</v>
      </c>
      <c r="R1711" s="0" t="s">
        <v>11351</v>
      </c>
      <c r="T1711" s="0" t="s">
        <v>11352</v>
      </c>
      <c r="U1711" s="0" t="s">
        <v>11353</v>
      </c>
      <c r="W1711" s="0" t="s">
        <v>11323</v>
      </c>
      <c r="X1711" s="0" t="s">
        <v>347</v>
      </c>
      <c r="Y1711" s="0" t="s">
        <v>42</v>
      </c>
      <c r="Z1711" s="0" t="s">
        <v>2384</v>
      </c>
      <c r="AA1711" s="0" t="s">
        <v>41</v>
      </c>
      <c r="AB1711" s="0" t="s">
        <v>300</v>
      </c>
      <c r="AD1711" s="0" t="s">
        <v>11324</v>
      </c>
      <c r="AE1711" s="0" t="s">
        <v>11325</v>
      </c>
      <c r="AF1711" s="0" t="s">
        <v>11195</v>
      </c>
      <c r="AP1711" s="0" t="s">
        <v>305</v>
      </c>
      <c r="BA1711" s="0">
        <v>609</v>
      </c>
      <c r="BB1711" s="0" t="s">
        <v>232</v>
      </c>
      <c r="BC1711" s="0">
        <v>1</v>
      </c>
      <c r="BD1711" s="0">
        <v>14</v>
      </c>
      <c r="BE1711" s="0">
        <v>70560</v>
      </c>
      <c r="BF1711" s="0">
        <v>4</v>
      </c>
      <c r="BG1711" s="0" t="s">
        <v>11354</v>
      </c>
      <c r="BI1711" s="0">
        <v>3123</v>
      </c>
      <c r="BK1711" s="0" t="s">
        <v>11355</v>
      </c>
    </row>
    <row r="1712">
      <c r="A1712" s="0">
        <v>6607</v>
      </c>
      <c r="B1712" s="0" t="s">
        <v>1625</v>
      </c>
      <c r="C1712" s="0" t="s">
        <v>916</v>
      </c>
      <c r="D1712" s="0" t="s">
        <v>11320</v>
      </c>
      <c r="E1712" s="0" t="s">
        <v>1626</v>
      </c>
      <c r="F1712" s="0">
        <v>1</v>
      </c>
      <c r="T1712" s="0" t="s">
        <v>11356</v>
      </c>
      <c r="W1712" s="0" t="s">
        <v>11323</v>
      </c>
      <c r="X1712" s="0" t="s">
        <v>529</v>
      </c>
      <c r="Y1712" s="0" t="s">
        <v>42</v>
      </c>
      <c r="Z1712" s="0" t="s">
        <v>2384</v>
      </c>
      <c r="AA1712" s="0" t="s">
        <v>41</v>
      </c>
      <c r="AB1712" s="0" t="s">
        <v>300</v>
      </c>
      <c r="AD1712" s="0" t="s">
        <v>11324</v>
      </c>
      <c r="AE1712" s="0" t="s">
        <v>11325</v>
      </c>
      <c r="AF1712" s="0" t="s">
        <v>11195</v>
      </c>
      <c r="AP1712" s="0" t="s">
        <v>305</v>
      </c>
      <c r="BA1712" s="0">
        <v>609</v>
      </c>
      <c r="BB1712" s="0" t="s">
        <v>232</v>
      </c>
      <c r="BC1712" s="0">
        <v>1</v>
      </c>
      <c r="BD1712" s="0">
        <v>15</v>
      </c>
      <c r="BE1712" s="0">
        <v>70560</v>
      </c>
      <c r="BF1712" s="0">
        <v>2</v>
      </c>
      <c r="BG1712" s="0" t="s">
        <v>11357</v>
      </c>
      <c r="BI1712" s="0">
        <v>3273</v>
      </c>
      <c r="BK1712" s="0" t="s">
        <v>11358</v>
      </c>
    </row>
    <row r="1713">
      <c r="A1713" s="0">
        <v>6582</v>
      </c>
      <c r="B1713" s="0" t="s">
        <v>11359</v>
      </c>
      <c r="C1713" s="0" t="s">
        <v>656</v>
      </c>
      <c r="D1713" s="0" t="s">
        <v>11320</v>
      </c>
      <c r="E1713" s="0" t="s">
        <v>11360</v>
      </c>
      <c r="F1713" s="0">
        <v>1</v>
      </c>
      <c r="G1713" s="0" t="s">
        <v>594</v>
      </c>
      <c r="H1713" s="0" t="s">
        <v>1190</v>
      </c>
      <c r="I1713" s="0" t="s">
        <v>469</v>
      </c>
      <c r="J1713" s="0" t="s">
        <v>293</v>
      </c>
      <c r="K1713" s="0" t="s">
        <v>294</v>
      </c>
      <c r="L1713" s="0" t="s">
        <v>295</v>
      </c>
      <c r="T1713" s="0" t="s">
        <v>11361</v>
      </c>
      <c r="U1713" s="0" t="s">
        <v>11362</v>
      </c>
      <c r="W1713" s="0" t="s">
        <v>11323</v>
      </c>
      <c r="X1713" s="0" t="s">
        <v>347</v>
      </c>
      <c r="Y1713" s="0" t="s">
        <v>42</v>
      </c>
      <c r="Z1713" s="0" t="s">
        <v>2384</v>
      </c>
      <c r="AA1713" s="0" t="s">
        <v>41</v>
      </c>
      <c r="AB1713" s="0" t="s">
        <v>300</v>
      </c>
      <c r="AD1713" s="0" t="s">
        <v>11324</v>
      </c>
      <c r="AE1713" s="0" t="s">
        <v>11325</v>
      </c>
      <c r="AF1713" s="0" t="s">
        <v>11195</v>
      </c>
      <c r="AP1713" s="0" t="s">
        <v>305</v>
      </c>
      <c r="BA1713" s="0">
        <v>609</v>
      </c>
      <c r="BB1713" s="0" t="s">
        <v>232</v>
      </c>
      <c r="BC1713" s="0">
        <v>1</v>
      </c>
      <c r="BD1713" s="0">
        <v>10</v>
      </c>
      <c r="BE1713" s="0">
        <v>70560</v>
      </c>
      <c r="BF1713" s="0">
        <v>4</v>
      </c>
      <c r="BG1713" s="0" t="s">
        <v>11363</v>
      </c>
      <c r="BI1713" s="0">
        <v>1184</v>
      </c>
      <c r="BK1713" s="0" t="s">
        <v>11364</v>
      </c>
    </row>
    <row r="1714">
      <c r="A1714" s="0">
        <v>6581</v>
      </c>
      <c r="B1714" s="0" t="s">
        <v>11365</v>
      </c>
      <c r="C1714" s="0" t="s">
        <v>656</v>
      </c>
      <c r="D1714" s="0" t="s">
        <v>11320</v>
      </c>
      <c r="E1714" s="0" t="s">
        <v>11366</v>
      </c>
      <c r="F1714" s="0">
        <v>1</v>
      </c>
      <c r="G1714" s="0" t="s">
        <v>594</v>
      </c>
      <c r="H1714" s="0" t="s">
        <v>1190</v>
      </c>
      <c r="I1714" s="0" t="s">
        <v>469</v>
      </c>
      <c r="J1714" s="0" t="s">
        <v>293</v>
      </c>
      <c r="K1714" s="0" t="s">
        <v>294</v>
      </c>
      <c r="L1714" s="0" t="s">
        <v>295</v>
      </c>
      <c r="T1714" s="0" t="s">
        <v>11367</v>
      </c>
      <c r="U1714" s="0" t="s">
        <v>11368</v>
      </c>
      <c r="W1714" s="0" t="s">
        <v>11323</v>
      </c>
      <c r="X1714" s="0" t="s">
        <v>347</v>
      </c>
      <c r="Y1714" s="0" t="s">
        <v>42</v>
      </c>
      <c r="Z1714" s="0" t="s">
        <v>2384</v>
      </c>
      <c r="AA1714" s="0" t="s">
        <v>41</v>
      </c>
      <c r="AB1714" s="0" t="s">
        <v>300</v>
      </c>
      <c r="AD1714" s="0" t="s">
        <v>11324</v>
      </c>
      <c r="AE1714" s="0" t="s">
        <v>11325</v>
      </c>
      <c r="AF1714" s="0" t="s">
        <v>11195</v>
      </c>
      <c r="AP1714" s="0" t="s">
        <v>305</v>
      </c>
      <c r="BA1714" s="0">
        <v>609</v>
      </c>
      <c r="BB1714" s="0" t="s">
        <v>232</v>
      </c>
      <c r="BC1714" s="0">
        <v>1</v>
      </c>
      <c r="BD1714" s="0">
        <v>10</v>
      </c>
      <c r="BE1714" s="0">
        <v>70560</v>
      </c>
      <c r="BF1714" s="0">
        <v>4</v>
      </c>
      <c r="BG1714" s="0" t="s">
        <v>11369</v>
      </c>
      <c r="BI1714" s="0">
        <v>858</v>
      </c>
      <c r="BK1714" s="0" t="s">
        <v>11370</v>
      </c>
    </row>
    <row r="1715">
      <c r="A1715" s="0">
        <v>6597</v>
      </c>
      <c r="B1715" s="0" t="s">
        <v>2507</v>
      </c>
      <c r="C1715" s="0" t="s">
        <v>1139</v>
      </c>
      <c r="D1715" s="0" t="s">
        <v>11320</v>
      </c>
      <c r="E1715" s="0" t="s">
        <v>2508</v>
      </c>
      <c r="F1715" s="0">
        <v>1</v>
      </c>
      <c r="G1715" s="0" t="s">
        <v>293</v>
      </c>
      <c r="H1715" s="0" t="s">
        <v>294</v>
      </c>
      <c r="I1715" s="0" t="s">
        <v>295</v>
      </c>
      <c r="T1715" s="0" t="s">
        <v>11371</v>
      </c>
      <c r="U1715" s="0" t="s">
        <v>11372</v>
      </c>
      <c r="W1715" s="0" t="s">
        <v>11323</v>
      </c>
      <c r="X1715" s="0" t="s">
        <v>347</v>
      </c>
      <c r="Y1715" s="0" t="s">
        <v>42</v>
      </c>
      <c r="Z1715" s="0" t="s">
        <v>2384</v>
      </c>
      <c r="AA1715" s="0" t="s">
        <v>41</v>
      </c>
      <c r="AB1715" s="0" t="s">
        <v>300</v>
      </c>
      <c r="AD1715" s="0" t="s">
        <v>11324</v>
      </c>
      <c r="AE1715" s="0" t="s">
        <v>11325</v>
      </c>
      <c r="AF1715" s="0" t="s">
        <v>11195</v>
      </c>
      <c r="AP1715" s="0" t="s">
        <v>305</v>
      </c>
      <c r="BA1715" s="0">
        <v>609</v>
      </c>
      <c r="BB1715" s="0" t="s">
        <v>232</v>
      </c>
      <c r="BC1715" s="0">
        <v>1</v>
      </c>
      <c r="BD1715" s="0">
        <v>38030</v>
      </c>
      <c r="BE1715" s="0">
        <v>70560</v>
      </c>
      <c r="BF1715" s="0">
        <v>4</v>
      </c>
      <c r="BG1715" s="0" t="s">
        <v>11373</v>
      </c>
      <c r="BI1715" s="0">
        <v>1986</v>
      </c>
      <c r="BK1715" s="0" t="s">
        <v>11374</v>
      </c>
    </row>
    <row r="1716">
      <c r="A1716" s="0">
        <v>6598</v>
      </c>
      <c r="B1716" s="0" t="s">
        <v>2512</v>
      </c>
      <c r="C1716" s="0" t="s">
        <v>1139</v>
      </c>
      <c r="D1716" s="0" t="s">
        <v>11320</v>
      </c>
      <c r="E1716" s="0" t="s">
        <v>2513</v>
      </c>
      <c r="F1716" s="0">
        <v>1</v>
      </c>
      <c r="G1716" s="0" t="s">
        <v>293</v>
      </c>
      <c r="H1716" s="0" t="s">
        <v>294</v>
      </c>
      <c r="I1716" s="0" t="s">
        <v>295</v>
      </c>
      <c r="T1716" s="0" t="s">
        <v>11375</v>
      </c>
      <c r="U1716" s="0" t="s">
        <v>11376</v>
      </c>
      <c r="W1716" s="0" t="s">
        <v>11323</v>
      </c>
      <c r="X1716" s="0" t="s">
        <v>347</v>
      </c>
      <c r="Y1716" s="0" t="s">
        <v>42</v>
      </c>
      <c r="Z1716" s="0" t="s">
        <v>2384</v>
      </c>
      <c r="AA1716" s="0" t="s">
        <v>41</v>
      </c>
      <c r="AB1716" s="0" t="s">
        <v>300</v>
      </c>
      <c r="AD1716" s="0" t="s">
        <v>11324</v>
      </c>
      <c r="AE1716" s="0" t="s">
        <v>11325</v>
      </c>
      <c r="AF1716" s="0" t="s">
        <v>11195</v>
      </c>
      <c r="AP1716" s="0" t="s">
        <v>305</v>
      </c>
      <c r="BA1716" s="0">
        <v>609</v>
      </c>
      <c r="BB1716" s="0" t="s">
        <v>232</v>
      </c>
      <c r="BC1716" s="0">
        <v>1</v>
      </c>
      <c r="BD1716" s="0">
        <v>38030</v>
      </c>
      <c r="BE1716" s="0">
        <v>70560</v>
      </c>
      <c r="BF1716" s="0">
        <v>4</v>
      </c>
      <c r="BG1716" s="0" t="s">
        <v>11377</v>
      </c>
      <c r="BI1716" s="0">
        <v>2212</v>
      </c>
      <c r="BK1716" s="0" t="s">
        <v>11378</v>
      </c>
    </row>
    <row r="1717">
      <c r="A1717" s="0">
        <v>6599</v>
      </c>
      <c r="B1717" s="0" t="s">
        <v>5981</v>
      </c>
      <c r="C1717" s="0" t="s">
        <v>315</v>
      </c>
      <c r="D1717" s="0" t="s">
        <v>11320</v>
      </c>
      <c r="E1717" s="0" t="s">
        <v>1665</v>
      </c>
      <c r="F1717" s="0">
        <v>2</v>
      </c>
      <c r="G1717" s="0" t="s">
        <v>508</v>
      </c>
      <c r="I1717" s="0" t="s">
        <v>3204</v>
      </c>
      <c r="J1717" s="0" t="s">
        <v>319</v>
      </c>
      <c r="K1717" s="0" t="s">
        <v>658</v>
      </c>
      <c r="L1717" s="0" t="s">
        <v>524</v>
      </c>
      <c r="M1717" s="0" t="s">
        <v>293</v>
      </c>
      <c r="N1717" s="0" t="s">
        <v>294</v>
      </c>
      <c r="O1717" s="0" t="s">
        <v>918</v>
      </c>
      <c r="P1717" s="0" t="s">
        <v>323</v>
      </c>
      <c r="R1717" s="0" t="s">
        <v>1142</v>
      </c>
      <c r="T1717" s="0" t="s">
        <v>11379</v>
      </c>
      <c r="W1717" s="0" t="s">
        <v>11323</v>
      </c>
      <c r="X1717" s="0" t="s">
        <v>529</v>
      </c>
      <c r="Y1717" s="0" t="s">
        <v>42</v>
      </c>
      <c r="Z1717" s="0" t="s">
        <v>2384</v>
      </c>
      <c r="AA1717" s="0" t="s">
        <v>41</v>
      </c>
      <c r="AB1717" s="0" t="s">
        <v>300</v>
      </c>
      <c r="AD1717" s="0" t="s">
        <v>11324</v>
      </c>
      <c r="AE1717" s="0" t="s">
        <v>11325</v>
      </c>
      <c r="AF1717" s="0" t="s">
        <v>11195</v>
      </c>
      <c r="AP1717" s="0" t="s">
        <v>305</v>
      </c>
      <c r="BA1717" s="0">
        <v>609</v>
      </c>
      <c r="BB1717" s="0" t="s">
        <v>232</v>
      </c>
      <c r="BC1717" s="0">
        <v>1</v>
      </c>
      <c r="BD1717" s="0">
        <v>374043</v>
      </c>
      <c r="BE1717" s="0">
        <v>70560</v>
      </c>
      <c r="BF1717" s="0">
        <v>2</v>
      </c>
      <c r="BG1717" s="0" t="s">
        <v>11380</v>
      </c>
      <c r="BI1717" s="0">
        <v>2417</v>
      </c>
      <c r="BK1717" s="0" t="s">
        <v>11381</v>
      </c>
    </row>
    <row r="1718">
      <c r="A1718" s="0">
        <v>6608</v>
      </c>
      <c r="B1718" s="0" t="s">
        <v>8543</v>
      </c>
      <c r="C1718" s="0" t="s">
        <v>916</v>
      </c>
      <c r="D1718" s="0" t="s">
        <v>11320</v>
      </c>
      <c r="E1718" s="0" t="s">
        <v>8544</v>
      </c>
      <c r="F1718" s="0">
        <v>1</v>
      </c>
      <c r="T1718" s="0" t="s">
        <v>11382</v>
      </c>
      <c r="W1718" s="0" t="s">
        <v>11323</v>
      </c>
      <c r="X1718" s="0" t="s">
        <v>529</v>
      </c>
      <c r="Y1718" s="0" t="s">
        <v>42</v>
      </c>
      <c r="Z1718" s="0" t="s">
        <v>2384</v>
      </c>
      <c r="AA1718" s="0" t="s">
        <v>41</v>
      </c>
      <c r="AB1718" s="0" t="s">
        <v>300</v>
      </c>
      <c r="AD1718" s="0" t="s">
        <v>11324</v>
      </c>
      <c r="AE1718" s="0" t="s">
        <v>11325</v>
      </c>
      <c r="AF1718" s="0" t="s">
        <v>11195</v>
      </c>
      <c r="AP1718" s="0" t="s">
        <v>305</v>
      </c>
      <c r="BA1718" s="0">
        <v>609</v>
      </c>
      <c r="BB1718" s="0" t="s">
        <v>232</v>
      </c>
      <c r="BC1718" s="0">
        <v>1</v>
      </c>
      <c r="BD1718" s="0">
        <v>15</v>
      </c>
      <c r="BE1718" s="0">
        <v>70560</v>
      </c>
      <c r="BF1718" s="0">
        <v>2</v>
      </c>
      <c r="BG1718" s="0" t="s">
        <v>11383</v>
      </c>
      <c r="BI1718" s="0">
        <v>3406</v>
      </c>
      <c r="BK1718" s="0" t="s">
        <v>11384</v>
      </c>
    </row>
    <row r="1719">
      <c r="A1719" s="0">
        <v>6584</v>
      </c>
      <c r="B1719" s="0" t="s">
        <v>8715</v>
      </c>
      <c r="C1719" s="0" t="s">
        <v>579</v>
      </c>
      <c r="D1719" s="0" t="s">
        <v>11320</v>
      </c>
      <c r="E1719" s="0" t="s">
        <v>8716</v>
      </c>
      <c r="F1719" s="0">
        <v>1</v>
      </c>
      <c r="G1719" s="0" t="s">
        <v>293</v>
      </c>
      <c r="H1719" s="0" t="s">
        <v>294</v>
      </c>
      <c r="I1719" s="0" t="s">
        <v>11385</v>
      </c>
      <c r="J1719" s="0" t="s">
        <v>581</v>
      </c>
      <c r="L1719" s="0" t="s">
        <v>583</v>
      </c>
      <c r="T1719" s="0" t="s">
        <v>11386</v>
      </c>
      <c r="U1719" s="0" t="s">
        <v>11387</v>
      </c>
      <c r="W1719" s="0" t="s">
        <v>11323</v>
      </c>
      <c r="X1719" s="0" t="s">
        <v>347</v>
      </c>
      <c r="Y1719" s="0" t="s">
        <v>42</v>
      </c>
      <c r="Z1719" s="0" t="s">
        <v>2384</v>
      </c>
      <c r="AA1719" s="0" t="s">
        <v>41</v>
      </c>
      <c r="AB1719" s="0" t="s">
        <v>300</v>
      </c>
      <c r="AD1719" s="0" t="s">
        <v>11324</v>
      </c>
      <c r="AE1719" s="0" t="s">
        <v>11325</v>
      </c>
      <c r="AF1719" s="0" t="s">
        <v>11195</v>
      </c>
      <c r="AP1719" s="0" t="s">
        <v>305</v>
      </c>
      <c r="BA1719" s="0">
        <v>609</v>
      </c>
      <c r="BB1719" s="0" t="s">
        <v>232</v>
      </c>
      <c r="BC1719" s="0">
        <v>1</v>
      </c>
      <c r="BD1719" s="0">
        <v>374046</v>
      </c>
      <c r="BE1719" s="0">
        <v>70560</v>
      </c>
      <c r="BF1719" s="0">
        <v>4</v>
      </c>
      <c r="BG1719" s="0" t="s">
        <v>11388</v>
      </c>
      <c r="BI1719" s="0">
        <v>1745</v>
      </c>
      <c r="BK1719" s="0" t="s">
        <v>11389</v>
      </c>
    </row>
    <row r="1720">
      <c r="A1720" s="0">
        <v>6602</v>
      </c>
      <c r="B1720" s="0" t="s">
        <v>8735</v>
      </c>
      <c r="C1720" s="0" t="s">
        <v>945</v>
      </c>
      <c r="D1720" s="0" t="s">
        <v>11320</v>
      </c>
      <c r="E1720" s="0" t="s">
        <v>8736</v>
      </c>
      <c r="F1720" s="0">
        <v>2</v>
      </c>
      <c r="G1720" s="0" t="s">
        <v>400</v>
      </c>
      <c r="I1720" s="0" t="s">
        <v>469</v>
      </c>
      <c r="J1720" s="0" t="s">
        <v>319</v>
      </c>
      <c r="K1720" s="0" t="s">
        <v>523</v>
      </c>
      <c r="L1720" s="0" t="s">
        <v>1268</v>
      </c>
      <c r="T1720" s="0" t="s">
        <v>11390</v>
      </c>
      <c r="U1720" s="0" t="s">
        <v>11391</v>
      </c>
      <c r="W1720" s="0" t="s">
        <v>11323</v>
      </c>
      <c r="X1720" s="0" t="s">
        <v>347</v>
      </c>
      <c r="Y1720" s="0" t="s">
        <v>42</v>
      </c>
      <c r="Z1720" s="0" t="s">
        <v>2384</v>
      </c>
      <c r="AA1720" s="0" t="s">
        <v>41</v>
      </c>
      <c r="AB1720" s="0" t="s">
        <v>300</v>
      </c>
      <c r="AD1720" s="0" t="s">
        <v>11324</v>
      </c>
      <c r="AE1720" s="0" t="s">
        <v>11325</v>
      </c>
      <c r="AF1720" s="0" t="s">
        <v>11195</v>
      </c>
      <c r="AP1720" s="0" t="s">
        <v>305</v>
      </c>
      <c r="BA1720" s="0">
        <v>609</v>
      </c>
      <c r="BB1720" s="0" t="s">
        <v>232</v>
      </c>
      <c r="BC1720" s="0">
        <v>1</v>
      </c>
      <c r="BD1720" s="0">
        <v>14</v>
      </c>
      <c r="BE1720" s="0">
        <v>70560</v>
      </c>
      <c r="BF1720" s="0">
        <v>4</v>
      </c>
      <c r="BG1720" s="0" t="s">
        <v>11392</v>
      </c>
      <c r="BI1720" s="0">
        <v>2612</v>
      </c>
      <c r="BK1720" s="0" t="s">
        <v>11393</v>
      </c>
    </row>
    <row r="1721">
      <c r="A1721" s="0">
        <v>6613</v>
      </c>
      <c r="B1721" s="0" t="s">
        <v>11394</v>
      </c>
      <c r="C1721" s="0" t="s">
        <v>1139</v>
      </c>
      <c r="D1721" s="0" t="s">
        <v>11395</v>
      </c>
      <c r="E1721" s="0" t="s">
        <v>11280</v>
      </c>
      <c r="F1721" s="0">
        <v>1</v>
      </c>
      <c r="G1721" s="0" t="s">
        <v>293</v>
      </c>
      <c r="H1721" s="0" t="s">
        <v>294</v>
      </c>
      <c r="I1721" s="0" t="s">
        <v>295</v>
      </c>
      <c r="P1721" s="0" t="s">
        <v>323</v>
      </c>
      <c r="Q1721" s="0" t="s">
        <v>323</v>
      </c>
      <c r="R1721" s="0" t="s">
        <v>849</v>
      </c>
      <c r="T1721" s="0" t="s">
        <v>11396</v>
      </c>
      <c r="U1721" s="0" t="s">
        <v>11397</v>
      </c>
      <c r="W1721" s="0" t="s">
        <v>11320</v>
      </c>
      <c r="X1721" s="0" t="s">
        <v>347</v>
      </c>
      <c r="Y1721" s="0" t="s">
        <v>44</v>
      </c>
      <c r="Z1721" s="0" t="s">
        <v>1117</v>
      </c>
      <c r="AA1721" s="0" t="s">
        <v>43</v>
      </c>
      <c r="AB1721" s="0" t="s">
        <v>531</v>
      </c>
      <c r="AC1721" s="0" t="s">
        <v>532</v>
      </c>
      <c r="AD1721" s="0" t="s">
        <v>2465</v>
      </c>
      <c r="AF1721" s="0" t="s">
        <v>11195</v>
      </c>
      <c r="AP1721" s="0" t="s">
        <v>305</v>
      </c>
      <c r="BA1721" s="0">
        <v>611</v>
      </c>
      <c r="BB1721" s="0" t="s">
        <v>232</v>
      </c>
      <c r="BC1721" s="0">
        <v>1</v>
      </c>
      <c r="BD1721" s="0">
        <v>38030</v>
      </c>
      <c r="BE1721" s="0">
        <v>84661</v>
      </c>
      <c r="BF1721" s="0">
        <v>4</v>
      </c>
      <c r="BG1721" s="0" t="s">
        <v>11398</v>
      </c>
      <c r="BI1721" s="0">
        <v>1481</v>
      </c>
      <c r="BK1721" s="0" t="s">
        <v>11399</v>
      </c>
    </row>
    <row r="1722">
      <c r="A1722" s="0">
        <v>6610</v>
      </c>
      <c r="B1722" s="0" t="s">
        <v>9637</v>
      </c>
      <c r="C1722" s="0" t="s">
        <v>315</v>
      </c>
      <c r="D1722" s="0" t="s">
        <v>11395</v>
      </c>
      <c r="E1722" s="0" t="s">
        <v>9638</v>
      </c>
      <c r="F1722" s="0">
        <v>1</v>
      </c>
      <c r="G1722" s="0" t="s">
        <v>319</v>
      </c>
      <c r="H1722" s="0" t="s">
        <v>398</v>
      </c>
      <c r="I1722" s="0" t="s">
        <v>6530</v>
      </c>
      <c r="J1722" s="0" t="s">
        <v>293</v>
      </c>
      <c r="K1722" s="0" t="s">
        <v>294</v>
      </c>
      <c r="L1722" s="0" t="s">
        <v>295</v>
      </c>
      <c r="P1722" s="0" t="s">
        <v>323</v>
      </c>
      <c r="Q1722" s="0" t="s">
        <v>323</v>
      </c>
      <c r="R1722" s="0" t="s">
        <v>11400</v>
      </c>
      <c r="U1722" s="0" t="s">
        <v>11401</v>
      </c>
      <c r="W1722" s="0" t="s">
        <v>11320</v>
      </c>
      <c r="X1722" s="0" t="s">
        <v>529</v>
      </c>
      <c r="Y1722" s="0" t="s">
        <v>44</v>
      </c>
      <c r="Z1722" s="0" t="s">
        <v>1117</v>
      </c>
      <c r="AA1722" s="0" t="s">
        <v>43</v>
      </c>
      <c r="AB1722" s="0" t="s">
        <v>531</v>
      </c>
      <c r="AC1722" s="0" t="s">
        <v>532</v>
      </c>
      <c r="AD1722" s="0" t="s">
        <v>2465</v>
      </c>
      <c r="AF1722" s="0" t="s">
        <v>11195</v>
      </c>
      <c r="AP1722" s="0" t="s">
        <v>305</v>
      </c>
      <c r="BA1722" s="0">
        <v>611</v>
      </c>
      <c r="BB1722" s="0" t="s">
        <v>232</v>
      </c>
      <c r="BC1722" s="0">
        <v>1</v>
      </c>
      <c r="BD1722" s="0">
        <v>374043</v>
      </c>
      <c r="BE1722" s="0">
        <v>84661</v>
      </c>
      <c r="BF1722" s="0">
        <v>2</v>
      </c>
      <c r="BG1722" s="0" t="s">
        <v>11402</v>
      </c>
      <c r="BI1722" s="0">
        <v>478</v>
      </c>
      <c r="BK1722" s="0" t="s">
        <v>11403</v>
      </c>
    </row>
    <row r="1723">
      <c r="A1723" s="0">
        <v>6611</v>
      </c>
      <c r="B1723" s="0" t="s">
        <v>7327</v>
      </c>
      <c r="C1723" s="0" t="s">
        <v>315</v>
      </c>
      <c r="D1723" s="0" t="s">
        <v>11395</v>
      </c>
      <c r="E1723" s="0" t="s">
        <v>7328</v>
      </c>
      <c r="F1723" s="0">
        <v>2</v>
      </c>
      <c r="G1723" s="0" t="s">
        <v>319</v>
      </c>
      <c r="H1723" s="0" t="s">
        <v>398</v>
      </c>
      <c r="I1723" s="0" t="s">
        <v>6530</v>
      </c>
      <c r="J1723" s="0" t="s">
        <v>293</v>
      </c>
      <c r="K1723" s="0" t="s">
        <v>294</v>
      </c>
      <c r="L1723" s="0" t="s">
        <v>295</v>
      </c>
      <c r="P1723" s="0" t="s">
        <v>323</v>
      </c>
      <c r="Q1723" s="0" t="s">
        <v>323</v>
      </c>
      <c r="R1723" s="0" t="s">
        <v>11400</v>
      </c>
      <c r="U1723" s="0" t="s">
        <v>11404</v>
      </c>
      <c r="W1723" s="0" t="s">
        <v>11320</v>
      </c>
      <c r="X1723" s="0" t="s">
        <v>529</v>
      </c>
      <c r="Y1723" s="0" t="s">
        <v>44</v>
      </c>
      <c r="Z1723" s="0" t="s">
        <v>1117</v>
      </c>
      <c r="AA1723" s="0" t="s">
        <v>43</v>
      </c>
      <c r="AB1723" s="0" t="s">
        <v>531</v>
      </c>
      <c r="AC1723" s="0" t="s">
        <v>532</v>
      </c>
      <c r="AD1723" s="0" t="s">
        <v>2465</v>
      </c>
      <c r="AF1723" s="0" t="s">
        <v>11195</v>
      </c>
      <c r="AP1723" s="0" t="s">
        <v>305</v>
      </c>
      <c r="BA1723" s="0">
        <v>611</v>
      </c>
      <c r="BB1723" s="0" t="s">
        <v>232</v>
      </c>
      <c r="BC1723" s="0">
        <v>1</v>
      </c>
      <c r="BD1723" s="0">
        <v>374043</v>
      </c>
      <c r="BE1723" s="0">
        <v>84661</v>
      </c>
      <c r="BF1723" s="0">
        <v>2</v>
      </c>
      <c r="BG1723" s="0" t="s">
        <v>11405</v>
      </c>
      <c r="BI1723" s="0">
        <v>860</v>
      </c>
      <c r="BK1723" s="0" t="s">
        <v>11406</v>
      </c>
    </row>
    <row r="1724">
      <c r="A1724" s="0">
        <v>6612</v>
      </c>
      <c r="B1724" s="0" t="s">
        <v>11407</v>
      </c>
      <c r="C1724" s="0" t="s">
        <v>315</v>
      </c>
      <c r="D1724" s="0" t="s">
        <v>11395</v>
      </c>
      <c r="E1724" s="0" t="s">
        <v>11408</v>
      </c>
      <c r="F1724" s="0">
        <v>1</v>
      </c>
      <c r="G1724" s="0" t="s">
        <v>319</v>
      </c>
      <c r="H1724" s="0" t="s">
        <v>398</v>
      </c>
      <c r="I1724" s="0" t="s">
        <v>6530</v>
      </c>
      <c r="J1724" s="0" t="s">
        <v>293</v>
      </c>
      <c r="K1724" s="0" t="s">
        <v>294</v>
      </c>
      <c r="L1724" s="0" t="s">
        <v>295</v>
      </c>
      <c r="P1724" s="0" t="s">
        <v>343</v>
      </c>
      <c r="Q1724" s="0" t="s">
        <v>343</v>
      </c>
      <c r="T1724" s="0" t="s">
        <v>11409</v>
      </c>
      <c r="U1724" s="0" t="s">
        <v>11410</v>
      </c>
      <c r="W1724" s="0" t="s">
        <v>11320</v>
      </c>
      <c r="X1724" s="0" t="s">
        <v>529</v>
      </c>
      <c r="Y1724" s="0" t="s">
        <v>44</v>
      </c>
      <c r="Z1724" s="0" t="s">
        <v>1117</v>
      </c>
      <c r="AA1724" s="0" t="s">
        <v>43</v>
      </c>
      <c r="AB1724" s="0" t="s">
        <v>531</v>
      </c>
      <c r="AC1724" s="0" t="s">
        <v>532</v>
      </c>
      <c r="AD1724" s="0" t="s">
        <v>2465</v>
      </c>
      <c r="AF1724" s="0" t="s">
        <v>11195</v>
      </c>
      <c r="AP1724" s="0" t="s">
        <v>305</v>
      </c>
      <c r="BA1724" s="0">
        <v>611</v>
      </c>
      <c r="BB1724" s="0" t="s">
        <v>232</v>
      </c>
      <c r="BC1724" s="0">
        <v>1</v>
      </c>
      <c r="BD1724" s="0">
        <v>374043</v>
      </c>
      <c r="BE1724" s="0">
        <v>84661</v>
      </c>
      <c r="BF1724" s="0">
        <v>2</v>
      </c>
      <c r="BG1724" s="0" t="s">
        <v>11411</v>
      </c>
      <c r="BI1724" s="0">
        <v>1186</v>
      </c>
      <c r="BK1724" s="0" t="s">
        <v>11412</v>
      </c>
    </row>
    <row r="1725">
      <c r="A1725" s="0">
        <v>6631</v>
      </c>
      <c r="B1725" s="0" t="s">
        <v>11413</v>
      </c>
      <c r="E1725" s="0" t="s">
        <v>11414</v>
      </c>
      <c r="F1725" s="0">
        <v>1</v>
      </c>
      <c r="G1725" s="0" t="s">
        <v>555</v>
      </c>
      <c r="H1725" s="0" t="s">
        <v>2414</v>
      </c>
      <c r="I1725" s="0" t="s">
        <v>1204</v>
      </c>
      <c r="J1725" s="0" t="s">
        <v>594</v>
      </c>
      <c r="K1725" s="0" t="s">
        <v>1190</v>
      </c>
      <c r="L1725" s="0" t="s">
        <v>4749</v>
      </c>
      <c r="P1725" s="0" t="s">
        <v>323</v>
      </c>
      <c r="Q1725" s="0" t="s">
        <v>343</v>
      </c>
      <c r="R1725" s="0" t="s">
        <v>1021</v>
      </c>
      <c r="T1725" s="0" t="s">
        <v>11415</v>
      </c>
      <c r="W1725" s="0" t="s">
        <v>11416</v>
      </c>
      <c r="X1725" s="0" t="s">
        <v>1116</v>
      </c>
      <c r="Y1725" s="0" t="s">
        <v>36</v>
      </c>
      <c r="Z1725" s="0" t="s">
        <v>4002</v>
      </c>
      <c r="AA1725" s="0" t="s">
        <v>35</v>
      </c>
      <c r="AB1725" s="0" t="s">
        <v>300</v>
      </c>
      <c r="AC1725" s="0" t="s">
        <v>532</v>
      </c>
      <c r="AD1725" s="0" t="s">
        <v>11417</v>
      </c>
      <c r="AF1725" s="0" t="s">
        <v>11195</v>
      </c>
      <c r="AP1725" s="0" t="s">
        <v>305</v>
      </c>
      <c r="BA1725" s="0">
        <v>613</v>
      </c>
      <c r="BB1725" s="0" t="s">
        <v>232</v>
      </c>
      <c r="BC1725" s="0">
        <v>1</v>
      </c>
      <c r="BE1725" s="0">
        <v>134783</v>
      </c>
      <c r="BF1725" s="0">
        <v>1</v>
      </c>
      <c r="BG1725" s="0" t="s">
        <v>11418</v>
      </c>
      <c r="BI1725" s="0">
        <v>31</v>
      </c>
      <c r="BK1725" s="0" t="s">
        <v>11419</v>
      </c>
    </row>
    <row r="1726">
      <c r="A1726" s="0">
        <v>6639</v>
      </c>
      <c r="B1726" s="0" t="s">
        <v>11420</v>
      </c>
      <c r="C1726" s="0" t="s">
        <v>315</v>
      </c>
      <c r="D1726" s="0" t="s">
        <v>11421</v>
      </c>
      <c r="E1726" s="0" t="s">
        <v>11422</v>
      </c>
      <c r="F1726" s="0">
        <v>1</v>
      </c>
      <c r="G1726" s="0" t="s">
        <v>360</v>
      </c>
      <c r="H1726" s="0" t="s">
        <v>11423</v>
      </c>
      <c r="I1726" s="0" t="s">
        <v>11424</v>
      </c>
      <c r="J1726" s="0" t="s">
        <v>11425</v>
      </c>
      <c r="P1726" s="0" t="s">
        <v>11426</v>
      </c>
      <c r="Q1726" s="0" t="s">
        <v>11426</v>
      </c>
      <c r="U1726" s="0" t="s">
        <v>11427</v>
      </c>
      <c r="W1726" s="0" t="s">
        <v>11421</v>
      </c>
      <c r="X1726" s="0" t="s">
        <v>529</v>
      </c>
      <c r="Y1726" s="0" t="s">
        <v>40</v>
      </c>
      <c r="Z1726" s="0" t="s">
        <v>11428</v>
      </c>
      <c r="AA1726" s="0" t="s">
        <v>39</v>
      </c>
      <c r="AB1726" s="0" t="s">
        <v>300</v>
      </c>
      <c r="AF1726" s="0" t="s">
        <v>11195</v>
      </c>
      <c r="AP1726" s="0" t="s">
        <v>305</v>
      </c>
      <c r="BA1726" s="0">
        <v>616</v>
      </c>
      <c r="BB1726" s="0" t="s">
        <v>232</v>
      </c>
      <c r="BC1726" s="0">
        <v>1</v>
      </c>
      <c r="BD1726" s="0">
        <v>374043</v>
      </c>
      <c r="BE1726" s="0">
        <v>520418</v>
      </c>
      <c r="BF1726" s="0">
        <v>2</v>
      </c>
      <c r="BG1726" s="0" t="s">
        <v>11429</v>
      </c>
      <c r="BI1726" s="0">
        <v>475</v>
      </c>
      <c r="BK1726" s="0" t="s">
        <v>11430</v>
      </c>
    </row>
    <row r="1727">
      <c r="A1727" s="0">
        <v>6650</v>
      </c>
      <c r="B1727" s="0" t="s">
        <v>11431</v>
      </c>
      <c r="C1727" s="0" t="s">
        <v>315</v>
      </c>
      <c r="E1727" s="0" t="s">
        <v>11432</v>
      </c>
      <c r="F1727" s="0">
        <v>1</v>
      </c>
      <c r="G1727" s="0" t="s">
        <v>2715</v>
      </c>
      <c r="H1727" s="0" t="s">
        <v>361</v>
      </c>
      <c r="I1727" s="0" t="s">
        <v>11433</v>
      </c>
      <c r="J1727" s="0" t="s">
        <v>2714</v>
      </c>
      <c r="L1727" s="0" t="s">
        <v>11433</v>
      </c>
      <c r="P1727" s="0" t="s">
        <v>2765</v>
      </c>
      <c r="Q1727" s="0" t="s">
        <v>11434</v>
      </c>
      <c r="R1727" s="0" t="s">
        <v>11435</v>
      </c>
      <c r="W1727" s="0" t="s">
        <v>11421</v>
      </c>
      <c r="X1727" s="0" t="s">
        <v>1116</v>
      </c>
      <c r="Y1727" s="0" t="s">
        <v>40</v>
      </c>
      <c r="Z1727" s="0" t="s">
        <v>11428</v>
      </c>
      <c r="AA1727" s="0" t="s">
        <v>39</v>
      </c>
      <c r="AB1727" s="0" t="s">
        <v>300</v>
      </c>
      <c r="AF1727" s="0" t="s">
        <v>11195</v>
      </c>
      <c r="AP1727" s="0" t="s">
        <v>305</v>
      </c>
      <c r="BA1727" s="0">
        <v>616</v>
      </c>
      <c r="BB1727" s="0" t="s">
        <v>232</v>
      </c>
      <c r="BC1727" s="0">
        <v>1</v>
      </c>
      <c r="BD1727" s="0">
        <v>374043</v>
      </c>
      <c r="BE1727" s="0">
        <v>520418</v>
      </c>
      <c r="BF1727" s="0">
        <v>1</v>
      </c>
      <c r="BG1727" s="0" t="s">
        <v>11436</v>
      </c>
      <c r="BI1727" s="0">
        <v>1195</v>
      </c>
      <c r="BK1727" s="0" t="s">
        <v>11437</v>
      </c>
    </row>
    <row r="1728">
      <c r="A1728" s="0">
        <v>6651</v>
      </c>
      <c r="B1728" s="0" t="s">
        <v>11438</v>
      </c>
      <c r="C1728" s="0" t="s">
        <v>315</v>
      </c>
      <c r="E1728" s="0" t="s">
        <v>11439</v>
      </c>
      <c r="F1728" s="0">
        <v>1</v>
      </c>
      <c r="G1728" s="0" t="s">
        <v>2715</v>
      </c>
      <c r="H1728" s="0" t="s">
        <v>361</v>
      </c>
      <c r="I1728" s="0" t="s">
        <v>11433</v>
      </c>
      <c r="J1728" s="0" t="s">
        <v>2714</v>
      </c>
      <c r="L1728" s="0" t="s">
        <v>11433</v>
      </c>
      <c r="P1728" s="0" t="s">
        <v>2765</v>
      </c>
      <c r="Q1728" s="0" t="s">
        <v>11434</v>
      </c>
      <c r="R1728" s="0" t="s">
        <v>11435</v>
      </c>
      <c r="W1728" s="0" t="s">
        <v>11421</v>
      </c>
      <c r="X1728" s="0" t="s">
        <v>1116</v>
      </c>
      <c r="Y1728" s="0" t="s">
        <v>40</v>
      </c>
      <c r="Z1728" s="0" t="s">
        <v>11428</v>
      </c>
      <c r="AA1728" s="0" t="s">
        <v>39</v>
      </c>
      <c r="AB1728" s="0" t="s">
        <v>300</v>
      </c>
      <c r="AF1728" s="0" t="s">
        <v>11195</v>
      </c>
      <c r="AP1728" s="0" t="s">
        <v>305</v>
      </c>
      <c r="BA1728" s="0">
        <v>616</v>
      </c>
      <c r="BB1728" s="0" t="s">
        <v>232</v>
      </c>
      <c r="BC1728" s="0">
        <v>1</v>
      </c>
      <c r="BD1728" s="0">
        <v>374043</v>
      </c>
      <c r="BE1728" s="0">
        <v>520418</v>
      </c>
      <c r="BF1728" s="0">
        <v>1</v>
      </c>
      <c r="BG1728" s="0" t="s">
        <v>11440</v>
      </c>
      <c r="BI1728" s="0">
        <v>1488</v>
      </c>
      <c r="BK1728" s="0" t="s">
        <v>11441</v>
      </c>
    </row>
    <row r="1729">
      <c r="A1729" s="0">
        <v>6649</v>
      </c>
      <c r="B1729" s="0" t="s">
        <v>11442</v>
      </c>
      <c r="C1729" s="0" t="s">
        <v>315</v>
      </c>
      <c r="E1729" s="0" t="s">
        <v>11443</v>
      </c>
      <c r="F1729" s="0">
        <v>1</v>
      </c>
      <c r="G1729" s="0" t="s">
        <v>2715</v>
      </c>
      <c r="H1729" s="0" t="s">
        <v>11444</v>
      </c>
      <c r="I1729" s="0" t="s">
        <v>11433</v>
      </c>
      <c r="J1729" s="0" t="s">
        <v>2714</v>
      </c>
      <c r="L1729" s="0" t="s">
        <v>11433</v>
      </c>
      <c r="P1729" s="0" t="s">
        <v>2765</v>
      </c>
      <c r="Q1729" s="0" t="s">
        <v>2765</v>
      </c>
      <c r="R1729" s="0" t="s">
        <v>11435</v>
      </c>
      <c r="W1729" s="0" t="s">
        <v>11421</v>
      </c>
      <c r="X1729" s="0" t="s">
        <v>1116</v>
      </c>
      <c r="Y1729" s="0" t="s">
        <v>40</v>
      </c>
      <c r="Z1729" s="0" t="s">
        <v>11428</v>
      </c>
      <c r="AA1729" s="0" t="s">
        <v>39</v>
      </c>
      <c r="AB1729" s="0" t="s">
        <v>300</v>
      </c>
      <c r="AF1729" s="0" t="s">
        <v>11195</v>
      </c>
      <c r="AP1729" s="0" t="s">
        <v>305</v>
      </c>
      <c r="BA1729" s="0">
        <v>616</v>
      </c>
      <c r="BB1729" s="0" t="s">
        <v>232</v>
      </c>
      <c r="BC1729" s="0">
        <v>1</v>
      </c>
      <c r="BD1729" s="0">
        <v>374043</v>
      </c>
      <c r="BE1729" s="0">
        <v>520418</v>
      </c>
      <c r="BF1729" s="0">
        <v>1</v>
      </c>
      <c r="BG1729" s="0" t="s">
        <v>11445</v>
      </c>
      <c r="BI1729" s="0">
        <v>869</v>
      </c>
      <c r="BK1729" s="0" t="s">
        <v>11446</v>
      </c>
    </row>
    <row r="1730">
      <c r="A1730" s="0">
        <v>6648</v>
      </c>
      <c r="B1730" s="0" t="s">
        <v>11447</v>
      </c>
      <c r="C1730" s="0" t="s">
        <v>315</v>
      </c>
      <c r="E1730" s="0" t="s">
        <v>11448</v>
      </c>
      <c r="F1730" s="0">
        <v>1</v>
      </c>
      <c r="G1730" s="0" t="s">
        <v>2715</v>
      </c>
      <c r="H1730" s="0" t="s">
        <v>11444</v>
      </c>
      <c r="I1730" s="0" t="s">
        <v>11433</v>
      </c>
      <c r="J1730" s="0" t="s">
        <v>2714</v>
      </c>
      <c r="L1730" s="0" t="s">
        <v>11433</v>
      </c>
      <c r="M1730" s="0" t="s">
        <v>358</v>
      </c>
      <c r="N1730" s="0" t="s">
        <v>2723</v>
      </c>
      <c r="O1730" s="0" t="s">
        <v>5480</v>
      </c>
      <c r="P1730" s="0" t="s">
        <v>2765</v>
      </c>
      <c r="Q1730" s="0" t="s">
        <v>2765</v>
      </c>
      <c r="R1730" s="0" t="s">
        <v>11449</v>
      </c>
      <c r="W1730" s="0" t="s">
        <v>11421</v>
      </c>
      <c r="X1730" s="0" t="s">
        <v>1116</v>
      </c>
      <c r="Y1730" s="0" t="s">
        <v>40</v>
      </c>
      <c r="Z1730" s="0" t="s">
        <v>11428</v>
      </c>
      <c r="AA1730" s="0" t="s">
        <v>39</v>
      </c>
      <c r="AB1730" s="0" t="s">
        <v>300</v>
      </c>
      <c r="AF1730" s="0" t="s">
        <v>11195</v>
      </c>
      <c r="AP1730" s="0" t="s">
        <v>305</v>
      </c>
      <c r="BA1730" s="0">
        <v>616</v>
      </c>
      <c r="BB1730" s="0" t="s">
        <v>232</v>
      </c>
      <c r="BC1730" s="0">
        <v>1</v>
      </c>
      <c r="BD1730" s="0">
        <v>374043</v>
      </c>
      <c r="BE1730" s="0">
        <v>520418</v>
      </c>
      <c r="BF1730" s="0">
        <v>1</v>
      </c>
      <c r="BG1730" s="0" t="s">
        <v>11450</v>
      </c>
      <c r="BI1730" s="0">
        <v>482</v>
      </c>
      <c r="BK1730" s="0" t="s">
        <v>11451</v>
      </c>
    </row>
    <row r="1731">
      <c r="A1731" s="0">
        <v>6644</v>
      </c>
      <c r="B1731" s="0" t="s">
        <v>11452</v>
      </c>
      <c r="C1731" s="0" t="s">
        <v>290</v>
      </c>
      <c r="D1731" s="0" t="s">
        <v>11453</v>
      </c>
      <c r="E1731" s="0" t="s">
        <v>11454</v>
      </c>
      <c r="F1731" s="0">
        <v>4</v>
      </c>
      <c r="G1731" s="0" t="s">
        <v>293</v>
      </c>
      <c r="H1731" s="0" t="s">
        <v>294</v>
      </c>
      <c r="I1731" s="0" t="s">
        <v>295</v>
      </c>
      <c r="J1731" s="0" t="s">
        <v>555</v>
      </c>
      <c r="K1731" s="0" t="s">
        <v>1112</v>
      </c>
      <c r="L1731" s="0" t="s">
        <v>549</v>
      </c>
      <c r="P1731" s="0" t="s">
        <v>323</v>
      </c>
      <c r="Q1731" s="0" t="s">
        <v>343</v>
      </c>
      <c r="R1731" s="0" t="s">
        <v>661</v>
      </c>
      <c r="W1731" s="0" t="s">
        <v>11453</v>
      </c>
      <c r="X1731" s="0" t="s">
        <v>529</v>
      </c>
      <c r="Y1731" s="0" t="s">
        <v>38</v>
      </c>
      <c r="Z1731" s="0" t="s">
        <v>1615</v>
      </c>
      <c r="AA1731" s="0" t="s">
        <v>37</v>
      </c>
      <c r="AB1731" s="0" t="s">
        <v>531</v>
      </c>
      <c r="AC1731" s="0" t="s">
        <v>532</v>
      </c>
      <c r="AD1731" s="0" t="s">
        <v>11455</v>
      </c>
      <c r="AF1731" s="0" t="s">
        <v>11195</v>
      </c>
      <c r="AP1731" s="0" t="s">
        <v>305</v>
      </c>
      <c r="BA1731" s="0">
        <v>617</v>
      </c>
      <c r="BB1731" s="0" t="s">
        <v>232</v>
      </c>
      <c r="BC1731" s="0">
        <v>1</v>
      </c>
      <c r="BD1731" s="0">
        <v>374053</v>
      </c>
      <c r="BE1731" s="0">
        <v>519332</v>
      </c>
      <c r="BF1731" s="0">
        <v>2</v>
      </c>
      <c r="BG1731" s="0" t="s">
        <v>11456</v>
      </c>
      <c r="BI1731" s="0">
        <v>1748</v>
      </c>
      <c r="BK1731" s="0" t="s">
        <v>11457</v>
      </c>
    </row>
    <row r="1732">
      <c r="A1732" s="0">
        <v>6640</v>
      </c>
      <c r="B1732" s="0" t="s">
        <v>11458</v>
      </c>
      <c r="C1732" s="0" t="s">
        <v>339</v>
      </c>
      <c r="D1732" s="0" t="s">
        <v>11453</v>
      </c>
      <c r="E1732" s="0" t="s">
        <v>11459</v>
      </c>
      <c r="F1732" s="0">
        <v>2</v>
      </c>
      <c r="G1732" s="0" t="s">
        <v>319</v>
      </c>
      <c r="H1732" s="0" t="s">
        <v>398</v>
      </c>
      <c r="I1732" s="0" t="s">
        <v>948</v>
      </c>
      <c r="J1732" s="0" t="s">
        <v>594</v>
      </c>
      <c r="M1732" s="0" t="s">
        <v>759</v>
      </c>
      <c r="O1732" s="0" t="s">
        <v>1685</v>
      </c>
      <c r="P1732" s="0" t="s">
        <v>323</v>
      </c>
      <c r="Q1732" s="0" t="s">
        <v>323</v>
      </c>
      <c r="R1732" s="0" t="s">
        <v>10322</v>
      </c>
      <c r="T1732" s="0" t="s">
        <v>11460</v>
      </c>
      <c r="W1732" s="0" t="s">
        <v>11453</v>
      </c>
      <c r="X1732" s="0" t="s">
        <v>529</v>
      </c>
      <c r="Y1732" s="0" t="s">
        <v>38</v>
      </c>
      <c r="Z1732" s="0" t="s">
        <v>1615</v>
      </c>
      <c r="AA1732" s="0" t="s">
        <v>37</v>
      </c>
      <c r="AB1732" s="0" t="s">
        <v>531</v>
      </c>
      <c r="AC1732" s="0" t="s">
        <v>532</v>
      </c>
      <c r="AD1732" s="0" t="s">
        <v>11455</v>
      </c>
      <c r="AF1732" s="0" t="s">
        <v>11195</v>
      </c>
      <c r="AP1732" s="0" t="s">
        <v>305</v>
      </c>
      <c r="BA1732" s="0">
        <v>617</v>
      </c>
      <c r="BB1732" s="0" t="s">
        <v>232</v>
      </c>
      <c r="BC1732" s="0">
        <v>1</v>
      </c>
      <c r="BD1732" s="0">
        <v>8</v>
      </c>
      <c r="BE1732" s="0">
        <v>519332</v>
      </c>
      <c r="BF1732" s="0">
        <v>2</v>
      </c>
      <c r="BG1732" s="0" t="s">
        <v>11461</v>
      </c>
      <c r="BI1732" s="0">
        <v>481</v>
      </c>
      <c r="BK1732" s="0" t="s">
        <v>11462</v>
      </c>
    </row>
    <row r="1733">
      <c r="A1733" s="0">
        <v>6641</v>
      </c>
      <c r="B1733" s="0" t="s">
        <v>11463</v>
      </c>
      <c r="C1733" s="0" t="s">
        <v>315</v>
      </c>
      <c r="D1733" s="0" t="s">
        <v>11453</v>
      </c>
      <c r="E1733" s="0" t="s">
        <v>11464</v>
      </c>
      <c r="F1733" s="0">
        <v>2</v>
      </c>
      <c r="G1733" s="0" t="s">
        <v>319</v>
      </c>
      <c r="H1733" s="0" t="s">
        <v>398</v>
      </c>
      <c r="I1733" s="0" t="s">
        <v>6530</v>
      </c>
      <c r="J1733" s="0" t="s">
        <v>3140</v>
      </c>
      <c r="L1733" s="0" t="s">
        <v>583</v>
      </c>
      <c r="M1733" s="0" t="s">
        <v>594</v>
      </c>
      <c r="O1733" s="0" t="s">
        <v>469</v>
      </c>
      <c r="P1733" s="0" t="s">
        <v>323</v>
      </c>
      <c r="Q1733" s="0" t="s">
        <v>323</v>
      </c>
      <c r="R1733" s="0" t="s">
        <v>11400</v>
      </c>
      <c r="T1733" s="0" t="s">
        <v>11465</v>
      </c>
      <c r="W1733" s="0" t="s">
        <v>11453</v>
      </c>
      <c r="X1733" s="0" t="s">
        <v>529</v>
      </c>
      <c r="Y1733" s="0" t="s">
        <v>38</v>
      </c>
      <c r="Z1733" s="0" t="s">
        <v>1615</v>
      </c>
      <c r="AA1733" s="0" t="s">
        <v>37</v>
      </c>
      <c r="AB1733" s="0" t="s">
        <v>531</v>
      </c>
      <c r="AC1733" s="0" t="s">
        <v>532</v>
      </c>
      <c r="AD1733" s="0" t="s">
        <v>11455</v>
      </c>
      <c r="AF1733" s="0" t="s">
        <v>11195</v>
      </c>
      <c r="AP1733" s="0" t="s">
        <v>305</v>
      </c>
      <c r="BA1733" s="0">
        <v>617</v>
      </c>
      <c r="BB1733" s="0" t="s">
        <v>232</v>
      </c>
      <c r="BC1733" s="0">
        <v>1</v>
      </c>
      <c r="BD1733" s="0">
        <v>374043</v>
      </c>
      <c r="BE1733" s="0">
        <v>519332</v>
      </c>
      <c r="BF1733" s="0">
        <v>2</v>
      </c>
      <c r="BG1733" s="0" t="s">
        <v>11466</v>
      </c>
      <c r="BI1733" s="0">
        <v>863</v>
      </c>
      <c r="BK1733" s="0" t="s">
        <v>11467</v>
      </c>
    </row>
    <row r="1734">
      <c r="A1734" s="0">
        <v>6646</v>
      </c>
      <c r="B1734" s="0" t="s">
        <v>11468</v>
      </c>
      <c r="C1734" s="0" t="s">
        <v>945</v>
      </c>
      <c r="D1734" s="0" t="s">
        <v>11453</v>
      </c>
      <c r="E1734" s="0" t="s">
        <v>11469</v>
      </c>
      <c r="F1734" s="0">
        <v>1</v>
      </c>
      <c r="G1734" s="0" t="s">
        <v>293</v>
      </c>
      <c r="H1734" s="0" t="s">
        <v>294</v>
      </c>
      <c r="I1734" s="0" t="s">
        <v>295</v>
      </c>
      <c r="P1734" s="0" t="s">
        <v>343</v>
      </c>
      <c r="Q1734" s="0" t="s">
        <v>343</v>
      </c>
      <c r="W1734" s="0" t="s">
        <v>11453</v>
      </c>
      <c r="X1734" s="0" t="s">
        <v>529</v>
      </c>
      <c r="Y1734" s="0" t="s">
        <v>38</v>
      </c>
      <c r="Z1734" s="0" t="s">
        <v>1615</v>
      </c>
      <c r="AA1734" s="0" t="s">
        <v>37</v>
      </c>
      <c r="AB1734" s="0" t="s">
        <v>531</v>
      </c>
      <c r="AC1734" s="0" t="s">
        <v>532</v>
      </c>
      <c r="AD1734" s="0" t="s">
        <v>11455</v>
      </c>
      <c r="AF1734" s="0" t="s">
        <v>11195</v>
      </c>
      <c r="AP1734" s="0" t="s">
        <v>305</v>
      </c>
      <c r="BA1734" s="0">
        <v>617</v>
      </c>
      <c r="BB1734" s="0" t="s">
        <v>232</v>
      </c>
      <c r="BC1734" s="0">
        <v>1</v>
      </c>
      <c r="BD1734" s="0">
        <v>14</v>
      </c>
      <c r="BE1734" s="0">
        <v>519332</v>
      </c>
      <c r="BF1734" s="0">
        <v>2</v>
      </c>
      <c r="BG1734" s="0" t="s">
        <v>11470</v>
      </c>
      <c r="BI1734" s="0">
        <v>2216</v>
      </c>
      <c r="BK1734" s="0" t="s">
        <v>11471</v>
      </c>
    </row>
    <row r="1735">
      <c r="A1735" s="0">
        <v>6643</v>
      </c>
      <c r="B1735" s="0" t="s">
        <v>8887</v>
      </c>
      <c r="C1735" s="0" t="s">
        <v>656</v>
      </c>
      <c r="D1735" s="0" t="s">
        <v>11453</v>
      </c>
      <c r="E1735" s="0" t="s">
        <v>11472</v>
      </c>
      <c r="F1735" s="0">
        <v>1</v>
      </c>
      <c r="G1735" s="0" t="s">
        <v>293</v>
      </c>
      <c r="H1735" s="0" t="s">
        <v>294</v>
      </c>
      <c r="I1735" s="0" t="s">
        <v>295</v>
      </c>
      <c r="J1735" s="0" t="s">
        <v>555</v>
      </c>
      <c r="K1735" s="0" t="s">
        <v>1112</v>
      </c>
      <c r="L1735" s="0" t="s">
        <v>2947</v>
      </c>
      <c r="P1735" s="0" t="s">
        <v>323</v>
      </c>
      <c r="Q1735" s="0" t="s">
        <v>323</v>
      </c>
      <c r="R1735" s="0" t="s">
        <v>661</v>
      </c>
      <c r="T1735" s="0" t="s">
        <v>11473</v>
      </c>
      <c r="W1735" s="0" t="s">
        <v>11453</v>
      </c>
      <c r="X1735" s="0" t="s">
        <v>529</v>
      </c>
      <c r="Y1735" s="0" t="s">
        <v>38</v>
      </c>
      <c r="Z1735" s="0" t="s">
        <v>1615</v>
      </c>
      <c r="AA1735" s="0" t="s">
        <v>37</v>
      </c>
      <c r="AB1735" s="0" t="s">
        <v>531</v>
      </c>
      <c r="AC1735" s="0" t="s">
        <v>532</v>
      </c>
      <c r="AD1735" s="0" t="s">
        <v>11455</v>
      </c>
      <c r="AF1735" s="0" t="s">
        <v>11195</v>
      </c>
      <c r="AP1735" s="0" t="s">
        <v>305</v>
      </c>
      <c r="BA1735" s="0">
        <v>617</v>
      </c>
      <c r="BB1735" s="0" t="s">
        <v>232</v>
      </c>
      <c r="BC1735" s="0">
        <v>1</v>
      </c>
      <c r="BD1735" s="0">
        <v>10</v>
      </c>
      <c r="BE1735" s="0">
        <v>519332</v>
      </c>
      <c r="BF1735" s="0">
        <v>2</v>
      </c>
      <c r="BG1735" s="0" t="s">
        <v>11474</v>
      </c>
      <c r="BI1735" s="0">
        <v>1484</v>
      </c>
      <c r="BK1735" s="0" t="s">
        <v>11475</v>
      </c>
    </row>
    <row r="1736">
      <c r="A1736" s="0">
        <v>6647</v>
      </c>
      <c r="B1736" s="0" t="s">
        <v>11476</v>
      </c>
      <c r="C1736" s="0" t="s">
        <v>945</v>
      </c>
      <c r="D1736" s="0" t="s">
        <v>11453</v>
      </c>
      <c r="E1736" s="0" t="s">
        <v>7782</v>
      </c>
      <c r="F1736" s="0">
        <v>2</v>
      </c>
      <c r="G1736" s="0" t="s">
        <v>555</v>
      </c>
      <c r="H1736" s="0" t="s">
        <v>1112</v>
      </c>
      <c r="I1736" s="0" t="s">
        <v>549</v>
      </c>
      <c r="J1736" s="0" t="s">
        <v>293</v>
      </c>
      <c r="K1736" s="0" t="s">
        <v>294</v>
      </c>
      <c r="L1736" s="0" t="s">
        <v>295</v>
      </c>
      <c r="P1736" s="0" t="s">
        <v>323</v>
      </c>
      <c r="Q1736" s="0" t="s">
        <v>343</v>
      </c>
      <c r="R1736" s="0" t="s">
        <v>661</v>
      </c>
      <c r="W1736" s="0" t="s">
        <v>11453</v>
      </c>
      <c r="X1736" s="0" t="s">
        <v>529</v>
      </c>
      <c r="Y1736" s="0" t="s">
        <v>38</v>
      </c>
      <c r="Z1736" s="0" t="s">
        <v>1615</v>
      </c>
      <c r="AA1736" s="0" t="s">
        <v>37</v>
      </c>
      <c r="AB1736" s="0" t="s">
        <v>531</v>
      </c>
      <c r="AC1736" s="0" t="s">
        <v>532</v>
      </c>
      <c r="AD1736" s="0" t="s">
        <v>11455</v>
      </c>
      <c r="AF1736" s="0" t="s">
        <v>11195</v>
      </c>
      <c r="AP1736" s="0" t="s">
        <v>305</v>
      </c>
      <c r="BA1736" s="0">
        <v>617</v>
      </c>
      <c r="BB1736" s="0" t="s">
        <v>232</v>
      </c>
      <c r="BC1736" s="0">
        <v>1</v>
      </c>
      <c r="BD1736" s="0">
        <v>14</v>
      </c>
      <c r="BE1736" s="0">
        <v>519332</v>
      </c>
      <c r="BF1736" s="0">
        <v>2</v>
      </c>
      <c r="BG1736" s="0" t="s">
        <v>11477</v>
      </c>
      <c r="BI1736" s="0">
        <v>2420</v>
      </c>
      <c r="BK1736" s="0" t="s">
        <v>11478</v>
      </c>
    </row>
    <row r="1737">
      <c r="A1737" s="0">
        <v>6645</v>
      </c>
      <c r="B1737" s="0" t="s">
        <v>11479</v>
      </c>
      <c r="C1737" s="0" t="s">
        <v>290</v>
      </c>
      <c r="D1737" s="0" t="s">
        <v>11453</v>
      </c>
      <c r="E1737" s="0" t="s">
        <v>11480</v>
      </c>
      <c r="F1737" s="0">
        <v>1</v>
      </c>
      <c r="G1737" s="0" t="s">
        <v>293</v>
      </c>
      <c r="H1737" s="0" t="s">
        <v>294</v>
      </c>
      <c r="I1737" s="0" t="s">
        <v>295</v>
      </c>
      <c r="P1737" s="0" t="s">
        <v>343</v>
      </c>
      <c r="Q1737" s="0" t="s">
        <v>343</v>
      </c>
      <c r="W1737" s="0" t="s">
        <v>11453</v>
      </c>
      <c r="X1737" s="0" t="s">
        <v>529</v>
      </c>
      <c r="Y1737" s="0" t="s">
        <v>38</v>
      </c>
      <c r="Z1737" s="0" t="s">
        <v>1615</v>
      </c>
      <c r="AA1737" s="0" t="s">
        <v>37</v>
      </c>
      <c r="AB1737" s="0" t="s">
        <v>531</v>
      </c>
      <c r="AC1737" s="0" t="s">
        <v>532</v>
      </c>
      <c r="AD1737" s="0" t="s">
        <v>11455</v>
      </c>
      <c r="AF1737" s="0" t="s">
        <v>11195</v>
      </c>
      <c r="AP1737" s="0" t="s">
        <v>305</v>
      </c>
      <c r="BA1737" s="0">
        <v>617</v>
      </c>
      <c r="BB1737" s="0" t="s">
        <v>232</v>
      </c>
      <c r="BC1737" s="0">
        <v>1</v>
      </c>
      <c r="BD1737" s="0">
        <v>374053</v>
      </c>
      <c r="BE1737" s="0">
        <v>519332</v>
      </c>
      <c r="BF1737" s="0">
        <v>2</v>
      </c>
      <c r="BG1737" s="0" t="s">
        <v>11481</v>
      </c>
      <c r="BI1737" s="0">
        <v>1990</v>
      </c>
      <c r="BK1737" s="0" t="s">
        <v>11482</v>
      </c>
    </row>
    <row r="1738">
      <c r="A1738" s="0">
        <v>6642</v>
      </c>
      <c r="B1738" s="0" t="s">
        <v>11483</v>
      </c>
      <c r="C1738" s="0" t="s">
        <v>339</v>
      </c>
      <c r="D1738" s="0" t="s">
        <v>11453</v>
      </c>
      <c r="E1738" s="0" t="s">
        <v>11484</v>
      </c>
      <c r="F1738" s="0">
        <v>2</v>
      </c>
      <c r="G1738" s="0" t="s">
        <v>319</v>
      </c>
      <c r="H1738" s="0" t="s">
        <v>658</v>
      </c>
      <c r="I1738" s="0" t="s">
        <v>948</v>
      </c>
      <c r="J1738" s="0" t="s">
        <v>293</v>
      </c>
      <c r="K1738" s="0" t="s">
        <v>294</v>
      </c>
      <c r="L1738" s="0" t="s">
        <v>295</v>
      </c>
      <c r="M1738" s="0" t="s">
        <v>759</v>
      </c>
      <c r="O1738" s="0" t="s">
        <v>1685</v>
      </c>
      <c r="P1738" s="0" t="s">
        <v>323</v>
      </c>
      <c r="Q1738" s="0" t="s">
        <v>323</v>
      </c>
      <c r="R1738" s="0" t="s">
        <v>10322</v>
      </c>
      <c r="T1738" s="0" t="s">
        <v>11465</v>
      </c>
      <c r="W1738" s="0" t="s">
        <v>11453</v>
      </c>
      <c r="X1738" s="0" t="s">
        <v>529</v>
      </c>
      <c r="Y1738" s="0" t="s">
        <v>38</v>
      </c>
      <c r="Z1738" s="0" t="s">
        <v>1615</v>
      </c>
      <c r="AA1738" s="0" t="s">
        <v>37</v>
      </c>
      <c r="AB1738" s="0" t="s">
        <v>531</v>
      </c>
      <c r="AC1738" s="0" t="s">
        <v>532</v>
      </c>
      <c r="AD1738" s="0" t="s">
        <v>11455</v>
      </c>
      <c r="AF1738" s="0" t="s">
        <v>11195</v>
      </c>
      <c r="AP1738" s="0" t="s">
        <v>305</v>
      </c>
      <c r="BA1738" s="0">
        <v>617</v>
      </c>
      <c r="BB1738" s="0" t="s">
        <v>232</v>
      </c>
      <c r="BC1738" s="0">
        <v>1</v>
      </c>
      <c r="BD1738" s="0">
        <v>8</v>
      </c>
      <c r="BE1738" s="0">
        <v>519332</v>
      </c>
      <c r="BF1738" s="0">
        <v>2</v>
      </c>
      <c r="BG1738" s="0" t="s">
        <v>11485</v>
      </c>
      <c r="BI1738" s="0">
        <v>1190</v>
      </c>
      <c r="BK1738" s="0" t="s">
        <v>11486</v>
      </c>
    </row>
  </sheetData>
  <pageMargins left="0.7" right="0.7"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45"/>
  <sheetViews>
    <sheetView workbookViewId="0">
      <selection sqref="A1:XFD1048576"/>
    </sheetView>
  </sheetViews>
  <sheetFormatPr defaultRowHeight="15" x14ac:dyDescent="0.25"/>
  <sheetData>
    <row r="1">
      <c r="A1" s="0" t="s">
        <v>32</v>
      </c>
      <c r="B1" s="0" t="s">
        <v>33</v>
      </c>
      <c r="C1" s="0" t="s">
        <v>34</v>
      </c>
    </row>
    <row r="2">
      <c r="A2" s="0">
        <v>613</v>
      </c>
      <c r="B2" s="0" t="s">
        <v>35</v>
      </c>
      <c r="C2" s="0" t="s">
        <v>36</v>
      </c>
    </row>
    <row r="3">
      <c r="A3" s="0">
        <v>617</v>
      </c>
      <c r="B3" s="0" t="s">
        <v>37</v>
      </c>
      <c r="C3" s="0" t="s">
        <v>38</v>
      </c>
    </row>
    <row r="4">
      <c r="A4" s="0">
        <v>616</v>
      </c>
      <c r="B4" s="0" t="s">
        <v>39</v>
      </c>
      <c r="C4" s="0" t="s">
        <v>40</v>
      </c>
    </row>
    <row r="5">
      <c r="A5" s="0">
        <v>609</v>
      </c>
      <c r="B5" s="0" t="s">
        <v>41</v>
      </c>
      <c r="C5" s="0" t="s">
        <v>42</v>
      </c>
    </row>
    <row r="6">
      <c r="A6" s="0">
        <v>611</v>
      </c>
      <c r="B6" s="0" t="s">
        <v>43</v>
      </c>
      <c r="C6" s="0" t="s">
        <v>44</v>
      </c>
    </row>
    <row r="7">
      <c r="A7" s="0">
        <v>608</v>
      </c>
      <c r="B7" s="0" t="s">
        <v>45</v>
      </c>
      <c r="C7" s="0" t="s">
        <v>46</v>
      </c>
    </row>
    <row r="8">
      <c r="A8" s="0">
        <v>602</v>
      </c>
      <c r="B8" s="0" t="s">
        <v>47</v>
      </c>
      <c r="C8" s="0" t="s">
        <v>48</v>
      </c>
    </row>
    <row r="9">
      <c r="A9" s="0">
        <v>605</v>
      </c>
      <c r="B9" s="0" t="s">
        <v>49</v>
      </c>
      <c r="C9" s="0" t="s">
        <v>50</v>
      </c>
    </row>
    <row r="10">
      <c r="A10" s="0">
        <v>603</v>
      </c>
      <c r="B10" s="0" t="s">
        <v>51</v>
      </c>
      <c r="C10" s="0" t="s">
        <v>52</v>
      </c>
    </row>
    <row r="11">
      <c r="A11" s="0">
        <v>597</v>
      </c>
      <c r="B11" s="0" t="s">
        <v>53</v>
      </c>
      <c r="C11" s="0" t="s">
        <v>46</v>
      </c>
    </row>
    <row r="12">
      <c r="A12" s="0">
        <v>604</v>
      </c>
      <c r="B12" s="0" t="s">
        <v>54</v>
      </c>
      <c r="C12" s="0" t="s">
        <v>46</v>
      </c>
    </row>
    <row r="13">
      <c r="A13" s="0">
        <v>589</v>
      </c>
      <c r="B13" s="0" t="s">
        <v>55</v>
      </c>
      <c r="C13" s="0" t="s">
        <v>56</v>
      </c>
    </row>
    <row r="14">
      <c r="A14" s="0">
        <v>599</v>
      </c>
      <c r="B14" s="0" t="s">
        <v>57</v>
      </c>
      <c r="C14" s="0" t="s">
        <v>58</v>
      </c>
    </row>
    <row r="15">
      <c r="A15" s="0">
        <v>593</v>
      </c>
      <c r="B15" s="0" t="s">
        <v>59</v>
      </c>
      <c r="C15" s="0" t="s">
        <v>60</v>
      </c>
    </row>
    <row r="16">
      <c r="A16" s="0">
        <v>601</v>
      </c>
      <c r="B16" s="0" t="s">
        <v>61</v>
      </c>
      <c r="C16" s="0" t="s">
        <v>42</v>
      </c>
    </row>
    <row r="17">
      <c r="A17" s="0">
        <v>594</v>
      </c>
      <c r="B17" s="0" t="s">
        <v>62</v>
      </c>
      <c r="C17" s="0" t="s">
        <v>63</v>
      </c>
    </row>
    <row r="18">
      <c r="A18" s="0">
        <v>590</v>
      </c>
      <c r="B18" s="0" t="s">
        <v>64</v>
      </c>
      <c r="C18" s="0" t="s">
        <v>65</v>
      </c>
    </row>
    <row r="19">
      <c r="A19" s="0">
        <v>591</v>
      </c>
      <c r="B19" s="0" t="s">
        <v>66</v>
      </c>
      <c r="C19" s="0" t="s">
        <v>67</v>
      </c>
    </row>
    <row r="20">
      <c r="A20" s="0">
        <v>588</v>
      </c>
      <c r="B20" s="0" t="s">
        <v>68</v>
      </c>
      <c r="C20" s="0" t="s">
        <v>69</v>
      </c>
    </row>
    <row r="21">
      <c r="A21" s="0">
        <v>579</v>
      </c>
      <c r="B21" s="0" t="s">
        <v>70</v>
      </c>
      <c r="C21" s="0" t="s">
        <v>71</v>
      </c>
    </row>
    <row r="22">
      <c r="A22" s="0">
        <v>586</v>
      </c>
      <c r="B22" s="0" t="s">
        <v>72</v>
      </c>
      <c r="C22" s="0" t="s">
        <v>73</v>
      </c>
    </row>
    <row r="23">
      <c r="A23" s="0">
        <v>585</v>
      </c>
      <c r="B23" s="0" t="s">
        <v>74</v>
      </c>
      <c r="C23" s="0" t="s">
        <v>75</v>
      </c>
    </row>
    <row r="24">
      <c r="A24" s="0">
        <v>587</v>
      </c>
      <c r="B24" s="0" t="s">
        <v>76</v>
      </c>
      <c r="C24" s="0" t="s">
        <v>77</v>
      </c>
    </row>
    <row r="25">
      <c r="A25" s="0">
        <v>583</v>
      </c>
      <c r="B25" s="0" t="s">
        <v>78</v>
      </c>
      <c r="C25" s="0" t="s">
        <v>50</v>
      </c>
    </row>
    <row r="26">
      <c r="A26" s="0">
        <v>577</v>
      </c>
      <c r="B26" s="0" t="s">
        <v>79</v>
      </c>
      <c r="C26" s="0" t="s">
        <v>80</v>
      </c>
    </row>
    <row r="27">
      <c r="A27" s="0">
        <v>565</v>
      </c>
      <c r="B27" s="0" t="s">
        <v>81</v>
      </c>
      <c r="C27" s="0" t="s">
        <v>36</v>
      </c>
    </row>
    <row r="28">
      <c r="A28" s="0">
        <v>580</v>
      </c>
      <c r="B28" s="0" t="s">
        <v>82</v>
      </c>
      <c r="C28" s="0" t="s">
        <v>83</v>
      </c>
    </row>
    <row r="29">
      <c r="A29" s="0">
        <v>575</v>
      </c>
      <c r="B29" s="0" t="s">
        <v>84</v>
      </c>
      <c r="C29" s="0" t="s">
        <v>85</v>
      </c>
    </row>
    <row r="30">
      <c r="A30" s="0">
        <v>578</v>
      </c>
      <c r="B30" s="0" t="s">
        <v>86</v>
      </c>
      <c r="C30" s="0" t="s">
        <v>87</v>
      </c>
    </row>
    <row r="31">
      <c r="A31" s="0">
        <v>576</v>
      </c>
      <c r="B31" s="0" t="s">
        <v>88</v>
      </c>
      <c r="C31" s="0" t="s">
        <v>89</v>
      </c>
    </row>
    <row r="32">
      <c r="A32" s="0">
        <v>568</v>
      </c>
      <c r="B32" s="0" t="s">
        <v>90</v>
      </c>
      <c r="C32" s="0" t="s">
        <v>91</v>
      </c>
    </row>
    <row r="33">
      <c r="A33" s="0">
        <v>569</v>
      </c>
      <c r="B33" s="0" t="s">
        <v>92</v>
      </c>
      <c r="C33" s="0" t="s">
        <v>46</v>
      </c>
    </row>
    <row r="34">
      <c r="A34" s="0">
        <v>572</v>
      </c>
      <c r="B34" s="0" t="s">
        <v>93</v>
      </c>
      <c r="C34" s="0" t="s">
        <v>94</v>
      </c>
    </row>
    <row r="35">
      <c r="A35" s="0">
        <v>570</v>
      </c>
      <c r="B35" s="0" t="s">
        <v>95</v>
      </c>
      <c r="C35" s="0" t="s">
        <v>75</v>
      </c>
    </row>
    <row r="36">
      <c r="A36" s="0">
        <v>567</v>
      </c>
      <c r="B36" s="0" t="s">
        <v>96</v>
      </c>
      <c r="C36" s="0" t="s">
        <v>50</v>
      </c>
    </row>
    <row r="37">
      <c r="A37" s="0">
        <v>571</v>
      </c>
      <c r="B37" s="0" t="s">
        <v>97</v>
      </c>
      <c r="C37" s="0" t="s">
        <v>77</v>
      </c>
    </row>
    <row r="38">
      <c r="A38" s="0">
        <v>556</v>
      </c>
      <c r="B38" s="0" t="s">
        <v>98</v>
      </c>
      <c r="C38" s="0" t="s">
        <v>75</v>
      </c>
    </row>
    <row r="39">
      <c r="A39" s="0">
        <v>558</v>
      </c>
      <c r="B39" s="0" t="s">
        <v>99</v>
      </c>
      <c r="C39" s="0" t="s">
        <v>75</v>
      </c>
    </row>
    <row r="40">
      <c r="A40" s="0">
        <v>557</v>
      </c>
      <c r="B40" s="0" t="s">
        <v>100</v>
      </c>
      <c r="C40" s="0" t="s">
        <v>69</v>
      </c>
    </row>
    <row r="41">
      <c r="A41" s="0">
        <v>553</v>
      </c>
      <c r="B41" s="0" t="s">
        <v>101</v>
      </c>
      <c r="C41" s="0" t="s">
        <v>77</v>
      </c>
    </row>
    <row r="42">
      <c r="A42" s="0">
        <v>564</v>
      </c>
      <c r="B42" s="0" t="s">
        <v>102</v>
      </c>
      <c r="C42" s="0" t="s">
        <v>46</v>
      </c>
    </row>
    <row r="43">
      <c r="A43" s="0">
        <v>562</v>
      </c>
      <c r="B43" s="0" t="s">
        <v>103</v>
      </c>
      <c r="C43" s="0" t="s">
        <v>104</v>
      </c>
    </row>
    <row r="44">
      <c r="A44" s="0">
        <v>559</v>
      </c>
      <c r="B44" s="0" t="s">
        <v>105</v>
      </c>
      <c r="C44" s="0" t="s">
        <v>89</v>
      </c>
    </row>
    <row r="45">
      <c r="A45" s="0">
        <v>560</v>
      </c>
      <c r="B45" s="0" t="s">
        <v>106</v>
      </c>
      <c r="C45" s="0" t="s">
        <v>107</v>
      </c>
    </row>
    <row r="46">
      <c r="A46" s="0">
        <v>563</v>
      </c>
      <c r="B46" s="0" t="s">
        <v>108</v>
      </c>
      <c r="C46" s="0" t="s">
        <v>42</v>
      </c>
    </row>
    <row r="47">
      <c r="A47" s="0">
        <v>555</v>
      </c>
      <c r="B47" s="0" t="s">
        <v>109</v>
      </c>
      <c r="C47" s="0" t="s">
        <v>104</v>
      </c>
    </row>
    <row r="48">
      <c r="A48" s="0">
        <v>552</v>
      </c>
      <c r="B48" s="0" t="s">
        <v>110</v>
      </c>
      <c r="C48" s="0" t="s">
        <v>71</v>
      </c>
    </row>
    <row r="49">
      <c r="A49" s="0">
        <v>548</v>
      </c>
      <c r="B49" s="0" t="s">
        <v>111</v>
      </c>
      <c r="C49" s="0" t="s">
        <v>112</v>
      </c>
    </row>
    <row r="50">
      <c r="A50" s="0">
        <v>549</v>
      </c>
      <c r="B50" s="0" t="s">
        <v>113</v>
      </c>
      <c r="C50" s="0" t="s">
        <v>112</v>
      </c>
    </row>
    <row r="51">
      <c r="A51" s="0">
        <v>550</v>
      </c>
      <c r="B51" s="0" t="s">
        <v>114</v>
      </c>
      <c r="C51" s="0" t="s">
        <v>115</v>
      </c>
    </row>
    <row r="52">
      <c r="A52" s="0">
        <v>547</v>
      </c>
      <c r="B52" s="0" t="s">
        <v>116</v>
      </c>
      <c r="C52" s="0" t="s">
        <v>42</v>
      </c>
    </row>
    <row r="53">
      <c r="A53" s="0">
        <v>551</v>
      </c>
      <c r="B53" s="0" t="s">
        <v>117</v>
      </c>
      <c r="C53" s="0" t="s">
        <v>42</v>
      </c>
    </row>
    <row r="54">
      <c r="A54" s="0">
        <v>538</v>
      </c>
      <c r="B54" s="0" t="s">
        <v>118</v>
      </c>
      <c r="C54" s="0" t="s">
        <v>42</v>
      </c>
    </row>
    <row r="55">
      <c r="A55" s="0">
        <v>545</v>
      </c>
      <c r="B55" s="0" t="s">
        <v>119</v>
      </c>
      <c r="C55" s="0" t="s">
        <v>46</v>
      </c>
    </row>
    <row r="56">
      <c r="A56" s="0">
        <v>532</v>
      </c>
      <c r="B56" s="0" t="s">
        <v>120</v>
      </c>
      <c r="C56" s="0" t="s">
        <v>42</v>
      </c>
    </row>
    <row r="57">
      <c r="A57" s="0">
        <v>543</v>
      </c>
      <c r="B57" s="0" t="s">
        <v>121</v>
      </c>
      <c r="C57" s="0" t="s">
        <v>104</v>
      </c>
    </row>
    <row r="58">
      <c r="A58" s="0">
        <v>525</v>
      </c>
      <c r="B58" s="0" t="s">
        <v>122</v>
      </c>
      <c r="C58" s="0" t="s">
        <v>123</v>
      </c>
    </row>
    <row r="59">
      <c r="A59" s="0">
        <v>541</v>
      </c>
      <c r="B59" s="0" t="s">
        <v>124</v>
      </c>
      <c r="C59" s="0" t="s">
        <v>107</v>
      </c>
    </row>
    <row r="60">
      <c r="A60" s="0">
        <v>546</v>
      </c>
      <c r="B60" s="0" t="s">
        <v>125</v>
      </c>
      <c r="C60" s="0" t="s">
        <v>126</v>
      </c>
    </row>
    <row r="61">
      <c r="A61" s="0">
        <v>528</v>
      </c>
      <c r="B61" s="0" t="s">
        <v>127</v>
      </c>
      <c r="C61" s="0" t="s">
        <v>75</v>
      </c>
    </row>
    <row r="62">
      <c r="A62" s="0">
        <v>533</v>
      </c>
      <c r="B62" s="0" t="s">
        <v>128</v>
      </c>
      <c r="C62" s="0" t="s">
        <v>77</v>
      </c>
    </row>
    <row r="63">
      <c r="A63" s="0">
        <v>540</v>
      </c>
      <c r="B63" s="0" t="s">
        <v>129</v>
      </c>
      <c r="C63" s="0" t="s">
        <v>130</v>
      </c>
    </row>
    <row r="64">
      <c r="A64" s="0">
        <v>527</v>
      </c>
      <c r="B64" s="0" t="s">
        <v>131</v>
      </c>
      <c r="C64" s="0" t="s">
        <v>42</v>
      </c>
    </row>
    <row r="65">
      <c r="A65" s="0">
        <v>537</v>
      </c>
      <c r="B65" s="0" t="s">
        <v>132</v>
      </c>
      <c r="C65" s="0" t="s">
        <v>36</v>
      </c>
    </row>
    <row r="66">
      <c r="A66" s="0">
        <v>536</v>
      </c>
      <c r="B66" s="0" t="s">
        <v>133</v>
      </c>
      <c r="C66" s="0" t="s">
        <v>77</v>
      </c>
    </row>
    <row r="67">
      <c r="A67" s="0">
        <v>531</v>
      </c>
      <c r="B67" s="0" t="s">
        <v>134</v>
      </c>
      <c r="C67" s="0" t="s">
        <v>89</v>
      </c>
    </row>
    <row r="68">
      <c r="A68" s="0">
        <v>516</v>
      </c>
      <c r="B68" s="0" t="s">
        <v>135</v>
      </c>
      <c r="C68" s="0" t="s">
        <v>136</v>
      </c>
    </row>
    <row r="69">
      <c r="A69" s="0">
        <v>523</v>
      </c>
      <c r="B69" s="0" t="s">
        <v>137</v>
      </c>
      <c r="C69" s="0" t="s">
        <v>138</v>
      </c>
    </row>
    <row r="70">
      <c r="A70" s="0">
        <v>468</v>
      </c>
      <c r="B70" s="0" t="s">
        <v>139</v>
      </c>
      <c r="C70" s="0" t="s">
        <v>42</v>
      </c>
    </row>
    <row r="71">
      <c r="A71" s="0">
        <v>515</v>
      </c>
      <c r="B71" s="0" t="s">
        <v>140</v>
      </c>
      <c r="C71" s="0" t="s">
        <v>60</v>
      </c>
    </row>
    <row r="72">
      <c r="A72" s="0">
        <v>529</v>
      </c>
      <c r="B72" s="0" t="s">
        <v>141</v>
      </c>
      <c r="C72" s="0" t="s">
        <v>142</v>
      </c>
    </row>
    <row r="73">
      <c r="A73" s="0">
        <v>530</v>
      </c>
      <c r="B73" s="0" t="s">
        <v>143</v>
      </c>
      <c r="C73" s="0" t="s">
        <v>75</v>
      </c>
    </row>
    <row r="74">
      <c r="A74" s="0">
        <v>519</v>
      </c>
      <c r="B74" s="0" t="s">
        <v>144</v>
      </c>
      <c r="C74" s="0" t="s">
        <v>89</v>
      </c>
    </row>
    <row r="75">
      <c r="A75" s="0">
        <v>524</v>
      </c>
      <c r="B75" s="0" t="s">
        <v>145</v>
      </c>
      <c r="C75" s="0" t="s">
        <v>146</v>
      </c>
    </row>
    <row r="76">
      <c r="A76" s="0">
        <v>518</v>
      </c>
      <c r="B76" s="0" t="s">
        <v>147</v>
      </c>
      <c r="C76" s="0" t="s">
        <v>146</v>
      </c>
    </row>
    <row r="77">
      <c r="A77" s="0">
        <v>521</v>
      </c>
      <c r="B77" s="0" t="s">
        <v>148</v>
      </c>
      <c r="C77" s="0" t="s">
        <v>87</v>
      </c>
    </row>
    <row r="78">
      <c r="A78" s="0">
        <v>522</v>
      </c>
      <c r="B78" s="0" t="s">
        <v>149</v>
      </c>
      <c r="C78" s="0" t="s">
        <v>150</v>
      </c>
    </row>
    <row r="79">
      <c r="A79" s="0">
        <v>520</v>
      </c>
      <c r="B79" s="0" t="s">
        <v>151</v>
      </c>
      <c r="C79" s="0" t="s">
        <v>36</v>
      </c>
    </row>
    <row r="80">
      <c r="A80" s="0">
        <v>508</v>
      </c>
      <c r="B80" s="0" t="s">
        <v>152</v>
      </c>
      <c r="C80" s="0" t="s">
        <v>85</v>
      </c>
    </row>
    <row r="81">
      <c r="A81" s="0">
        <v>494</v>
      </c>
      <c r="B81" s="0" t="s">
        <v>153</v>
      </c>
      <c r="C81" s="0" t="s">
        <v>36</v>
      </c>
    </row>
    <row r="82">
      <c r="A82" s="0">
        <v>496</v>
      </c>
      <c r="B82" s="0" t="s">
        <v>154</v>
      </c>
      <c r="C82" s="0" t="s">
        <v>36</v>
      </c>
    </row>
    <row r="83">
      <c r="A83" s="0">
        <v>501</v>
      </c>
      <c r="B83" s="0" t="s">
        <v>155</v>
      </c>
      <c r="C83" s="0" t="s">
        <v>142</v>
      </c>
    </row>
    <row r="84">
      <c r="A84" s="0">
        <v>502</v>
      </c>
      <c r="B84" s="0" t="s">
        <v>156</v>
      </c>
      <c r="C84" s="0" t="s">
        <v>91</v>
      </c>
    </row>
    <row r="85">
      <c r="A85" s="0">
        <v>507</v>
      </c>
      <c r="B85" s="0" t="s">
        <v>157</v>
      </c>
      <c r="C85" s="0" t="s">
        <v>36</v>
      </c>
    </row>
    <row r="86">
      <c r="A86" s="0">
        <v>486</v>
      </c>
      <c r="B86" s="0" t="s">
        <v>158</v>
      </c>
      <c r="C86" s="0" t="s">
        <v>159</v>
      </c>
    </row>
    <row r="87">
      <c r="A87" s="0">
        <v>511</v>
      </c>
      <c r="B87" s="0" t="s">
        <v>160</v>
      </c>
      <c r="C87" s="0" t="s">
        <v>94</v>
      </c>
    </row>
    <row r="88">
      <c r="A88" s="0">
        <v>512</v>
      </c>
      <c r="B88" s="0" t="s">
        <v>161</v>
      </c>
      <c r="C88" s="0" t="s">
        <v>162</v>
      </c>
    </row>
    <row r="89">
      <c r="A89" s="0">
        <v>504</v>
      </c>
      <c r="B89" s="0" t="s">
        <v>163</v>
      </c>
      <c r="C89" s="0" t="s">
        <v>126</v>
      </c>
    </row>
    <row r="90">
      <c r="A90" s="0">
        <v>510</v>
      </c>
      <c r="B90" s="0" t="s">
        <v>164</v>
      </c>
      <c r="C90" s="0" t="s">
        <v>165</v>
      </c>
    </row>
    <row r="91">
      <c r="A91" s="0">
        <v>505</v>
      </c>
      <c r="B91" s="0" t="s">
        <v>166</v>
      </c>
      <c r="C91" s="0" t="s">
        <v>63</v>
      </c>
    </row>
    <row r="92">
      <c r="A92" s="0">
        <v>503</v>
      </c>
      <c r="B92" s="0" t="s">
        <v>167</v>
      </c>
      <c r="C92" s="0" t="s">
        <v>104</v>
      </c>
    </row>
    <row r="93">
      <c r="A93" s="0">
        <v>495</v>
      </c>
      <c r="B93" s="0" t="s">
        <v>168</v>
      </c>
      <c r="C93" s="0" t="s">
        <v>94</v>
      </c>
    </row>
    <row r="94">
      <c r="A94" s="0">
        <v>499</v>
      </c>
      <c r="B94" s="0" t="s">
        <v>169</v>
      </c>
      <c r="C94" s="0" t="s">
        <v>71</v>
      </c>
    </row>
    <row r="95">
      <c r="A95" s="0">
        <v>491</v>
      </c>
      <c r="B95" s="0" t="s">
        <v>170</v>
      </c>
      <c r="C95" s="0" t="s">
        <v>171</v>
      </c>
    </row>
    <row r="96">
      <c r="A96" s="0">
        <v>493</v>
      </c>
      <c r="B96" s="0" t="s">
        <v>172</v>
      </c>
      <c r="C96" s="0" t="s">
        <v>56</v>
      </c>
    </row>
    <row r="97">
      <c r="A97" s="0">
        <v>490</v>
      </c>
      <c r="B97" s="0" t="s">
        <v>173</v>
      </c>
      <c r="C97" s="0" t="s">
        <v>77</v>
      </c>
    </row>
    <row r="98">
      <c r="A98" s="0">
        <v>487</v>
      </c>
      <c r="B98" s="0" t="s">
        <v>174</v>
      </c>
      <c r="C98" s="0" t="s">
        <v>56</v>
      </c>
    </row>
    <row r="99">
      <c r="A99" s="0">
        <v>475</v>
      </c>
      <c r="B99" s="0" t="s">
        <v>175</v>
      </c>
      <c r="C99" s="0" t="s">
        <v>80</v>
      </c>
    </row>
    <row r="100">
      <c r="A100" s="0">
        <v>485</v>
      </c>
      <c r="B100" s="0" t="s">
        <v>176</v>
      </c>
      <c r="C100" s="0" t="s">
        <v>36</v>
      </c>
    </row>
    <row r="101">
      <c r="A101" s="0">
        <v>483</v>
      </c>
      <c r="B101" s="0" t="s">
        <v>177</v>
      </c>
      <c r="C101" s="0" t="s">
        <v>178</v>
      </c>
    </row>
    <row r="102">
      <c r="A102" s="0">
        <v>477</v>
      </c>
      <c r="B102" s="0" t="s">
        <v>179</v>
      </c>
      <c r="C102" s="0" t="s">
        <v>94</v>
      </c>
    </row>
    <row r="103">
      <c r="A103" s="0">
        <v>474</v>
      </c>
      <c r="B103" s="0" t="s">
        <v>180</v>
      </c>
      <c r="C103" s="0" t="s">
        <v>181</v>
      </c>
    </row>
    <row r="104">
      <c r="A104" s="0">
        <v>472</v>
      </c>
      <c r="B104" s="0" t="s">
        <v>182</v>
      </c>
      <c r="C104" s="0" t="s">
        <v>91</v>
      </c>
    </row>
    <row r="105">
      <c r="A105" s="0">
        <v>473</v>
      </c>
      <c r="B105" s="0" t="s">
        <v>183</v>
      </c>
      <c r="C105" s="0" t="s">
        <v>142</v>
      </c>
    </row>
    <row r="106">
      <c r="A106" s="0">
        <v>469</v>
      </c>
      <c r="B106" s="0" t="s">
        <v>184</v>
      </c>
      <c r="C106" s="0" t="s">
        <v>104</v>
      </c>
    </row>
    <row r="107">
      <c r="A107" s="0">
        <v>471</v>
      </c>
      <c r="B107" s="0" t="s">
        <v>185</v>
      </c>
      <c r="C107" s="0" t="s">
        <v>150</v>
      </c>
    </row>
    <row r="108">
      <c r="A108" s="0">
        <v>467</v>
      </c>
      <c r="B108" s="0" t="s">
        <v>186</v>
      </c>
      <c r="C108" s="0" t="s">
        <v>146</v>
      </c>
    </row>
    <row r="109">
      <c r="A109" s="0">
        <v>464</v>
      </c>
      <c r="B109" s="0" t="s">
        <v>187</v>
      </c>
      <c r="C109" s="0" t="s">
        <v>188</v>
      </c>
    </row>
    <row r="110">
      <c r="A110" s="0">
        <v>461</v>
      </c>
      <c r="B110" s="0" t="s">
        <v>189</v>
      </c>
      <c r="C110" s="0" t="s">
        <v>190</v>
      </c>
    </row>
    <row r="111">
      <c r="A111" s="0">
        <v>466</v>
      </c>
      <c r="B111" s="0" t="s">
        <v>191</v>
      </c>
      <c r="C111" s="0" t="s">
        <v>94</v>
      </c>
    </row>
    <row r="112">
      <c r="A112" s="0">
        <v>437</v>
      </c>
      <c r="B112" s="0" t="s">
        <v>192</v>
      </c>
      <c r="C112" s="0" t="s">
        <v>193</v>
      </c>
    </row>
    <row r="113">
      <c r="A113" s="0">
        <v>456</v>
      </c>
      <c r="B113" s="0" t="s">
        <v>194</v>
      </c>
      <c r="C113" s="0" t="s">
        <v>195</v>
      </c>
    </row>
    <row r="114">
      <c r="A114" s="0">
        <v>460</v>
      </c>
      <c r="B114" s="0" t="s">
        <v>196</v>
      </c>
      <c r="C114" s="0" t="s">
        <v>150</v>
      </c>
    </row>
    <row r="115">
      <c r="A115" s="0">
        <v>454</v>
      </c>
      <c r="B115" s="0" t="s">
        <v>197</v>
      </c>
      <c r="C115" s="0" t="s">
        <v>181</v>
      </c>
    </row>
    <row r="116">
      <c r="A116" s="0">
        <v>451</v>
      </c>
      <c r="B116" s="0" t="s">
        <v>198</v>
      </c>
      <c r="C116" s="0" t="s">
        <v>75</v>
      </c>
    </row>
    <row r="117">
      <c r="A117" s="0">
        <v>455</v>
      </c>
      <c r="B117" s="0" t="s">
        <v>199</v>
      </c>
      <c r="C117" s="0" t="s">
        <v>38</v>
      </c>
    </row>
    <row r="118">
      <c r="A118" s="0">
        <v>459</v>
      </c>
      <c r="B118" s="0" t="s">
        <v>200</v>
      </c>
      <c r="C118" s="0" t="s">
        <v>171</v>
      </c>
    </row>
    <row r="119">
      <c r="A119" s="0">
        <v>450</v>
      </c>
      <c r="B119" s="0" t="s">
        <v>201</v>
      </c>
      <c r="C119" s="0" t="s">
        <v>44</v>
      </c>
    </row>
    <row r="120">
      <c r="A120" s="0">
        <v>443</v>
      </c>
      <c r="B120" s="0" t="s">
        <v>202</v>
      </c>
      <c r="C120" s="0" t="s">
        <v>146</v>
      </c>
    </row>
    <row r="121">
      <c r="A121" s="0">
        <v>438</v>
      </c>
      <c r="B121" s="0" t="s">
        <v>203</v>
      </c>
      <c r="C121" s="0" t="s">
        <v>56</v>
      </c>
    </row>
    <row r="122">
      <c r="A122" s="0">
        <v>436</v>
      </c>
      <c r="B122" s="0" t="s">
        <v>204</v>
      </c>
      <c r="C122" s="0" t="s">
        <v>195</v>
      </c>
    </row>
    <row r="123">
      <c r="A123" s="0">
        <v>470</v>
      </c>
      <c r="B123" s="0" t="s">
        <v>205</v>
      </c>
      <c r="C123" s="0" t="s">
        <v>206</v>
      </c>
    </row>
    <row r="124">
      <c r="A124" s="0">
        <v>478</v>
      </c>
      <c r="B124" s="0" t="s">
        <v>207</v>
      </c>
      <c r="C124" s="0" t="s">
        <v>195</v>
      </c>
    </row>
    <row r="125">
      <c r="A125" s="0">
        <v>479</v>
      </c>
      <c r="B125" s="0" t="s">
        <v>208</v>
      </c>
      <c r="C125" s="0" t="s">
        <v>150</v>
      </c>
    </row>
    <row r="126">
      <c r="A126" s="0">
        <v>480</v>
      </c>
      <c r="B126" s="0" t="s">
        <v>209</v>
      </c>
      <c r="C126" s="0" t="s">
        <v>142</v>
      </c>
    </row>
    <row r="127">
      <c r="A127" s="0">
        <v>481</v>
      </c>
      <c r="B127" s="0" t="s">
        <v>210</v>
      </c>
      <c r="C127" s="0" t="s">
        <v>91</v>
      </c>
    </row>
    <row r="128">
      <c r="A128" s="0">
        <v>482</v>
      </c>
      <c r="B128" s="0" t="s">
        <v>211</v>
      </c>
      <c r="C128" s="0" t="s">
        <v>77</v>
      </c>
    </row>
    <row r="129">
      <c r="A129" s="0">
        <v>492</v>
      </c>
      <c r="B129" s="0" t="s">
        <v>212</v>
      </c>
      <c r="C129" s="0" t="s">
        <v>150</v>
      </c>
    </row>
    <row r="130">
      <c r="A130" s="0">
        <v>497</v>
      </c>
      <c r="B130" s="0" t="s">
        <v>213</v>
      </c>
      <c r="C130" s="0" t="s">
        <v>115</v>
      </c>
    </row>
    <row r="131">
      <c r="A131" s="0">
        <v>498</v>
      </c>
      <c r="B131" s="0" t="s">
        <v>214</v>
      </c>
      <c r="C131" s="0" t="s">
        <v>77</v>
      </c>
    </row>
    <row r="132">
      <c r="A132" s="0">
        <v>500</v>
      </c>
      <c r="B132" s="0" t="s">
        <v>215</v>
      </c>
      <c r="C132" s="0" t="s">
        <v>80</v>
      </c>
    </row>
    <row r="133">
      <c r="A133" s="0">
        <v>506</v>
      </c>
      <c r="B133" s="0" t="s">
        <v>216</v>
      </c>
      <c r="C133" s="0" t="s">
        <v>42</v>
      </c>
    </row>
    <row r="134">
      <c r="A134" s="0">
        <v>513</v>
      </c>
      <c r="B134" s="0" t="s">
        <v>217</v>
      </c>
      <c r="C134" s="0" t="s">
        <v>80</v>
      </c>
    </row>
    <row r="135">
      <c r="A135" s="0">
        <v>535</v>
      </c>
      <c r="B135" s="0" t="s">
        <v>218</v>
      </c>
      <c r="C135" s="0" t="s">
        <v>36</v>
      </c>
    </row>
    <row r="136">
      <c r="A136" s="0">
        <v>542</v>
      </c>
      <c r="B136" s="0" t="s">
        <v>219</v>
      </c>
      <c r="C136" s="0" t="s">
        <v>165</v>
      </c>
    </row>
    <row r="137">
      <c r="A137" s="0">
        <v>544</v>
      </c>
      <c r="B137" s="0" t="s">
        <v>220</v>
      </c>
      <c r="C137" s="0" t="s">
        <v>94</v>
      </c>
    </row>
    <row r="138">
      <c r="A138" s="0">
        <v>554</v>
      </c>
      <c r="B138" s="0" t="s">
        <v>221</v>
      </c>
      <c r="C138" s="0" t="s">
        <v>222</v>
      </c>
    </row>
    <row r="139">
      <c r="A139" s="0">
        <v>566</v>
      </c>
      <c r="B139" s="0" t="s">
        <v>223</v>
      </c>
      <c r="C139" s="0" t="s">
        <v>224</v>
      </c>
    </row>
    <row r="140">
      <c r="A140" s="0">
        <v>574</v>
      </c>
      <c r="B140" s="0" t="s">
        <v>225</v>
      </c>
      <c r="C140" s="0" t="s">
        <v>46</v>
      </c>
    </row>
    <row r="141">
      <c r="A141" s="0">
        <v>581</v>
      </c>
      <c r="B141" s="0" t="s">
        <v>226</v>
      </c>
      <c r="C141" s="0" t="s">
        <v>36</v>
      </c>
    </row>
    <row r="142">
      <c r="A142" s="0">
        <v>584</v>
      </c>
      <c r="B142" s="0" t="s">
        <v>227</v>
      </c>
      <c r="C142" s="0" t="s">
        <v>42</v>
      </c>
    </row>
    <row r="143">
      <c r="A143" s="0">
        <v>595</v>
      </c>
      <c r="B143" s="0" t="s">
        <v>228</v>
      </c>
      <c r="C143" s="0" t="s">
        <v>69</v>
      </c>
    </row>
    <row r="144">
      <c r="A144" s="0">
        <v>600</v>
      </c>
      <c r="B144" s="0" t="s">
        <v>229</v>
      </c>
      <c r="C144" s="0" t="s">
        <v>89</v>
      </c>
    </row>
    <row r="145">
      <c r="A145" s="0">
        <v>606</v>
      </c>
      <c r="B145" s="0" t="s">
        <v>230</v>
      </c>
      <c r="C145" s="0" t="s">
        <v>222</v>
      </c>
    </row>
  </sheetData>
  <pageMargins left="0.7" right="0.7" top="0.75" bottom="0.75" header="0.3" footer="0.3"/>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2"/>
  <sheetViews>
    <sheetView workbookViewId="0">
      <selection activeCell="E15" sqref="E15"/>
    </sheetView>
  </sheetViews>
  <sheetFormatPr defaultRowHeight="15" x14ac:dyDescent="0.25"/>
  <sheetData>
    <row r="1">
      <c r="A1" s="0" t="s">
        <v>231</v>
      </c>
    </row>
    <row r="2">
      <c r="A2" s="0" t="s">
        <v>232</v>
      </c>
    </row>
  </sheetData>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5"/>
  <sheetViews>
    <sheetView tabSelected="1" zoomScale="73" zoomScaleNormal="73" workbookViewId="0">
      <selection activeCell="G6" sqref="G6"/>
    </sheetView>
  </sheetViews>
  <sheetFormatPr defaultColWidth="9.140625" defaultRowHeight="168.6" customHeight="1" x14ac:dyDescent="0.2"/>
  <cols>
    <col min="1" max="1" width="5.28515625" customWidth="1" style="1"/>
    <col min="2" max="2" width="33.5703125" customWidth="1" style="1"/>
    <col min="3" max="3" width="18.28515625" customWidth="1" style="1"/>
    <col min="4" max="4" width="12.28515625" customWidth="1" style="1"/>
    <col min="5" max="5" width="36.5703125" customWidth="1" style="1"/>
    <col min="6" max="6" width="8" customWidth="1" style="1"/>
    <col min="7" max="15" width="8.7109375" customWidth="1" style="1"/>
    <col min="16" max="18" width="6.7109375" customWidth="1" style="1"/>
    <col min="19" max="19" width="33.7109375" customWidth="1" style="1"/>
    <col min="20" max="22" width="33.5703125" customWidth="1" style="1"/>
    <col min="23" max="23" width="18.28515625" customWidth="1" style="1"/>
    <col min="24" max="24" width="12.28515625" customWidth="1" style="1"/>
    <col min="25" max="25" width="8" customWidth="1" style="1"/>
    <col min="26" max="26" width="7.7109375" customWidth="1" style="1"/>
    <col min="27" max="27" width="10.42578125" customWidth="1" style="1"/>
    <col min="28" max="28" width="10.7109375" customWidth="1" style="1"/>
    <col min="29" max="29" width="11" customWidth="1" style="1"/>
    <col min="30" max="30" width="12.42578125" customWidth="1" style="1"/>
    <col min="31" max="31" width="12.28515625" customWidth="1" style="1"/>
    <col min="32" max="33" width="9.140625" customWidth="1" style="1"/>
    <col min="34" max="34" width="4.85546875" customWidth="1" style="1"/>
    <col min="35" max="16384" width="9.140625" customWidth="1" style="1"/>
  </cols>
  <sheetData>
    <row r="1" ht="18">
      <c r="A1" s="3" t="s">
        <v>0</v>
      </c>
      <c r="D1" s="5"/>
      <c r="I1" s="10" t="str">
        <f>Data3!A2&amp;""</f>
      </c>
      <c r="J1" s="10"/>
      <c r="X1" s="5"/>
    </row>
    <row r="2" ht="60" customHeight="1">
      <c r="A2" s="15" t="s">
        <v>1</v>
      </c>
      <c r="B2" s="15" t="s">
        <v>2</v>
      </c>
      <c r="C2" s="15" t="s">
        <v>3</v>
      </c>
      <c r="D2" s="15" t="s">
        <v>4</v>
      </c>
      <c r="E2" s="15" t="s">
        <v>5</v>
      </c>
      <c r="F2" s="15" t="s">
        <v>6</v>
      </c>
      <c r="G2" s="11" t="s">
        <v>7</v>
      </c>
      <c r="H2" s="15" t="s">
        <v>8</v>
      </c>
      <c r="I2" s="15" t="s">
        <v>9</v>
      </c>
      <c r="J2" s="11" t="s">
        <v>10</v>
      </c>
      <c r="K2" s="15" t="s">
        <v>11</v>
      </c>
      <c r="L2" s="15" t="s">
        <v>12</v>
      </c>
      <c r="M2" s="11" t="s">
        <v>13</v>
      </c>
      <c r="N2" s="15" t="s">
        <v>14</v>
      </c>
      <c r="O2" s="15" t="s">
        <v>15</v>
      </c>
      <c r="P2" s="15" t="s">
        <v>16</v>
      </c>
      <c r="Q2" s="15" t="s">
        <v>17</v>
      </c>
      <c r="R2" s="15" t="s">
        <v>18</v>
      </c>
      <c r="S2" s="15" t="s">
        <v>19</v>
      </c>
      <c r="T2" s="16" t="s">
        <v>20</v>
      </c>
      <c r="U2" s="18" t="s">
        <v>21</v>
      </c>
      <c r="V2" s="13" t="s">
        <v>22</v>
      </c>
      <c r="W2" s="15" t="s">
        <v>23</v>
      </c>
      <c r="X2" s="11" t="s">
        <v>24</v>
      </c>
      <c r="Y2" s="15" t="s">
        <v>25</v>
      </c>
      <c r="Z2" s="11" t="s">
        <v>26</v>
      </c>
      <c r="AA2" s="11" t="s">
        <v>27</v>
      </c>
      <c r="AB2" s="11" t="s">
        <v>28</v>
      </c>
      <c r="AC2" s="11" t="s">
        <v>29</v>
      </c>
      <c r="AD2" s="11" t="s">
        <v>30</v>
      </c>
      <c r="AE2" s="11" t="s">
        <v>31</v>
      </c>
    </row>
    <row r="3" ht="12.75">
      <c r="A3" s="15"/>
      <c r="B3" s="15"/>
      <c r="C3" s="15"/>
      <c r="D3" s="15"/>
      <c r="E3" s="15"/>
      <c r="F3" s="15"/>
      <c r="G3" s="12"/>
      <c r="H3" s="15"/>
      <c r="I3" s="15"/>
      <c r="J3" s="12"/>
      <c r="K3" s="15"/>
      <c r="L3" s="15"/>
      <c r="M3" s="12"/>
      <c r="N3" s="15"/>
      <c r="O3" s="15"/>
      <c r="P3" s="15"/>
      <c r="Q3" s="15"/>
      <c r="R3" s="15"/>
      <c r="S3" s="15"/>
      <c r="T3" s="17"/>
      <c r="U3" s="18"/>
      <c r="V3" s="14"/>
      <c r="W3" s="15"/>
      <c r="X3" s="12"/>
      <c r="Y3" s="15"/>
      <c r="Z3" s="12"/>
      <c r="AA3" s="12"/>
      <c r="AB3" s="12"/>
      <c r="AC3" s="12"/>
      <c r="AD3" s="12"/>
      <c r="AE3" s="12"/>
    </row>
    <row r="4" ht="12.7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row>
    <row r="5" ht="168.6" customHeight="1">
      <c r="A5" s="4">
        <f>ROW()-4</f>
        <v>1</v>
      </c>
      <c r="B5" s="4" t="str">
        <f>IF(ISBLANK(Data1!B2)=FALSE,"http://media-tilsoft.com/thumbnail/"&amp;Data1!B2,"")</f>
      </c>
      <c r="C5" s="7" t="str">
        <f>Data1!C2&amp;""</f>
      </c>
      <c r="D5" s="8" t="str">
        <f>IF(ISBLANK(Data1!D2)=FALSE,DATEVALUE(Data1!D2),"")</f>
      </c>
      <c r="E5" s="6" t="str">
        <f>Data1!E2&amp;""</f>
      </c>
      <c r="F5" s="7">
        <f>Data1!F2</f>
        <v>0</v>
      </c>
      <c r="G5" s="7" t="str">
        <f>Data1!G2&amp;""</f>
      </c>
      <c r="H5" s="7" t="str">
        <f>Data1!H2&amp;""</f>
      </c>
      <c r="I5" s="7" t="str">
        <f>Data1!I2&amp;""</f>
      </c>
      <c r="J5" s="7" t="str">
        <f>Data1!J2&amp;""</f>
      </c>
      <c r="K5" s="7" t="str">
        <f>Data1!K2&amp;""</f>
      </c>
      <c r="L5" s="7" t="str">
        <f>Data1!L2&amp;""</f>
      </c>
      <c r="M5" s="7" t="str">
        <f>Data1!M2&amp;""</f>
      </c>
      <c r="N5" s="7" t="str">
        <f>Data1!N2&amp;""</f>
      </c>
      <c r="O5" s="7" t="str">
        <f>Data1!O2&amp;""</f>
      </c>
      <c r="P5" s="7" t="str">
        <f>Data1!P2&amp;""</f>
      </c>
      <c r="Q5" s="7" t="str">
        <f>Data1!Q2&amp;""</f>
      </c>
      <c r="R5" s="7" t="str">
        <f>Data1!R2&amp;""</f>
      </c>
      <c r="S5" s="6" t="str">
        <f>Data1!T2&amp;""</f>
      </c>
      <c r="T5" s="9"/>
      <c r="U5" s="6" t="str">
        <f>Data1!S2&amp;""</f>
      </c>
      <c r="V5" s="9"/>
      <c r="W5" s="7" t="str">
        <f>Data1!V2&amp;""</f>
      </c>
      <c r="X5" s="8" t="str">
        <f>IF(ISBLANK(Data1!W2)=FALSE,DATEVALUE(Data1!W2),"")</f>
      </c>
      <c r="Y5" s="7" t="str">
        <f>Data1!X2&amp;""</f>
      </c>
      <c r="Z5" s="7" t="str">
        <f>Data1!Y2&amp;"/"&amp;Data1!Z2</f>
        <v>/</v>
      </c>
      <c r="AA5" s="7" t="str">
        <f>IF(ISBLANK(Data1!AA2)=FALSE, VALUE(Data1!AA2),"")</f>
      </c>
      <c r="AB5" s="7" t="str">
        <f>IF(ISBLANK(Data1!AB2)=FALSE, VALUE(Data1!AB2),"")</f>
      </c>
      <c r="AC5" s="7" t="str">
        <f>IF(ISBLANK(Data1!AC2)=FALSE,VALUE(Data1!AC2),"")</f>
      </c>
      <c r="AD5" s="7" t="str">
        <f>IF(ISBLANK(Data1!AD2)=FALSE,VALUE(Data1!AD2),"")</f>
      </c>
      <c r="AE5" s="7" t="str">
        <f>IF(ISBLANK(Data1!AE2)=FALSE,VALUE(Data1!AE2),"")</f>
      </c>
    </row>
  </sheetData>
  <autoFilter ref="A4:AE4"/>
  <mergeCells>
    <mergeCell ref="A2:A3"/>
    <mergeCell ref="B2:B3"/>
    <mergeCell ref="Z2:Z3"/>
    <mergeCell ref="D2:D3"/>
    <mergeCell ref="AA2:AA3"/>
    <mergeCell ref="O2:O3"/>
    <mergeCell ref="E2:E3"/>
    <mergeCell ref="F2:F3"/>
    <mergeCell ref="Y2:Y3"/>
    <mergeCell ref="C2:C3"/>
    <mergeCell ref="W2:W3"/>
    <mergeCell ref="G2:G3"/>
    <mergeCell ref="H2:H3"/>
    <mergeCell ref="I2:I3"/>
    <mergeCell ref="L2:L3"/>
    <mergeCell ref="M2:M3"/>
    <mergeCell ref="I1:J1"/>
    <mergeCell ref="AE2:AE3"/>
    <mergeCell ref="AD2:AD3"/>
    <mergeCell ref="X2:X3"/>
    <mergeCell ref="AC2:AC3"/>
    <mergeCell ref="AB2:AB3"/>
    <mergeCell ref="V2:V3"/>
    <mergeCell ref="J2:J3"/>
    <mergeCell ref="S2:S3"/>
    <mergeCell ref="T2:T3"/>
    <mergeCell ref="U2:U3"/>
    <mergeCell ref="R2:R3"/>
    <mergeCell ref="K2:K3"/>
    <mergeCell ref="P2:P3"/>
    <mergeCell ref="Q2:Q3"/>
    <mergeCell ref="N2:N3"/>
  </mergeCells>
  <pageMargins left="0.7" right="0.7" top="0.75" bottom="0.75" header="0.3" footer="0.3"/>
  <pageSetup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Data1</vt:lpstr>
      <vt:lpstr>Data2</vt:lpstr>
      <vt:lpstr>Data3</vt:lpstr>
      <vt:lpstr>Sample Order Overview</vt:lpstr>
      <vt:lpstr>'Sample Order Overview'!_FilterDatabase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AuvietSoft</cp:lastModifiedBy>
  <dcterms:created xsi:type="dcterms:W3CDTF">2006-09-16T00:00:00Z</dcterms:created>
  <dcterms:modified xsi:type="dcterms:W3CDTF">2018-09-19T09:04:36Z</dcterms:modified>
</cp:coreProperties>
</file>