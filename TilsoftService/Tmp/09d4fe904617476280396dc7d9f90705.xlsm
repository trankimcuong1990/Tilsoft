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Repo2\SOLUTION\TilsoftService\Reports\"/>
    </mc:Choice>
  </mc:AlternateContent>
  <bookViews>
    <workbookView xWindow="360" yWindow="270" windowWidth="18795" windowHeight="11760"/>
  </bookViews>
  <sheets>
    <sheet name="QCReport" sheetId="6" r:id="rId1"/>
    <sheet name="QCReportDataView" sheetId="7" r:id="rId2"/>
    <sheet name="QCReportDefectDataView" sheetId="5" r:id="rId3"/>
    <sheet name="QCReportDetailDataView" sheetId="8" r:id="rId4"/>
    <sheet name="QCReportImageDataView" sheetId="9" r:id="rId5"/>
    <sheet name="QCReportSummaryDataView" sheetId="10" r:id="rId6"/>
    <sheet name="QCReportTestEnvironmentDataView" sheetId="11" r:id="rId7"/>
  </sheets>
  <definedNames>
    <definedName name="Excel_BuiltIn_Print_Area_1">#REF!</definedName>
  </definedNames>
  <calcPr calcId="162913" fullCalcOnLoad="1"/>
</workbook>
</file>

<file path=xl/comments1.xml><?xml version="1.0" encoding="utf-8"?>
<comments xmlns="http://schemas.openxmlformats.org/spreadsheetml/2006/main">
  <authors>
    <author>Hau Tran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<sst xmlns="http://schemas.openxmlformats.org/spreadsheetml/2006/main" count="159" uniqueCount="159">
  <si>
    <t>QCReportDetailID</t>
  </si>
  <si>
    <t>QCReportID</t>
  </si>
  <si>
    <t>Name</t>
  </si>
  <si>
    <t>Unit</t>
  </si>
  <si>
    <t>Specification</t>
  </si>
  <si>
    <t>Actual</t>
  </si>
  <si>
    <t>Tolerance</t>
  </si>
  <si>
    <t>RowIndex</t>
  </si>
  <si>
    <t>Overal Dimension (L x W x H)</t>
  </si>
  <si>
    <t>Net Weight</t>
  </si>
  <si>
    <t>Carton weight</t>
  </si>
  <si>
    <t>Barcode checking</t>
  </si>
  <si>
    <t>SM checking</t>
  </si>
  <si>
    <t>Al &amp; hardware checking</t>
  </si>
  <si>
    <t>Assembly checking</t>
  </si>
  <si>
    <t>Moisture content check</t>
  </si>
  <si>
    <t>Color swatch comparison</t>
  </si>
  <si>
    <t>Loading test</t>
  </si>
  <si>
    <t>QCReportUD</t>
  </si>
  <si>
    <t>InspectedDate</t>
  </si>
  <si>
    <t>SampleSize</t>
  </si>
  <si>
    <t>Location</t>
  </si>
  <si>
    <t>AssemplySampleSize</t>
  </si>
  <si>
    <t>QCName</t>
  </si>
  <si>
    <t>InspectedPackedQuantity</t>
  </si>
  <si>
    <t>InspectedNotPackedQuantity</t>
  </si>
  <si>
    <t>InspectedPackedCartonQuantity</t>
  </si>
  <si>
    <t>InspectedNotPackedCartonQuantity</t>
  </si>
  <si>
    <t>AQLCritical</t>
  </si>
  <si>
    <t>AQLMajor</t>
  </si>
  <si>
    <t>AQLMinor</t>
  </si>
  <si>
    <t>InspectionResultID</t>
  </si>
  <si>
    <t>InspectionResultNM</t>
  </si>
  <si>
    <t>ProformaInvoiceNo</t>
  </si>
  <si>
    <t>ArticleCode</t>
  </si>
  <si>
    <t>Description</t>
  </si>
  <si>
    <t>FactoryUD</t>
  </si>
  <si>
    <t>Quantity</t>
  </si>
  <si>
    <t>ClientUD</t>
  </si>
  <si>
    <t>InspectionStageNM</t>
  </si>
  <si>
    <t>ThumbnailLocation</t>
  </si>
  <si>
    <t>UpdatedDate</t>
  </si>
  <si>
    <t>UpdaterName</t>
  </si>
  <si>
    <t>PackagingMethodNM</t>
  </si>
  <si>
    <t>IsConformed</t>
  </si>
  <si>
    <t>BeginInspection</t>
  </si>
  <si>
    <t>EndInspection</t>
  </si>
  <si>
    <t>FileLocation</t>
  </si>
  <si>
    <t>MaximumCritical</t>
  </si>
  <si>
    <t>MaximumMajor</t>
  </si>
  <si>
    <t>MaximumMinor</t>
  </si>
  <si>
    <t>CheckPASS</t>
  </si>
  <si>
    <t>CheckREJECT</t>
  </si>
  <si>
    <t>CheckREPAIR</t>
  </si>
  <si>
    <t>ConformedText</t>
  </si>
  <si>
    <t>QC00001377</t>
  </si>
  <si>
    <t>30007VN, 30007VN</t>
  </si>
  <si>
    <t>F0240000021005800000000A10</t>
  </si>
  <si>
    <t>ANTIGUA BENCH 300X40X45 CM / WOOD ACACIA FSC VINTAGE TEAK LOOK / FSC 100%</t>
  </si>
  <si>
    <t>ROS-02-VQN</t>
  </si>
  <si>
    <t>000984</t>
  </si>
  <si>
    <t>08/01/2020</t>
  </si>
  <si>
    <t>Nguyen Duy Hanh</t>
  </si>
  <si>
    <t>No</t>
  </si>
  <si>
    <t xml:space="preserve">INSPECTION REPORT
BÁO CÁO KIỂM TRA THÀNH PHẨM</t>
  </si>
  <si>
    <t xml:space="preserve">No (Số)            HCM 1801-001</t>
  </si>
  <si>
    <t>Page (Trang):</t>
  </si>
  <si>
    <t>INSPECTED DATE (Ngày kiểm):</t>
  </si>
  <si>
    <t>CUSTOMER (Khách hàng):</t>
  </si>
  <si>
    <t xml:space="preserve">FACTORY (Nhà Máy): </t>
  </si>
  <si>
    <t>ARTICLE CODE:</t>
  </si>
  <si>
    <t>P/I NO (Số P/I):</t>
  </si>
  <si>
    <t>QUANTITY (Số Lượng Đơn Hàng):</t>
  </si>
  <si>
    <t>SAMPLE SIZE (Số Lượng):</t>
  </si>
  <si>
    <t>ASSEMPLY SAMPLE SIZE</t>
  </si>
  <si>
    <t>LOCATION (Địa Điểm):</t>
  </si>
  <si>
    <t>QC NAME</t>
  </si>
  <si>
    <t>ART DESCR (Tên Sản Phẩm)</t>
  </si>
  <si>
    <t>Inspection Summary</t>
  </si>
  <si>
    <t>Result</t>
  </si>
  <si>
    <t>Product Picture</t>
  </si>
  <si>
    <t>Inspection stage:</t>
  </si>
  <si>
    <t>Order Qty</t>
  </si>
  <si>
    <t>Quantity presented for inspection</t>
  </si>
  <si>
    <t>Number of cartons</t>
  </si>
  <si>
    <t>Packed</t>
  </si>
  <si>
    <t>Not packed</t>
  </si>
  <si>
    <t>Packaging:</t>
  </si>
  <si>
    <t>Packaging type (Kiểu đóng gói)</t>
  </si>
  <si>
    <t>Box Drop Test ISTA 1A (If applicable)</t>
  </si>
  <si>
    <t>Conformity:</t>
  </si>
  <si>
    <t>Workmanship Appearance / Function Inspection Findings:</t>
  </si>
  <si>
    <t>Inspection level: MIL-Std-105D single sampting, level II, normal inspection</t>
  </si>
  <si>
    <t>AQL</t>
  </si>
  <si>
    <t>Critical:</t>
  </si>
  <si>
    <t>Major:</t>
  </si>
  <si>
    <t>Minor:</t>
  </si>
  <si>
    <t xml:space="preserve">Special tests:              destructive = S.2                        complex tests = S.3 </t>
  </si>
  <si>
    <t>Defect description</t>
  </si>
  <si>
    <t>Critical</t>
  </si>
  <si>
    <t>Major</t>
  </si>
  <si>
    <t>Minor</t>
  </si>
  <si>
    <t>Total defectives:</t>
  </si>
  <si>
    <t>Maximum allowed:</t>
  </si>
  <si>
    <t>Product - Specific Data Measurement / Field Test on Reduced Sample size:</t>
  </si>
  <si>
    <t>No.</t>
  </si>
  <si>
    <t xml:space="preserve">Description
(Mô tả)</t>
  </si>
  <si>
    <t xml:space="preserve">Unit
(Đơn vị)</t>
  </si>
  <si>
    <t xml:space="preserve">Specification
(Quy cách)</t>
  </si>
  <si>
    <t xml:space="preserve">Result
(Ghi nhận thực tế)</t>
  </si>
  <si>
    <t xml:space="preserve">Tolerance
(Đúng sai)</t>
  </si>
  <si>
    <t>Inspection result (kết quả nghiệm thu)</t>
  </si>
  <si>
    <t>Pass:</t>
  </si>
  <si>
    <t>Reject:</t>
  </si>
  <si>
    <t>Repair:</t>
  </si>
  <si>
    <t>Inspection Enviroment:</t>
  </si>
  <si>
    <t>Inspection place:</t>
  </si>
  <si>
    <t>Warehouse</t>
  </si>
  <si>
    <t>Inspection room</t>
  </si>
  <si>
    <t>Factory worshop</t>
  </si>
  <si>
    <t>Lighting:</t>
  </si>
  <si>
    <t>Daylight</t>
  </si>
  <si>
    <t>Room Lighting</t>
  </si>
  <si>
    <t>Sufficient</t>
  </si>
  <si>
    <t>Not sufficient</t>
  </si>
  <si>
    <t>Cleanliness:</t>
  </si>
  <si>
    <t>Clean</t>
  </si>
  <si>
    <t>Dirty</t>
  </si>
  <si>
    <t>Weather condition:</t>
  </si>
  <si>
    <t>Dry</t>
  </si>
  <si>
    <t>Rainy</t>
  </si>
  <si>
    <t>Time inspection needed</t>
  </si>
  <si>
    <t>hs</t>
  </si>
  <si>
    <t>In</t>
  </si>
  <si>
    <t>Out</t>
  </si>
  <si>
    <t>QCReportTestEnvironmentID</t>
  </si>
  <si>
    <t>QCTestReportID</t>
  </si>
  <si>
    <t>QCReportTestEnvironmentItemID</t>
  </si>
  <si>
    <t>IsSelected</t>
  </si>
  <si>
    <t>QCReportTestEnvironmentItemNM</t>
  </si>
  <si>
    <t>QCReportTestEnvironmentCategoryID</t>
  </si>
  <si>
    <t>QCReportTestEnvironmentCategoryNM</t>
  </si>
  <si>
    <t>IsSelectedText</t>
  </si>
  <si>
    <t>Inspection Place</t>
  </si>
  <si>
    <t>Inspection Room</t>
  </si>
  <si>
    <t>Factory Worshop</t>
  </si>
  <si>
    <t>Lighting</t>
  </si>
  <si>
    <t>Not Sufficient</t>
  </si>
  <si>
    <t>Cleanliness</t>
  </si>
  <si>
    <t>Weather Condition</t>
  </si>
  <si>
    <t>QCReportSummaryID</t>
  </si>
  <si>
    <t>QCReportSummaryResultID</t>
  </si>
  <si>
    <t>Remark</t>
  </si>
  <si>
    <t>QCReportSummaryResultNM</t>
  </si>
  <si>
    <t>Packing</t>
  </si>
  <si>
    <t>Marking/ label</t>
  </si>
  <si>
    <t>Workmanship appearance / function</t>
  </si>
  <si>
    <t>Data measurerement</t>
  </si>
  <si>
    <t>Model &amp;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</si>
</sst>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(* #,##0.00_);_(* \(#,##0.00\);_(* &quot;-&quot;??_);_(@_)"/>
    <numFmt numFmtId="164" formatCode="_-* #,##0_-;\-* #,##0_-;_-* &quot;-&quot;_-;_-@_-"/>
    <numFmt numFmtId="165" formatCode="&quot;€&quot;\ #,##0.00_-;&quot;€&quot;\ #,##0.00\-"/>
    <numFmt numFmtId="166" formatCode="&quot;€&quot;\ #,##0.00_-;[Red]&quot;€&quot;\ #,##0.00\-"/>
    <numFmt numFmtId="167" formatCode="0.0"/>
    <numFmt numFmtId="168" formatCode="_-* #,##0\ _B_F_-;\-* #,##0\ _B_F_-;_-* &quot;-&quot;\ _B_F_-;_-@_-"/>
    <numFmt numFmtId="169" formatCode="_ * #,##0.00_ ;_ * \-#,##0.00_ ;_ * &quot;-&quot;??_ ;_ @_ "/>
    <numFmt numFmtId="170" formatCode="00.000"/>
    <numFmt numFmtId="171" formatCode="_(* #,##0.00_);_(* \(#,##0.00\);_(* \-??_);_(@_)"/>
    <numFmt numFmtId="172" formatCode="_([$€]* #,##0.00_);_([$€]* \(#,##0.00\);_([$€]* &quot;-&quot;??_);_(@_)"/>
    <numFmt numFmtId="173" formatCode="[$$-409]#,##0.00"/>
    <numFmt numFmtId="174" formatCode="#,##0\ &quot;DM&quot;;\-#,##0\ &quot;DM&quot;"/>
    <numFmt numFmtId="175" formatCode="0.000%"/>
    <numFmt numFmtId="176" formatCode="&quot;￥&quot;#,##0;&quot;￥&quot;\-#,##0"/>
    <numFmt numFmtId="177" formatCode="_-&quot;F&quot;* #,##0_-;\-&quot;F&quot;* #,##0_-;_-&quot;F&quot;* &quot;-&quot;_-;_-@_-"/>
    <numFmt numFmtId="178" formatCode="#,##0\ &quot;F&quot;;[Red]\-#,##0\ &quot;F&quot;"/>
    <numFmt numFmtId="179" formatCode="_-&quot;F&quot;* #,##0.00_-;\-&quot;F&quot;* #,##0.00_-;_-&quot;F&quot;* &quot;-&quot;??_-;_-@_-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Wingdings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8" fontId="2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70" fontId="3" fillId="0" borderId="0"/>
    <xf numFmtId="170" fontId="3" fillId="0" borderId="0"/>
    <xf numFmtId="170" fontId="3" fillId="0" borderId="0"/>
    <xf numFmtId="170" fontId="18" fillId="0" borderId="0"/>
    <xf numFmtId="170" fontId="18" fillId="0" borderId="0"/>
    <xf numFmtId="43" fontId="4" fillId="0" borderId="0"/>
    <xf numFmtId="43" fontId="1" fillId="0" borderId="0"/>
    <xf numFmtId="0" fontId="1" fillId="0" borderId="0"/>
    <xf numFmtId="43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1" fontId="1" fillId="0" borderId="0"/>
    <xf numFmtId="43" fontId="3" fillId="0" borderId="0"/>
    <xf numFmtId="166" fontId="3" fillId="0" borderId="0"/>
    <xf numFmtId="165" fontId="18" fillId="0" borderId="0"/>
    <xf numFmtId="43" fontId="3" fillId="0" borderId="0"/>
    <xf numFmtId="43" fontId="3" fillId="0" borderId="0"/>
    <xf numFmtId="166" fontId="3" fillId="0" borderId="0"/>
    <xf numFmtId="165" fontId="18" fillId="0" borderId="0"/>
    <xf numFmtId="169" fontId="3" fillId="0" borderId="0"/>
    <xf numFmtId="169" fontId="3" fillId="0" borderId="0"/>
    <xf numFmtId="166" fontId="3" fillId="0" borderId="0"/>
    <xf numFmtId="169" fontId="3" fillId="0" borderId="0"/>
    <xf numFmtId="169" fontId="3" fillId="0" borderId="0"/>
    <xf numFmtId="169" fontId="3" fillId="0" borderId="0"/>
    <xf numFmtId="170" fontId="3" fillId="0" borderId="0"/>
    <xf numFmtId="166" fontId="3" fillId="0" borderId="0"/>
    <xf numFmtId="170" fontId="3" fillId="0" borderId="0"/>
    <xf numFmtId="166" fontId="3" fillId="0" borderId="0"/>
    <xf numFmtId="170" fontId="3" fillId="0" borderId="0"/>
    <xf numFmtId="166" fontId="3" fillId="0" borderId="0"/>
    <xf numFmtId="166" fontId="3" fillId="0" borderId="0"/>
    <xf numFmtId="165" fontId="18" fillId="0" borderId="0"/>
    <xf numFmtId="167" fontId="3" fillId="0" borderId="0"/>
    <xf numFmtId="43" fontId="18" fillId="0" borderId="0"/>
    <xf numFmtId="43" fontId="3" fillId="0" borderId="0"/>
    <xf numFmtId="169" fontId="3" fillId="0" borderId="0"/>
    <xf numFmtId="169" fontId="3" fillId="0" borderId="0"/>
    <xf numFmtId="169" fontId="3" fillId="0" borderId="0"/>
    <xf numFmtId="172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43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8" fontId="1" fillId="0" borderId="0"/>
    <xf numFmtId="0" fontId="3" fillId="0" borderId="0"/>
    <xf numFmtId="0" fontId="18" fillId="0" borderId="0"/>
    <xf numFmtId="173" fontId="18" fillId="0" borderId="0"/>
    <xf numFmtId="168" fontId="1" fillId="0" borderId="0"/>
    <xf numFmtId="0" fontId="1" fillId="0" borderId="0"/>
    <xf numFmtId="0" fontId="3" fillId="0" borderId="0"/>
    <xf numFmtId="0" fontId="1" fillId="0" borderId="0"/>
    <xf numFmtId="168" fontId="18" fillId="0" borderId="0"/>
    <xf numFmtId="168" fontId="3" fillId="0" borderId="0"/>
    <xf numFmtId="0" fontId="1" fillId="0" borderId="0"/>
    <xf numFmtId="0" fontId="18" fillId="0" borderId="0"/>
    <xf numFmtId="0" fontId="1" fillId="0" borderId="0"/>
    <xf numFmtId="168" fontId="18" fillId="0" borderId="0"/>
    <xf numFmtId="0" fontId="1" fillId="0" borderId="0"/>
    <xf numFmtId="0" fontId="1" fillId="0" borderId="0"/>
    <xf numFmtId="168" fontId="4" fillId="0" borderId="0"/>
    <xf numFmtId="0" fontId="18" fillId="0" borderId="0"/>
    <xf numFmtId="0" fontId="1" fillId="0" borderId="0"/>
    <xf numFmtId="168" fontId="1" fillId="0" borderId="0"/>
    <xf numFmtId="168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4" fontId="14" fillId="0" borderId="0"/>
    <xf numFmtId="175" fontId="14" fillId="0" borderId="0"/>
    <xf numFmtId="176" fontId="14" fillId="0" borderId="0"/>
    <xf numFmtId="170" fontId="14" fillId="0" borderId="0"/>
    <xf numFmtId="0" fontId="15" fillId="0" borderId="0"/>
    <xf numFmtId="0" fontId="11" fillId="0" borderId="0"/>
    <xf numFmtId="164" fontId="12" fillId="0" borderId="0"/>
    <xf numFmtId="40" fontId="13" fillId="0" borderId="0"/>
    <xf numFmtId="0" fontId="1" fillId="0" borderId="0"/>
    <xf numFmtId="177" fontId="12" fillId="0" borderId="0"/>
    <xf numFmtId="178" fontId="13" fillId="0" borderId="0"/>
    <xf numFmtId="179" fontId="12" fillId="0" borderId="0"/>
  </cellStyleXfs>
  <cellXfs count="209">
    <xf numFmtId="0" applyNumberFormat="1" fontId="0" applyFont="1" fillId="0" applyFill="1" borderId="0" applyBorder="1" xfId="0"/>
    <xf numFmtId="168" applyNumberFormat="1" fontId="2" applyFont="1" fillId="0" applyFill="1" borderId="0" applyBorder="1" xfId="1"/>
    <xf numFmtId="169" applyNumberFormat="1" fontId="3" applyFont="1" fillId="0" applyFill="1" borderId="0" applyBorder="1" xfId="2"/>
    <xf numFmtId="169" applyNumberFormat="1" fontId="3" applyFont="1" fillId="0" applyFill="1" borderId="0" applyBorder="1" xfId="3"/>
    <xf numFmtId="169" applyNumberFormat="1" fontId="3" applyFont="1" fillId="0" applyFill="1" borderId="0" applyBorder="1" xfId="4"/>
    <xf numFmtId="169" applyNumberFormat="1" fontId="3" applyFont="1" fillId="0" applyFill="1" borderId="0" applyBorder="1" xfId="5"/>
    <xf numFmtId="169" applyNumberFormat="1" fontId="3" applyFont="1" fillId="0" applyFill="1" borderId="0" applyBorder="1" xfId="6"/>
    <xf numFmtId="169" applyNumberFormat="1" fontId="3" applyFont="1" fillId="0" applyFill="1" borderId="0" applyBorder="1" xfId="7"/>
    <xf numFmtId="170" applyNumberFormat="1" fontId="3" applyFont="1" fillId="0" applyFill="1" borderId="0" applyBorder="1" xfId="8"/>
    <xf numFmtId="170" applyNumberFormat="1" fontId="3" applyFont="1" fillId="0" applyFill="1" borderId="0" applyBorder="1" xfId="9"/>
    <xf numFmtId="170" applyNumberFormat="1" fontId="3" applyFont="1" fillId="0" applyFill="1" borderId="0" applyBorder="1" xfId="10"/>
    <xf numFmtId="170" applyNumberFormat="1" fontId="18" applyFont="1" fillId="0" applyFill="1" borderId="0" applyBorder="1" xfId="11"/>
    <xf numFmtId="170" applyNumberFormat="1" fontId="18" applyFont="1" fillId="0" applyFill="1" borderId="0" applyBorder="1" xfId="12"/>
    <xf numFmtId="43" applyNumberFormat="1" fontId="4" applyFont="1" fillId="0" applyFill="1" borderId="0" applyBorder="1" xfId="13"/>
    <xf numFmtId="43" applyNumberFormat="1" fontId="1" applyFont="1" fillId="0" applyFill="1" borderId="0" applyBorder="1" xfId="14"/>
    <xf numFmtId="0" applyNumberFormat="1" fontId="1" applyFont="1" fillId="0" applyFill="1" borderId="0" applyBorder="1" xfId="15"/>
    <xf numFmtId="43" applyNumberFormat="1" fontId="18" applyFont="1" fillId="0" applyFill="1" borderId="0" applyBorder="1" xfId="16"/>
    <xf numFmtId="170" applyNumberFormat="1" fontId="18" applyFont="1" fillId="0" applyFill="1" borderId="0" applyBorder="1" xfId="17"/>
    <xf numFmtId="170" applyNumberFormat="1" fontId="18" applyFont="1" fillId="0" applyFill="1" borderId="0" applyBorder="1" xfId="18"/>
    <xf numFmtId="170" applyNumberFormat="1" fontId="18" applyFont="1" fillId="0" applyFill="1" borderId="0" applyBorder="1" xfId="19"/>
    <xf numFmtId="170" applyNumberFormat="1" fontId="18" applyFont="1" fillId="0" applyFill="1" borderId="0" applyBorder="1" xfId="20"/>
    <xf numFmtId="170" applyNumberFormat="1" fontId="18" applyFont="1" fillId="0" applyFill="1" borderId="0" applyBorder="1" xfId="21"/>
    <xf numFmtId="170" applyNumberFormat="1" fontId="18" applyFont="1" fillId="0" applyFill="1" borderId="0" applyBorder="1" xfId="22"/>
    <xf numFmtId="170" applyNumberFormat="1" fontId="18" applyFont="1" fillId="0" applyFill="1" borderId="0" applyBorder="1" xfId="23"/>
    <xf numFmtId="170" applyNumberFormat="1" fontId="18" applyFont="1" fillId="0" applyFill="1" borderId="0" applyBorder="1" xfId="24"/>
    <xf numFmtId="170" applyNumberFormat="1" fontId="18" applyFont="1" fillId="0" applyFill="1" borderId="0" applyBorder="1" xfId="25"/>
    <xf numFmtId="170" applyNumberFormat="1" fontId="18" applyFont="1" fillId="0" applyFill="1" borderId="0" applyBorder="1" xfId="26"/>
    <xf numFmtId="171" applyNumberFormat="1" fontId="1" applyFont="1" fillId="0" applyFill="1" borderId="0" applyBorder="1" xfId="27"/>
    <xf numFmtId="43" applyNumberFormat="1" fontId="3" applyFont="1" fillId="0" applyFill="1" borderId="0" applyBorder="1" xfId="28"/>
    <xf numFmtId="166" applyNumberFormat="1" fontId="3" applyFont="1" fillId="0" applyFill="1" borderId="0" applyBorder="1" xfId="29"/>
    <xf numFmtId="165" applyNumberFormat="1" fontId="18" applyFont="1" fillId="0" applyFill="1" borderId="0" applyBorder="1" xfId="30"/>
    <xf numFmtId="43" applyNumberFormat="1" fontId="3" applyFont="1" fillId="0" applyFill="1" borderId="0" applyBorder="1" xfId="31"/>
    <xf numFmtId="43" applyNumberFormat="1" fontId="3" applyFont="1" fillId="0" applyFill="1" borderId="0" applyBorder="1" xfId="32"/>
    <xf numFmtId="166" applyNumberFormat="1" fontId="3" applyFont="1" fillId="0" applyFill="1" borderId="0" applyBorder="1" xfId="33"/>
    <xf numFmtId="165" applyNumberFormat="1" fontId="18" applyFont="1" fillId="0" applyFill="1" borderId="0" applyBorder="1" xfId="34"/>
    <xf numFmtId="169" applyNumberFormat="1" fontId="3" applyFont="1" fillId="0" applyFill="1" borderId="0" applyBorder="1" xfId="35"/>
    <xf numFmtId="169" applyNumberFormat="1" fontId="3" applyFont="1" fillId="0" applyFill="1" borderId="0" applyBorder="1" xfId="36"/>
    <xf numFmtId="166" applyNumberFormat="1" fontId="3" applyFont="1" fillId="0" applyFill="1" borderId="0" applyBorder="1" xfId="37"/>
    <xf numFmtId="169" applyNumberFormat="1" fontId="3" applyFont="1" fillId="0" applyFill="1" borderId="0" applyBorder="1" xfId="38"/>
    <xf numFmtId="169" applyNumberFormat="1" fontId="3" applyFont="1" fillId="0" applyFill="1" borderId="0" applyBorder="1" xfId="39"/>
    <xf numFmtId="169" applyNumberFormat="1" fontId="3" applyFont="1" fillId="0" applyFill="1" borderId="0" applyBorder="1" xfId="40"/>
    <xf numFmtId="170" applyNumberFormat="1" fontId="3" applyFont="1" fillId="0" applyFill="1" borderId="0" applyBorder="1" xfId="41"/>
    <xf numFmtId="166" applyNumberFormat="1" fontId="3" applyFont="1" fillId="0" applyFill="1" borderId="0" applyBorder="1" xfId="42"/>
    <xf numFmtId="170" applyNumberFormat="1" fontId="3" applyFont="1" fillId="0" applyFill="1" borderId="0" applyBorder="1" xfId="43"/>
    <xf numFmtId="166" applyNumberFormat="1" fontId="3" applyFont="1" fillId="0" applyFill="1" borderId="0" applyBorder="1" xfId="44"/>
    <xf numFmtId="170" applyNumberFormat="1" fontId="3" applyFont="1" fillId="0" applyFill="1" borderId="0" applyBorder="1" xfId="45"/>
    <xf numFmtId="166" applyNumberFormat="1" fontId="3" applyFont="1" fillId="0" applyFill="1" borderId="0" applyBorder="1" xfId="46"/>
    <xf numFmtId="166" applyNumberFormat="1" fontId="3" applyFont="1" fillId="0" applyFill="1" borderId="0" applyBorder="1" xfId="47"/>
    <xf numFmtId="165" applyNumberFormat="1" fontId="18" applyFont="1" fillId="0" applyFill="1" borderId="0" applyBorder="1" xfId="48"/>
    <xf numFmtId="167" applyNumberFormat="1" fontId="3" applyFont="1" fillId="0" applyFill="1" borderId="0" applyBorder="1" xfId="49"/>
    <xf numFmtId="43" applyNumberFormat="1" fontId="18" applyFont="1" fillId="0" applyFill="1" borderId="0" applyBorder="1" xfId="50"/>
    <xf numFmtId="43" applyNumberFormat="1" fontId="3" applyFont="1" fillId="0" applyFill="1" borderId="0" applyBorder="1" xfId="51"/>
    <xf numFmtId="169" applyNumberFormat="1" fontId="3" applyFont="1" fillId="0" applyFill="1" borderId="0" applyBorder="1" xfId="52"/>
    <xf numFmtId="169" applyNumberFormat="1" fontId="3" applyFont="1" fillId="0" applyFill="1" borderId="0" applyBorder="1" xfId="53"/>
    <xf numFmtId="169" applyNumberFormat="1" fontId="3" applyFont="1" fillId="0" applyFill="1" borderId="0" applyBorder="1" xfId="54"/>
    <xf numFmtId="172" applyNumberFormat="1" fontId="1" applyFont="1" fillId="0" applyFill="1" borderId="0" applyBorder="1" xfId="55"/>
    <xf numFmtId="0" applyNumberFormat="1" fontId="5" applyFont="1" fillId="0" applyFill="1" borderId="1" applyBorder="1" xfId="56">
      <alignment horizontal="left" vertical="center"/>
    </xf>
    <xf numFmtId="0" applyNumberFormat="1" fontId="5" applyFont="1" fillId="0" applyFill="1" borderId="2" applyBorder="1" xfId="57">
      <alignment horizontal="left" vertical="center"/>
    </xf>
    <xf numFmtId="0" applyNumberFormat="1" fontId="19" applyFont="1" fillId="0" applyFill="1" borderId="0" applyBorder="1" xfId="58">
      <alignment vertical="top"/>
      <protection locked="0"/>
    </xf>
    <xf numFmtId="0" applyNumberFormat="1" fontId="6" applyFont="1" fillId="0" applyFill="1" borderId="0" applyBorder="1" xfId="59">
      <alignment vertical="top"/>
      <protection locked="0"/>
    </xf>
    <xf numFmtId="43" applyNumberFormat="1" fontId="4" applyFont="1" fillId="0" applyFill="1" borderId="0" applyBorder="1" xfId="60"/>
    <xf numFmtId="0" applyNumberFormat="1" fontId="7" applyFont="1" fillId="0" applyFill="1" borderId="0" applyBorder="1" xfId="61"/>
    <xf numFmtId="0" applyNumberFormat="1" fontId="1" applyFont="1" fillId="0" applyFill="1" borderId="0" applyBorder="1" xfId="62"/>
    <xf numFmtId="0" applyNumberFormat="1" fontId="1" applyFont="1" fillId="0" applyFill="1" borderId="0" applyBorder="1" xfId="63"/>
    <xf numFmtId="0" applyNumberFormat="1" fontId="1" applyFont="1" fillId="0" applyFill="1" borderId="0" applyBorder="1" xfId="64"/>
    <xf numFmtId="168" applyNumberFormat="1" fontId="1" applyFont="1" fillId="0" applyFill="1" borderId="0" applyBorder="1" xfId="65"/>
    <xf numFmtId="0" applyNumberFormat="1" fontId="3" applyFont="1" fillId="0" applyFill="1" borderId="0" applyBorder="1" xfId="66"/>
    <xf numFmtId="0" applyNumberFormat="1" fontId="18" applyFont="1" fillId="0" applyFill="1" borderId="0" applyBorder="1" xfId="67"/>
    <xf numFmtId="173" applyNumberFormat="1" fontId="18" applyFont="1" fillId="0" applyFill="1" borderId="0" applyBorder="1" xfId="68"/>
    <xf numFmtId="168" applyNumberFormat="1" fontId="1" applyFont="1" fillId="0" applyFill="1" borderId="0" applyBorder="1" xfId="69"/>
    <xf numFmtId="0" applyNumberFormat="1" fontId="1" applyFont="1" fillId="0" applyFill="1" borderId="0" applyBorder="1" xfId="70"/>
    <xf numFmtId="0" applyNumberFormat="1" fontId="3" applyFont="1" fillId="0" applyFill="1" borderId="0" applyBorder="1" xfId="71"/>
    <xf numFmtId="0" applyNumberFormat="1" fontId="1" applyFont="1" fillId="0" applyFill="1" borderId="0" applyBorder="1" xfId="72"/>
    <xf numFmtId="168" applyNumberFormat="1" fontId="18" applyFont="1" fillId="0" applyFill="1" borderId="0" applyBorder="1" xfId="73"/>
    <xf numFmtId="168" applyNumberFormat="1" fontId="3" applyFont="1" fillId="0" applyFill="1" borderId="0" applyBorder="1" xfId="74"/>
    <xf numFmtId="0" applyNumberFormat="1" fontId="1" applyFont="1" fillId="0" applyFill="1" borderId="0" applyBorder="1" xfId="75"/>
    <xf numFmtId="0" applyNumberFormat="1" fontId="18" applyFont="1" fillId="0" applyFill="1" borderId="0" applyBorder="1" xfId="76"/>
    <xf numFmtId="0" applyNumberFormat="1" fontId="1" applyFont="1" fillId="0" applyFill="1" borderId="0" applyBorder="1" xfId="77"/>
    <xf numFmtId="168" applyNumberFormat="1" fontId="18" applyFont="1" fillId="0" applyFill="1" borderId="0" applyBorder="1" xfId="78"/>
    <xf numFmtId="0" applyNumberFormat="1" fontId="1" applyFont="1" fillId="0" applyFill="1" borderId="0" applyBorder="1" xfId="79"/>
    <xf numFmtId="0" applyNumberFormat="1" fontId="1" applyFont="1" fillId="0" applyFill="1" borderId="0" applyBorder="1" xfId="80"/>
    <xf numFmtId="168" applyNumberFormat="1" fontId="4" applyFont="1" fillId="0" applyFill="1" borderId="0" applyBorder="1" xfId="81"/>
    <xf numFmtId="0" applyNumberFormat="1" fontId="18" applyFont="1" fillId="0" applyFill="1" borderId="0" applyBorder="1" xfId="82"/>
    <xf numFmtId="0" applyNumberFormat="1" fontId="1" applyFont="1" fillId="0" applyFill="1" borderId="0" applyBorder="1" xfId="83"/>
    <xf numFmtId="168" applyNumberFormat="1" fontId="1" applyFont="1" fillId="0" applyFill="1" borderId="0" applyBorder="1" xfId="84"/>
    <xf numFmtId="168" applyNumberFormat="1" fontId="1" applyFont="1" fillId="0" applyFill="1" borderId="0" applyBorder="1" xfId="85"/>
    <xf numFmtId="0" applyNumberFormat="1" fontId="16" applyFont="1" fillId="0" applyFill="1" borderId="0" applyBorder="1" xfId="86"/>
    <xf numFmtId="0" applyNumberFormat="1" fontId="16" applyFont="1" fillId="0" applyFill="1" borderId="0" applyBorder="1" xfId="87"/>
    <xf numFmtId="0" applyNumberFormat="1" fontId="17" applyFont="1" fillId="0" applyFill="1" borderId="0" applyBorder="1" xfId="88">
      <alignment vertical="center"/>
    </xf>
    <xf numFmtId="40" applyNumberFormat="1" fontId="8" applyFont="1" fillId="0" applyFill="1" borderId="0" applyBorder="1" xfId="89"/>
    <xf numFmtId="38" applyNumberFormat="1" fontId="8" applyFont="1" fillId="0" applyFill="1" borderId="0" applyBorder="1" xfId="90"/>
    <xf numFmtId="0" applyNumberFormat="1" fontId="8" applyFont="1" fillId="0" applyFill="1" borderId="0" applyBorder="1" xfId="91"/>
    <xf numFmtId="0" applyNumberFormat="1" fontId="8" applyFont="1" fillId="0" applyFill="1" borderId="0" applyBorder="1" xfId="92"/>
    <xf numFmtId="9" applyNumberFormat="1" fontId="9" applyFont="1" fillId="0" applyFill="1" borderId="0" applyBorder="1" xfId="93"/>
    <xf numFmtId="0" applyNumberFormat="1" fontId="10" applyFont="1" fillId="0" applyFill="1" borderId="0" applyBorder="1" xfId="94"/>
    <xf numFmtId="174" applyNumberFormat="1" fontId="14" applyFont="1" fillId="0" applyFill="1" borderId="0" applyBorder="1" xfId="95"/>
    <xf numFmtId="175" applyNumberFormat="1" fontId="14" applyFont="1" fillId="0" applyFill="1" borderId="0" applyBorder="1" xfId="96"/>
    <xf numFmtId="176" applyNumberFormat="1" fontId="14" applyFont="1" fillId="0" applyFill="1" borderId="0" applyBorder="1" xfId="97"/>
    <xf numFmtId="170" applyNumberFormat="1" fontId="14" applyFont="1" fillId="0" applyFill="1" borderId="0" applyBorder="1" xfId="98"/>
    <xf numFmtId="0" applyNumberFormat="1" fontId="15" applyFont="1" fillId="0" applyFill="1" borderId="0" applyBorder="1" xfId="99"/>
    <xf numFmtId="0" applyNumberFormat="1" fontId="11" applyFont="1" fillId="0" applyFill="1" borderId="0" applyBorder="1" xfId="100"/>
    <xf numFmtId="164" applyNumberFormat="1" fontId="12" applyFont="1" fillId="0" applyFill="1" borderId="0" applyBorder="1" xfId="101"/>
    <xf numFmtId="40" applyNumberFormat="1" fontId="13" applyFont="1" fillId="0" applyFill="1" borderId="0" applyBorder="1" xfId="102"/>
    <xf numFmtId="0" applyNumberFormat="1" fontId="1" applyFont="1" fillId="0" applyFill="1" borderId="0" applyBorder="1" xfId="103"/>
    <xf numFmtId="177" applyNumberFormat="1" fontId="12" applyFont="1" fillId="0" applyFill="1" borderId="0" applyBorder="1" xfId="104"/>
    <xf numFmtId="178" applyNumberFormat="1" fontId="13" applyFont="1" fillId="0" applyFill="1" borderId="0" applyBorder="1" xfId="105"/>
    <xf numFmtId="179" applyNumberFormat="1" fontId="12" applyFont="1" fillId="0" applyFill="1" borderId="0" applyBorder="1" xfId="106"/>
    <xf numFmtId="0" applyNumberFormat="1" fontId="20" applyFont="1" fillId="0" applyFill="1" borderId="0" applyBorder="1" xfId="0"/>
    <xf numFmtId="0" applyNumberFormat="1" fontId="20" applyFont="1" fillId="0" applyFill="1" borderId="0" applyBorder="1" xfId="0"/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vertical="center" wrapText="1" readingOrder="1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13" applyBorder="1" xfId="0">
      <alignment vertical="center" wrapText="1" readingOrder="1"/>
    </xf>
    <xf numFmtId="0" applyNumberFormat="1" fontId="21" applyFont="1" fillId="3" applyFill="1" borderId="2" applyBorder="1" xfId="0">
      <alignment vertical="center" wrapText="1" readingOrder="1"/>
    </xf>
    <xf numFmtId="0" applyNumberFormat="1" fontId="20" applyFont="1" fillId="0" applyFill="1" borderId="4" applyBorder="1" xfId="0"/>
    <xf numFmtId="0" applyNumberFormat="1" fontId="20" applyFont="1" fillId="0" applyFill="1" borderId="5" applyBorder="1" xfId="0"/>
    <xf numFmtId="0" applyNumberFormat="1" fontId="22" applyFont="1" fillId="0" applyFill="1" borderId="0" applyBorder="1" xfId="0"/>
    <xf numFmtId="0" applyNumberFormat="1" fontId="20" applyFont="1" fillId="0" applyFill="1" borderId="7" applyBorder="1" xfId="0"/>
    <xf numFmtId="0" applyNumberFormat="1" fontId="20" applyFont="1" fillId="0" applyFill="1" borderId="6" applyBorder="1" xfId="0"/>
    <xf numFmtId="0" applyNumberFormat="1" fontId="20" applyFont="1" fillId="0" applyFill="1" borderId="8" applyBorder="1" xfId="0"/>
    <xf numFmtId="0" applyNumberFormat="1" fontId="20" applyFont="1" fillId="0" applyFill="1" borderId="8" applyBorder="1" xfId="0">
      <alignment horizontal="right"/>
    </xf>
    <xf numFmtId="0" applyNumberFormat="1" fontId="20" applyFont="1" fillId="0" applyFill="1" borderId="9" applyBorder="1" xfId="0"/>
    <xf numFmtId="0" applyNumberFormat="1" fontId="20" applyFont="1" fillId="2" applyFill="1" borderId="0" applyBorder="1" xfId="0"/>
    <xf numFmtId="0" applyNumberFormat="1" fontId="21" applyFont="1" fillId="0" applyFill="1" borderId="3" applyBorder="1" xfId="0"/>
    <xf numFmtId="0" applyNumberFormat="1" fontId="21" applyFont="1" fillId="0" applyFill="1" borderId="4" applyBorder="1" xfId="0"/>
    <xf numFmtId="0" applyNumberFormat="1" fontId="20" applyFont="1" fillId="0" applyFill="1" borderId="10" applyBorder="1" xfId="0"/>
    <xf numFmtId="0" applyNumberFormat="1" fontId="20" applyFont="1" fillId="0" applyFill="1" borderId="8" applyBorder="1" xfId="0"/>
    <xf numFmtId="0" applyNumberFormat="1" fontId="20" applyFont="1" fillId="0" applyFill="1" borderId="0" applyBorder="1" xfId="0">
      <alignment horizontal="left"/>
    </xf>
    <xf numFmtId="0" applyNumberFormat="1" fontId="22" applyFont="1" fillId="0" applyFill="1" borderId="0" applyBorder="1" xfId="0">
      <alignment horizontal="left"/>
    </xf>
    <xf numFmtId="20" applyNumberFormat="1" fontId="20" applyFont="1" fillId="0" applyFill="1" borderId="8" applyBorder="1" xfId="0">
      <alignment horizontal="right"/>
    </xf>
    <xf numFmtId="0" applyNumberFormat="1" fontId="20" applyFont="1" fillId="3" applyFill="1" borderId="12" applyBorder="1" xfId="0">
      <alignment vertical="center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7" applyBorder="1" xfId="0">
      <alignment horizontal="left"/>
    </xf>
    <xf numFmtId="0" applyNumberFormat="1" fontId="20" applyFont="1" fillId="0" applyFill="1" borderId="2" applyBorder="1" xfId="0">
      <alignment horizontal="center"/>
    </xf>
    <xf numFmtId="0" applyNumberFormat="1" fontId="20" applyFont="1" fillId="0" applyFill="1" borderId="12" applyBorder="1" xfId="0">
      <alignment horizontal="center"/>
    </xf>
    <xf numFmtId="0" applyNumberFormat="1" fontId="21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center" vertical="center" wrapText="1" readingOrder="1"/>
    </xf>
    <xf numFmtId="0" applyNumberFormat="1" fontId="20" applyFont="1" fillId="0" applyFill="1" borderId="12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11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 vertical="center" wrapText="1" readingOrder="1"/>
    </xf>
    <xf numFmtId="0" applyNumberFormat="1" fontId="20" applyFont="1" fillId="0" applyFill="1" borderId="4" applyBorder="1" xfId="0">
      <alignment horizontal="center" vertical="center" wrapText="1" readingOrder="1"/>
    </xf>
    <xf numFmtId="0" applyNumberFormat="1" fontId="20" applyFont="1" fillId="0" applyFill="1" borderId="5" applyBorder="1" xfId="0">
      <alignment horizontal="center" vertical="center" wrapText="1" readingOrder="1"/>
    </xf>
    <xf numFmtId="0" applyNumberFormat="1" fontId="20" applyFont="1" fillId="0" applyFill="1" borderId="10" applyBorder="1" xfId="0">
      <alignment horizontal="center" vertical="center" wrapText="1" readingOrder="1"/>
    </xf>
    <xf numFmtId="0" applyNumberFormat="1" fontId="20" applyFont="1" fillId="0" applyFill="1" borderId="8" applyBorder="1" xfId="0">
      <alignment horizontal="center" vertical="center" wrapText="1" readingOrder="1"/>
    </xf>
    <xf numFmtId="0" applyNumberFormat="1" fontId="20" applyFont="1" fillId="0" applyFill="1" borderId="9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 vertical="center" wrapText="1" readingOrder="1"/>
    </xf>
    <xf numFmtId="0" applyNumberFormat="1" fontId="20" applyFont="1" fillId="2" applyFill="1" borderId="4" applyBorder="1" xfId="0">
      <alignment horizontal="center"/>
    </xf>
    <xf numFmtId="0" applyNumberFormat="1" fontId="20" applyFont="1" fillId="0" applyFill="1" borderId="0" applyBorder="1" xfId="0">
      <alignment horizontal="right" vertical="center" wrapText="1" readingOrder="1"/>
    </xf>
    <xf numFmtId="0" applyNumberFormat="1" fontId="22" applyFont="1" fillId="3" applyFill="1" borderId="2" applyBorder="1" xfId="0">
      <alignment horizontal="center" vertical="center"/>
    </xf>
    <xf numFmtId="0" applyNumberFormat="1" fontId="22" applyFont="1" fillId="3" applyFill="1" borderId="2" applyBorder="1" xfId="0">
      <alignment horizontal="left" vertical="center"/>
    </xf>
    <xf numFmtId="0" applyNumberFormat="1" fontId="22" applyFont="1" fillId="0" applyFill="1" borderId="0" applyBorder="1" xfId="0">
      <alignment horizontal="right"/>
    </xf>
    <xf numFmtId="0" applyNumberFormat="1" fontId="20" applyFont="1" fillId="0" applyFill="1" borderId="6" applyBorder="1" xfId="0">
      <alignment horizontal="left"/>
    </xf>
    <xf numFmtId="0" applyNumberFormat="1" fontId="21" applyFont="1" fillId="3" applyFill="1" borderId="2" applyBorder="1" xfId="0">
      <alignment horizontal="right" vertical="center" wrapText="1" readingOrder="1"/>
    </xf>
    <xf numFmtId="0" applyNumberFormat="1" fontId="22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 wrapText="1"/>
    </xf>
    <xf numFmtId="0" applyNumberFormat="1" fontId="21" applyFont="1" fillId="3" applyFill="1" borderId="2" applyBorder="1" xfId="0">
      <alignment horizontal="right" vertical="center"/>
    </xf>
    <xf numFmtId="0" applyNumberFormat="1" fontId="20" applyFont="1" fillId="0" applyFill="1" borderId="11" applyBorder="1" xfId="0">
      <alignment horizontal="center" wrapText="1"/>
    </xf>
    <xf numFmtId="0" applyNumberFormat="1" fontId="20" applyFont="1" fillId="2" applyFill="1" borderId="10" applyBorder="1" xfId="0">
      <alignment horizontal="center" vertical="center" wrapText="1" readingOrder="1"/>
    </xf>
    <xf numFmtId="0" applyNumberFormat="1" fontId="20" applyFont="1" fillId="2" applyFill="1" borderId="8" applyBorder="1" xfId="0">
      <alignment horizontal="center" vertical="center" wrapText="1" readingOrder="1"/>
    </xf>
    <xf numFmtId="0" applyNumberFormat="1" fontId="20" applyFont="1" fillId="2" applyFill="1" borderId="9" applyBorder="1" xfId="0">
      <alignment horizontal="center" vertical="center" wrapText="1" readingOrder="1"/>
    </xf>
    <xf numFmtId="0" applyNumberFormat="1" fontId="20" applyFont="1" fillId="2" applyFill="1" borderId="0" applyBorder="1" xfId="0">
      <alignment horizontal="center"/>
    </xf>
    <xf numFmtId="0" applyNumberFormat="1" fontId="21" applyFont="1" fillId="0" applyFill="1" borderId="8" applyBorder="1" xfId="0">
      <alignment horizontal="left" vertical="center" wrapText="1" readingOrder="1"/>
    </xf>
    <xf numFmtId="0" applyNumberFormat="1" fontId="20" applyFont="1" fillId="0" applyFill="1" borderId="6" applyBorder="1" xfId="0">
      <alignment horizontal="center"/>
    </xf>
    <xf numFmtId="0" applyNumberFormat="1" fontId="21" applyFont="1" fillId="3" applyFill="1" borderId="13" applyBorder="1" xfId="0">
      <alignment horizontal="left" vertical="center" wrapText="1" readingOrder="1"/>
    </xf>
    <xf numFmtId="0" applyNumberFormat="1" fontId="21" applyFont="1" fillId="3" applyFill="1" borderId="11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left" vertical="center"/>
    </xf>
    <xf numFmtId="0" applyNumberFormat="1" fontId="20" applyFont="1" fillId="0" applyFill="1" borderId="4" applyBorder="1" xfId="0">
      <alignment horizontal="left" vertical="center"/>
    </xf>
    <xf numFmtId="0" applyNumberFormat="1" fontId="20" applyFont="1" fillId="0" applyFill="1" borderId="5" applyBorder="1" xfId="0">
      <alignment horizontal="left" vertical="center"/>
    </xf>
    <xf numFmtId="0" applyNumberFormat="1" fontId="20" applyFont="1" fillId="0" applyFill="1" borderId="10" applyBorder="1" xfId="0">
      <alignment horizontal="left" vertical="center"/>
    </xf>
    <xf numFmtId="0" applyNumberFormat="1" fontId="20" applyFont="1" fillId="0" applyFill="1" borderId="8" applyBorder="1" xfId="0">
      <alignment horizontal="left" vertical="center"/>
    </xf>
    <xf numFmtId="0" applyNumberFormat="1" fontId="20" applyFont="1" fillId="0" applyFill="1" borderId="9" applyBorder="1" xfId="0">
      <alignment horizontal="left" vertical="center"/>
    </xf>
    <xf numFmtId="0" applyNumberFormat="1" fontId="21" applyFont="1" fillId="0" applyFill="1" borderId="3" applyBorder="1" xfId="0">
      <alignment horizontal="left" vertical="center" wrapText="1"/>
    </xf>
    <xf numFmtId="0" applyNumberFormat="1" fontId="21" applyFont="1" fillId="0" applyFill="1" borderId="4" applyBorder="1" xfId="0">
      <alignment horizontal="left" vertical="center" wrapText="1"/>
    </xf>
    <xf numFmtId="0" applyNumberFormat="1" fontId="21" applyFont="1" fillId="0" applyFill="1" borderId="5" applyBorder="1" xfId="0">
      <alignment horizontal="left" vertical="center" wrapText="1"/>
    </xf>
    <xf numFmtId="0" applyNumberFormat="1" fontId="21" applyFont="1" fillId="0" applyFill="1" borderId="10" applyBorder="1" xfId="0">
      <alignment horizontal="left" vertical="center" wrapText="1"/>
    </xf>
    <xf numFmtId="0" applyNumberFormat="1" fontId="21" applyFont="1" fillId="0" applyFill="1" borderId="8" applyBorder="1" xfId="0">
      <alignment horizontal="left" vertical="center" wrapText="1"/>
    </xf>
    <xf numFmtId="0" applyNumberFormat="1" fontId="21" applyFont="1" fillId="0" applyFill="1" borderId="9" applyBorder="1" xfId="0">
      <alignment horizontal="left" vertical="center" wrapText="1"/>
    </xf>
    <xf numFmtId="0" applyNumberFormat="1" fontId="20" applyFont="1" fillId="0" applyFill="1" borderId="1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/>
    </xf>
    <xf numFmtId="0" applyNumberFormat="1" fontId="20" applyFont="1" fillId="0" applyFill="1" borderId="5" applyBorder="1" xfId="0">
      <alignment horizontal="center"/>
    </xf>
    <xf numFmtId="0" applyNumberFormat="1" fontId="20" applyFont="1" fillId="2" applyFill="1" borderId="11" applyBorder="1" xfId="0">
      <alignment horizontal="center" vertical="center" wrapText="1" readingOrder="1"/>
    </xf>
    <xf numFmtId="0" applyNumberFormat="1" fontId="20" applyFont="1" fillId="2" applyFill="1" borderId="2" applyBorder="1" xfId="0">
      <alignment horizontal="center" vertical="center" wrapText="1" readingOrder="1"/>
    </xf>
    <xf numFmtId="0" applyNumberFormat="1" fontId="20" applyFont="1" fillId="2" applyFill="1" borderId="12" applyBorder="1" xfId="0">
      <alignment horizontal="center" vertical="center" wrapText="1" readingOrder="1"/>
    </xf>
    <xf numFmtId="0" applyNumberFormat="1" fontId="20" applyFont="1" fillId="0" applyFill="1" borderId="4" applyBorder="1" xfId="0">
      <alignment horizontal="center"/>
    </xf>
    <xf numFmtId="0" applyNumberFormat="1" fontId="20" applyFont="1" fillId="0" applyFill="1" borderId="7" applyBorder="1" xfId="0">
      <alignment horizontal="center"/>
    </xf>
    <xf numFmtId="0" applyNumberFormat="1" fontId="20" applyFont="1" fillId="0" applyFill="1" borderId="10" applyBorder="1" xfId="0">
      <alignment horizontal="center"/>
    </xf>
    <xf numFmtId="0" applyNumberFormat="1" fontId="20" applyFont="1" fillId="0" applyFill="1" borderId="8" applyBorder="1" xfId="0">
      <alignment horizontal="center"/>
    </xf>
    <xf numFmtId="0" applyNumberFormat="1" fontId="20" applyFont="1" fillId="0" applyFill="1" borderId="9" applyBorder="1" xfId="0">
      <alignment horizontal="center"/>
    </xf>
    <xf numFmtId="0" applyNumberFormat="1" fontId="20" applyFont="1" fillId="0" applyFill="1" borderId="11" applyBorder="1" xfId="0">
      <alignment horizontal="left"/>
    </xf>
    <xf numFmtId="0" applyNumberFormat="1" fontId="20" applyFont="1" fillId="0" applyFill="1" borderId="2" applyBorder="1" xfId="0">
      <alignment horizontal="left"/>
    </xf>
    <xf numFmtId="0" applyNumberFormat="1" fontId="21" applyFont="1" fillId="0" applyFill="1" borderId="13" applyBorder="1" xfId="0">
      <alignment horizontal="center" vertical="center" wrapText="1"/>
    </xf>
    <xf numFmtId="0" applyNumberFormat="1" fontId="21" applyFont="1" fillId="0" applyFill="1" borderId="6" applyBorder="1" xfId="0">
      <alignment horizontal="left" vertical="center"/>
    </xf>
    <xf numFmtId="0" applyNumberFormat="1" fontId="21" applyFont="1" fillId="0" applyFill="1" borderId="0" applyBorder="1" xfId="0">
      <alignment horizontal="left" vertical="center"/>
    </xf>
    <xf numFmtId="0" applyNumberFormat="1" fontId="21" applyFont="1" fillId="0" applyFill="1" borderId="7" applyBorder="1" xfId="0">
      <alignment horizontal="left" vertical="center"/>
    </xf>
    <xf numFmtId="0" applyNumberFormat="1" fontId="21" applyFont="1" fillId="0" applyFill="1" borderId="3" applyBorder="1" xfId="0">
      <alignment horizontal="left" vertical="center"/>
    </xf>
    <xf numFmtId="0" applyNumberFormat="1" fontId="21" applyFont="1" fillId="0" applyFill="1" borderId="4" applyBorder="1" xfId="0">
      <alignment horizontal="left" vertical="center"/>
    </xf>
    <xf numFmtId="0" applyNumberFormat="1" fontId="21" applyFont="1" fillId="0" applyFill="1" borderId="5" applyBorder="1" xfId="0">
      <alignment horizontal="left" vertical="center"/>
    </xf>
    <xf numFmtId="0" applyNumberFormat="1" fontId="21" applyFont="1" fillId="0" applyFill="1" borderId="10" applyBorder="1" xfId="0">
      <alignment horizontal="left" vertical="center"/>
    </xf>
    <xf numFmtId="0" applyNumberFormat="1" fontId="21" applyFont="1" fillId="0" applyFill="1" borderId="8" applyBorder="1" xfId="0">
      <alignment horizontal="left" vertical="center"/>
    </xf>
    <xf numFmtId="0" applyNumberFormat="1" fontId="21" applyFont="1" fillId="0" applyFill="1" borderId="9" applyBorder="1" xfId="0">
      <alignment horizontal="left" vertical="center"/>
    </xf>
    <xf numFmtId="20" applyNumberFormat="1" fontId="20" applyFont="1" fillId="0" applyFill="1" borderId="8" applyBorder="1" xfId="0">
      <alignment horizontal="right"/>
    </xf>
  </cellXfs>
  <cellStyles count="107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Standaard 2" xfId="81"/>
    <cellStyle name="Standaard 2 2" xfId="82"/>
    <cellStyle name="Standaard 3" xfId="83"/>
    <cellStyle name="Stijl 1" xfId="84"/>
    <cellStyle name="Style 1" xfId="85"/>
    <cellStyle name=" [0.00]_ Att. 1- Cover" xfId="86"/>
    <cellStyle name="_ Att. 1- Cover" xfId="87"/>
    <cellStyle name="?_ Att. 1- Cover" xfId="88"/>
    <cellStyle name="똿뗦먛귟 [0.00]_PRODUCT DETAIL Q1" xfId="89"/>
    <cellStyle name="똿뗦먛귟_PRODUCT DETAIL Q1" xfId="90"/>
    <cellStyle name="믅됞 [0.00]_PRODUCT DETAIL Q1" xfId="91"/>
    <cellStyle name="믅됞_PRODUCT DETAIL Q1" xfId="92"/>
    <cellStyle name="백분율_95" xfId="93"/>
    <cellStyle name="뷭?_BOOKSHIP" xfId="94"/>
    <cellStyle name="콤마 [0]_1202" xfId="95"/>
    <cellStyle name="콤마_1202" xfId="96"/>
    <cellStyle name="통화 [0]_1202" xfId="97"/>
    <cellStyle name="통화_1202" xfId="98"/>
    <cellStyle name="표준_(정보부문)월별인원계획" xfId="99"/>
    <cellStyle name="一般_99Q3647-ALL-CAS2" xfId="100"/>
    <cellStyle name="千分位[0]_Book1" xfId="101"/>
    <cellStyle name="千分位_99Q3647-ALL-CAS2" xfId="102"/>
    <cellStyle name="常规_Sheet1" xfId="103"/>
    <cellStyle name="貨幣 [0]_Book1" xfId="104"/>
    <cellStyle name="貨幣[0]_BRE" xfId="105"/>
    <cellStyle name="貨幣_Book1" xfId="1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95250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1" t="18933" r="22958" b="19535"/>
        <a:stretch/>
      </xdr:blipFill>
      <xdr:spPr>
        <a:xfrm>
          <a:off x="0" y="0"/>
          <a:ext cx="977348" cy="588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tabSelected="1" zoomScale="85" zoomScaleNormal="85" zoomScaleSheetLayoutView="115" workbookViewId="0">
      <selection activeCell="AA37" sqref="AA37"/>
    </sheetView>
  </sheetViews>
  <sheetFormatPr defaultRowHeight="12"/>
  <cols>
    <col min="1" max="1" width="4.28515625" customWidth="1" style="107"/>
    <col min="2" max="2" width="3.140625" customWidth="1" style="107"/>
    <col min="3" max="3" width="5.28515625" customWidth="1" style="107"/>
    <col min="4" max="4" width="2.5703125" customWidth="1" style="107"/>
    <col min="5" max="5" width="4.28515625" customWidth="1" style="107"/>
    <col min="6" max="6" width="2.28515625" customWidth="1" style="107"/>
    <col min="7" max="7" width="4.5703125" customWidth="1" style="107"/>
    <col min="8" max="8" width="13.28515625" customWidth="1" style="107"/>
    <col min="9" max="9" width="3.28515625" customWidth="1" style="107"/>
    <col min="10" max="10" width="4" customWidth="1" style="107"/>
    <col min="11" max="11" width="6.5703125" customWidth="1" style="107"/>
    <col min="12" max="12" width="3.5703125" customWidth="1" style="107"/>
    <col min="13" max="13" width="5.7109375" customWidth="1" style="107"/>
    <col min="14" max="14" width="3" customWidth="1" style="107"/>
    <col min="15" max="15" width="0.7109375" customWidth="1" style="107"/>
    <col min="16" max="16" width="6.42578125" customWidth="1" style="107"/>
    <col min="17" max="17" width="5" customWidth="1" style="107"/>
    <col min="18" max="18" width="5.5703125" customWidth="1" style="107"/>
    <col min="19" max="19" width="2" customWidth="1" style="107"/>
    <col min="20" max="20" width="1.85546875" customWidth="1" style="107"/>
    <col min="21" max="21" width="7.140625" customWidth="1" style="107"/>
    <col min="22" max="16384" width="9.140625" customWidth="1" style="107"/>
  </cols>
  <sheetData>
    <row r="1" ht="15" customHeight="1">
      <c r="A1" s="186"/>
      <c r="B1" s="191"/>
      <c r="C1" s="191"/>
      <c r="D1" s="187"/>
      <c r="E1" s="198" t="s">
        <v>64</v>
      </c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9" t="s">
        <v>65</v>
      </c>
      <c r="R1" s="200"/>
      <c r="S1" s="200"/>
      <c r="T1" s="200"/>
      <c r="U1" s="201"/>
    </row>
    <row r="2">
      <c r="A2" s="170"/>
      <c r="B2" s="144"/>
      <c r="C2" s="144"/>
      <c r="D2" s="192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9"/>
      <c r="R2" s="200"/>
      <c r="S2" s="200"/>
      <c r="T2" s="200"/>
      <c r="U2" s="201"/>
    </row>
    <row r="3">
      <c r="A3" s="170"/>
      <c r="B3" s="144"/>
      <c r="C3" s="144"/>
      <c r="D3" s="192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202" t="s">
        <v>66</v>
      </c>
      <c r="R3" s="203"/>
      <c r="S3" s="203"/>
      <c r="T3" s="203"/>
      <c r="U3" s="204"/>
    </row>
    <row r="4">
      <c r="A4" s="193"/>
      <c r="B4" s="194"/>
      <c r="C4" s="194"/>
      <c r="D4" s="195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205"/>
      <c r="R4" s="206"/>
      <c r="S4" s="206"/>
      <c r="T4" s="206"/>
      <c r="U4" s="207"/>
    </row>
    <row r="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</row>
    <row r="6">
      <c r="A6" s="196" t="s">
        <v>67</v>
      </c>
      <c r="B6" s="197"/>
      <c r="C6" s="197"/>
      <c r="D6" s="197"/>
      <c r="E6" s="197"/>
      <c r="F6" s="197"/>
      <c r="G6" s="136"/>
      <c r="H6" s="136"/>
      <c r="I6" s="136"/>
      <c r="J6" s="137"/>
      <c r="K6" s="196" t="s">
        <v>68</v>
      </c>
      <c r="L6" s="197"/>
      <c r="M6" s="197"/>
      <c r="N6" s="197"/>
      <c r="O6" s="197"/>
      <c r="P6" s="136"/>
      <c r="Q6" s="136"/>
      <c r="R6" s="136"/>
      <c r="S6" s="136"/>
      <c r="T6" s="136"/>
      <c r="U6" s="137"/>
      <c r="V6" s="109"/>
    </row>
    <row r="7">
      <c r="A7" s="196" t="s">
        <v>69</v>
      </c>
      <c r="B7" s="197"/>
      <c r="C7" s="197"/>
      <c r="D7" s="197"/>
      <c r="E7" s="197"/>
      <c r="F7" s="136"/>
      <c r="G7" s="136"/>
      <c r="H7" s="136"/>
      <c r="I7" s="136"/>
      <c r="J7" s="137"/>
      <c r="K7" s="196" t="s">
        <v>70</v>
      </c>
      <c r="L7" s="197"/>
      <c r="M7" s="197"/>
      <c r="N7" s="197"/>
      <c r="O7" s="197"/>
      <c r="P7" s="136"/>
      <c r="Q7" s="136"/>
      <c r="R7" s="136"/>
      <c r="S7" s="136"/>
      <c r="T7" s="136"/>
      <c r="U7" s="137"/>
      <c r="V7" s="109"/>
    </row>
    <row r="8">
      <c r="A8" s="196" t="s">
        <v>71</v>
      </c>
      <c r="B8" s="197"/>
      <c r="C8" s="197"/>
      <c r="D8" s="197"/>
      <c r="E8" s="197"/>
      <c r="F8" s="136"/>
      <c r="G8" s="136"/>
      <c r="H8" s="136"/>
      <c r="I8" s="136"/>
      <c r="J8" s="137"/>
      <c r="K8" s="196" t="s">
        <v>72</v>
      </c>
      <c r="L8" s="197"/>
      <c r="M8" s="197"/>
      <c r="N8" s="197"/>
      <c r="O8" s="197"/>
      <c r="P8" s="197"/>
      <c r="Q8" s="136"/>
      <c r="R8" s="136"/>
      <c r="S8" s="136"/>
      <c r="T8" s="136"/>
      <c r="U8" s="137"/>
      <c r="V8" s="109"/>
    </row>
    <row r="9">
      <c r="A9" s="196" t="s">
        <v>73</v>
      </c>
      <c r="B9" s="197"/>
      <c r="C9" s="197"/>
      <c r="D9" s="197"/>
      <c r="E9" s="197"/>
      <c r="F9" s="136"/>
      <c r="G9" s="136"/>
      <c r="H9" s="136"/>
      <c r="I9" s="136"/>
      <c r="J9" s="137"/>
      <c r="K9" s="196" t="s">
        <v>74</v>
      </c>
      <c r="L9" s="197"/>
      <c r="M9" s="197"/>
      <c r="N9" s="197"/>
      <c r="O9" s="197"/>
      <c r="P9" s="136"/>
      <c r="Q9" s="136"/>
      <c r="R9" s="136"/>
      <c r="S9" s="136"/>
      <c r="T9" s="136"/>
      <c r="U9" s="137"/>
    </row>
    <row r="10">
      <c r="A10" s="196" t="s">
        <v>75</v>
      </c>
      <c r="B10" s="197"/>
      <c r="C10" s="197"/>
      <c r="D10" s="197"/>
      <c r="E10" s="197"/>
      <c r="F10" s="191"/>
      <c r="G10" s="191"/>
      <c r="H10" s="191"/>
      <c r="I10" s="191"/>
      <c r="J10" s="187"/>
      <c r="K10" s="196" t="s">
        <v>76</v>
      </c>
      <c r="L10" s="197"/>
      <c r="M10" s="197"/>
      <c r="N10" s="197"/>
      <c r="O10" s="197"/>
      <c r="P10" s="136"/>
      <c r="Q10" s="136"/>
      <c r="R10" s="136"/>
      <c r="S10" s="136"/>
      <c r="T10" s="136"/>
      <c r="U10" s="137"/>
    </row>
    <row r="11">
      <c r="A11" s="173" t="s">
        <v>77</v>
      </c>
      <c r="B11" s="174"/>
      <c r="C11" s="174"/>
      <c r="D11" s="174"/>
      <c r="E11" s="175"/>
      <c r="F11" s="179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1"/>
    </row>
    <row r="12">
      <c r="A12" s="176"/>
      <c r="B12" s="177"/>
      <c r="C12" s="177"/>
      <c r="D12" s="177"/>
      <c r="E12" s="178"/>
      <c r="F12" s="182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4"/>
    </row>
    <row r="1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</row>
    <row r="14" ht="14.45" customHeight="1">
      <c r="A14" s="145" t="s">
        <v>78</v>
      </c>
      <c r="B14" s="146"/>
      <c r="C14" s="146"/>
      <c r="D14" s="146"/>
      <c r="E14" s="146"/>
      <c r="F14" s="146"/>
      <c r="G14" s="146"/>
      <c r="H14" s="185"/>
      <c r="I14" s="145" t="s">
        <v>79</v>
      </c>
      <c r="J14" s="185"/>
      <c r="K14" s="142" t="s">
        <v>80</v>
      </c>
      <c r="L14" s="136"/>
      <c r="M14" s="136"/>
      <c r="N14" s="136"/>
      <c r="O14" s="136"/>
      <c r="P14" s="136"/>
      <c r="Q14" s="136"/>
      <c r="R14" s="136"/>
      <c r="S14" s="136"/>
      <c r="T14" s="136"/>
      <c r="U14" s="137"/>
    </row>
    <row r="15" ht="19.5" customHeight="1">
      <c r="A15" s="143"/>
      <c r="B15" s="143"/>
      <c r="C15" s="143"/>
      <c r="D15" s="143"/>
      <c r="E15" s="143"/>
      <c r="F15" s="143"/>
      <c r="G15" s="143"/>
      <c r="H15" s="143"/>
      <c r="I15" s="143"/>
      <c r="J15" s="143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</row>
    <row r="16">
      <c r="A16" s="145" t="s">
        <v>81</v>
      </c>
      <c r="B16" s="146"/>
      <c r="C16" s="146"/>
      <c r="D16" s="140"/>
      <c r="E16" s="140"/>
      <c r="F16" s="141"/>
      <c r="G16" s="111"/>
      <c r="H16" s="110"/>
      <c r="I16" s="110"/>
      <c r="J16" s="110"/>
    </row>
    <row r="17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</row>
    <row r="18">
      <c r="A18" s="147" t="s">
        <v>82</v>
      </c>
      <c r="B18" s="148"/>
      <c r="C18" s="148"/>
      <c r="D18" s="148"/>
      <c r="E18" s="149"/>
      <c r="F18" s="153" t="s">
        <v>83</v>
      </c>
      <c r="G18" s="140"/>
      <c r="H18" s="140"/>
      <c r="I18" s="140"/>
      <c r="J18" s="140"/>
      <c r="K18" s="140"/>
      <c r="L18" s="140"/>
      <c r="M18" s="141"/>
      <c r="N18" s="142" t="s">
        <v>84</v>
      </c>
      <c r="O18" s="136"/>
      <c r="P18" s="136"/>
      <c r="Q18" s="136"/>
      <c r="R18" s="136"/>
      <c r="S18" s="136"/>
      <c r="T18" s="136"/>
      <c r="U18" s="137"/>
    </row>
    <row r="19">
      <c r="A19" s="150"/>
      <c r="B19" s="151"/>
      <c r="C19" s="151"/>
      <c r="D19" s="151"/>
      <c r="E19" s="152"/>
      <c r="F19" s="153" t="s">
        <v>85</v>
      </c>
      <c r="G19" s="140"/>
      <c r="H19" s="140"/>
      <c r="I19" s="141"/>
      <c r="J19" s="153" t="s">
        <v>86</v>
      </c>
      <c r="K19" s="140"/>
      <c r="L19" s="140"/>
      <c r="M19" s="141"/>
      <c r="N19" s="153" t="s">
        <v>85</v>
      </c>
      <c r="O19" s="140"/>
      <c r="P19" s="140"/>
      <c r="Q19" s="141"/>
      <c r="R19" s="142" t="s">
        <v>86</v>
      </c>
      <c r="S19" s="136"/>
      <c r="T19" s="136"/>
      <c r="U19" s="137"/>
    </row>
    <row r="20">
      <c r="A20" s="153"/>
      <c r="B20" s="140"/>
      <c r="C20" s="140"/>
      <c r="D20" s="140"/>
      <c r="E20" s="141"/>
      <c r="F20" s="153"/>
      <c r="G20" s="140"/>
      <c r="H20" s="140"/>
      <c r="I20" s="141"/>
      <c r="J20" s="153"/>
      <c r="K20" s="140"/>
      <c r="L20" s="140"/>
      <c r="M20" s="141"/>
      <c r="N20" s="142"/>
      <c r="O20" s="136"/>
      <c r="P20" s="136"/>
      <c r="Q20" s="137"/>
      <c r="R20" s="142"/>
      <c r="S20" s="136"/>
      <c r="T20" s="136"/>
      <c r="U20" s="137"/>
    </row>
    <row r="21">
      <c r="A21" s="111"/>
      <c r="B21" s="111"/>
      <c r="C21" s="111"/>
      <c r="D21" s="111"/>
      <c r="E21" s="111"/>
      <c r="F21" s="111"/>
      <c r="G21" s="111"/>
      <c r="H21" s="111"/>
      <c r="I21" s="111"/>
      <c r="J21" s="111"/>
    </row>
    <row r="22" ht="16.9" customHeight="1">
      <c r="A22" s="138" t="s">
        <v>87</v>
      </c>
      <c r="B22" s="138"/>
      <c r="C22" s="138"/>
      <c r="D22" s="111"/>
      <c r="E22" s="111"/>
      <c r="F22" s="139" t="s">
        <v>88</v>
      </c>
      <c r="G22" s="139"/>
      <c r="H22" s="139"/>
      <c r="I22" s="139"/>
      <c r="J22" s="139"/>
      <c r="N22" s="108" t="s">
        <v>89</v>
      </c>
      <c r="O22" s="108"/>
      <c r="P22" s="108"/>
      <c r="Q22" s="108"/>
    </row>
    <row r="23">
      <c r="A23" s="111"/>
      <c r="B23" s="111"/>
      <c r="C23" s="111"/>
      <c r="D23" s="111"/>
      <c r="E23" s="111"/>
      <c r="F23" s="139"/>
      <c r="G23" s="139"/>
      <c r="H23" s="139"/>
      <c r="I23" s="139"/>
      <c r="J23" s="111"/>
      <c r="N23" s="134" t="s">
        <v>90</v>
      </c>
      <c r="O23" s="134"/>
      <c r="P23" s="134"/>
      <c r="Q23" s="108" t="s">
        <v>63</v>
      </c>
    </row>
    <row r="24">
      <c r="A24" s="138" t="s">
        <v>91</v>
      </c>
      <c r="B24" s="138"/>
      <c r="C24" s="138"/>
      <c r="D24" s="138"/>
      <c r="E24" s="138"/>
      <c r="F24" s="138"/>
      <c r="G24" s="138"/>
      <c r="H24" s="138"/>
      <c r="I24" s="138"/>
      <c r="J24" s="111"/>
    </row>
    <row r="25" ht="12" customHeight="1">
      <c r="A25" s="139" t="s">
        <v>92</v>
      </c>
      <c r="B25" s="139"/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</row>
    <row r="26">
      <c r="A26" s="139" t="s">
        <v>93</v>
      </c>
      <c r="B26" s="139"/>
      <c r="C26" s="139"/>
      <c r="D26" s="155" t="s">
        <v>94</v>
      </c>
      <c r="E26" s="155"/>
      <c r="F26" s="155"/>
      <c r="G26" s="144"/>
      <c r="H26" s="144"/>
      <c r="I26" s="112"/>
      <c r="J26" s="143" t="s">
        <v>95</v>
      </c>
      <c r="K26" s="143"/>
      <c r="L26" s="144"/>
      <c r="M26" s="144"/>
      <c r="N26" s="143" t="s">
        <v>96</v>
      </c>
      <c r="O26" s="143"/>
      <c r="P26" s="143"/>
      <c r="Q26" s="144"/>
      <c r="R26" s="144"/>
    </row>
    <row r="27" ht="12" customHeight="1">
      <c r="A27" s="139" t="s">
        <v>97</v>
      </c>
      <c r="B27" s="139"/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39"/>
      <c r="P27" s="139"/>
      <c r="Q27" s="139"/>
      <c r="R27" s="139"/>
      <c r="S27" s="139"/>
      <c r="T27" s="139"/>
      <c r="U27" s="139"/>
    </row>
    <row r="28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P28" s="108"/>
      <c r="Q28" s="108"/>
      <c r="R28" s="108"/>
      <c r="S28" s="108"/>
      <c r="T28" s="108"/>
      <c r="U28" s="108"/>
    </row>
    <row r="29">
      <c r="A29" s="145" t="s">
        <v>98</v>
      </c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85"/>
      <c r="P29" s="186" t="s">
        <v>99</v>
      </c>
      <c r="Q29" s="187"/>
      <c r="R29" s="186" t="s">
        <v>100</v>
      </c>
      <c r="S29" s="187"/>
      <c r="T29" s="186" t="s">
        <v>101</v>
      </c>
      <c r="U29" s="187"/>
    </row>
    <row r="30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54" t="s">
        <v>102</v>
      </c>
      <c r="L30" s="154"/>
      <c r="M30" s="154"/>
      <c r="N30" s="154"/>
      <c r="O30" s="123"/>
      <c r="P30" s="188">
        <v>0</v>
      </c>
      <c r="Q30" s="189"/>
      <c r="R30" s="188">
        <v>0</v>
      </c>
      <c r="S30" s="189"/>
      <c r="T30" s="188">
        <v>0</v>
      </c>
      <c r="U30" s="190"/>
    </row>
    <row r="31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68" t="s">
        <v>103</v>
      </c>
      <c r="L31" s="168"/>
      <c r="M31" s="168"/>
      <c r="N31" s="168"/>
      <c r="O31" s="123"/>
      <c r="P31" s="165"/>
      <c r="Q31" s="166"/>
      <c r="R31" s="165"/>
      <c r="S31" s="166"/>
      <c r="T31" s="165"/>
      <c r="U31" s="167"/>
    </row>
    <row r="32" ht="14.45" customHeight="1">
      <c r="A32" s="169" t="s">
        <v>104</v>
      </c>
      <c r="B32" s="169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</row>
    <row r="33">
      <c r="A33" s="113" t="s">
        <v>105</v>
      </c>
      <c r="B33" s="153" t="s">
        <v>106</v>
      </c>
      <c r="C33" s="140"/>
      <c r="D33" s="140"/>
      <c r="E33" s="140"/>
      <c r="F33" s="140"/>
      <c r="G33" s="141"/>
      <c r="H33" s="153" t="s">
        <v>107</v>
      </c>
      <c r="I33" s="141"/>
      <c r="J33" s="153" t="s">
        <v>108</v>
      </c>
      <c r="K33" s="140"/>
      <c r="L33" s="140"/>
      <c r="M33" s="141"/>
      <c r="N33" s="153" t="s">
        <v>109</v>
      </c>
      <c r="O33" s="140"/>
      <c r="P33" s="140"/>
      <c r="Q33" s="141"/>
      <c r="R33" s="164" t="s">
        <v>110</v>
      </c>
      <c r="S33" s="136"/>
      <c r="T33" s="136"/>
      <c r="U33" s="137"/>
    </row>
    <row r="34">
      <c r="A34" s="111"/>
      <c r="B34" s="111"/>
      <c r="C34" s="111"/>
      <c r="D34" s="111"/>
      <c r="E34" s="111"/>
      <c r="F34" s="111"/>
      <c r="G34" s="111"/>
      <c r="H34" s="111"/>
      <c r="I34" s="111"/>
      <c r="J34" s="111"/>
    </row>
    <row r="35" ht="16.5" customHeight="1">
      <c r="A35" s="171" t="s">
        <v>111</v>
      </c>
      <c r="B35" s="171"/>
      <c r="C35" s="171"/>
      <c r="D35" s="171"/>
      <c r="E35" s="171"/>
      <c r="F35" s="171"/>
      <c r="G35" s="171"/>
      <c r="H35" s="172"/>
      <c r="I35" s="160" t="s">
        <v>112</v>
      </c>
      <c r="J35" s="160"/>
      <c r="K35" s="156" t="str">
        <f>CHAR(168)</f>
        <v>¨</v>
      </c>
      <c r="L35" s="156"/>
      <c r="M35" s="114" t="s">
        <v>113</v>
      </c>
      <c r="N35" s="157" t="str">
        <f>CHAR(168)</f>
        <v>¨</v>
      </c>
      <c r="O35" s="157"/>
      <c r="P35" s="157"/>
      <c r="Q35" s="163" t="s">
        <v>114</v>
      </c>
      <c r="R35" s="163"/>
      <c r="S35" s="156" t="str">
        <f>CHAR(254)</f>
        <v>þ</v>
      </c>
      <c r="T35" s="156"/>
      <c r="U35" s="131"/>
    </row>
    <row r="36">
      <c r="A36" s="111"/>
      <c r="B36" s="111"/>
      <c r="C36" s="111"/>
      <c r="D36" s="111"/>
      <c r="E36" s="111"/>
      <c r="F36" s="111"/>
      <c r="G36" s="111"/>
      <c r="H36" s="111"/>
      <c r="I36" s="111"/>
      <c r="J36" s="111"/>
    </row>
    <row r="37">
      <c r="A37" s="111"/>
      <c r="B37" s="111"/>
      <c r="C37" s="111"/>
      <c r="D37" s="111"/>
      <c r="E37" s="111"/>
      <c r="F37" s="111"/>
      <c r="G37" s="111"/>
      <c r="H37" s="111"/>
      <c r="I37" s="111"/>
      <c r="J37" s="111"/>
    </row>
    <row r="38">
      <c r="A38" s="109"/>
      <c r="B38" s="109"/>
      <c r="C38" s="109"/>
      <c r="D38" s="109"/>
      <c r="E38" s="109"/>
      <c r="F38" s="109"/>
      <c r="G38" s="109"/>
      <c r="H38" s="109"/>
      <c r="I38" s="109"/>
      <c r="J38" s="109"/>
    </row>
    <row r="39">
      <c r="A39" s="109"/>
      <c r="B39" s="109"/>
      <c r="C39" s="109"/>
      <c r="D39" s="109"/>
      <c r="E39" s="109"/>
      <c r="F39" s="109"/>
      <c r="G39" s="109"/>
      <c r="H39" s="109"/>
      <c r="I39" s="109"/>
      <c r="J39" s="109"/>
    </row>
    <row r="40">
      <c r="A40" s="124" t="s">
        <v>115</v>
      </c>
      <c r="B40" s="12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6"/>
    </row>
    <row r="41">
      <c r="A41" s="159" t="s">
        <v>116</v>
      </c>
      <c r="B41" s="134"/>
      <c r="C41" s="134"/>
      <c r="D41" s="117"/>
      <c r="E41" s="158" t="str">
        <f>CHAR(168)</f>
        <v>¨</v>
      </c>
      <c r="F41" s="158"/>
      <c r="H41" s="108" t="s">
        <v>117</v>
      </c>
      <c r="I41" s="117"/>
      <c r="K41" s="161" t="str">
        <f>CHAR(168)</f>
        <v>¨</v>
      </c>
      <c r="L41" s="161"/>
      <c r="M41" s="134" t="s">
        <v>118</v>
      </c>
      <c r="N41" s="134"/>
      <c r="O41" s="134"/>
      <c r="P41" s="134"/>
      <c r="Q41" s="129" t="str">
        <f>CHAR(168)</f>
        <v>¨</v>
      </c>
      <c r="R41" s="134" t="s">
        <v>119</v>
      </c>
      <c r="S41" s="134"/>
      <c r="T41" s="134"/>
      <c r="U41" s="135"/>
    </row>
    <row r="42">
      <c r="A42" s="159" t="s">
        <v>120</v>
      </c>
      <c r="B42" s="134"/>
      <c r="C42" s="134"/>
      <c r="D42" s="117"/>
      <c r="E42" s="158" t="str">
        <f>CHAR(168)</f>
        <v>¨</v>
      </c>
      <c r="F42" s="158"/>
      <c r="H42" s="108" t="s">
        <v>121</v>
      </c>
      <c r="I42" s="117"/>
      <c r="K42" s="161" t="str">
        <f>CHAR(168)</f>
        <v>¨</v>
      </c>
      <c r="L42" s="161"/>
      <c r="M42" s="134" t="s">
        <v>122</v>
      </c>
      <c r="N42" s="134"/>
      <c r="O42" s="134"/>
      <c r="P42" s="134"/>
      <c r="Q42" s="128"/>
      <c r="U42" s="118"/>
    </row>
    <row r="43">
      <c r="A43" s="170"/>
      <c r="B43" s="144"/>
      <c r="D43" s="117"/>
      <c r="E43" s="158" t="str">
        <f>CHAR(168)</f>
        <v>¨</v>
      </c>
      <c r="F43" s="158"/>
      <c r="H43" s="108" t="s">
        <v>123</v>
      </c>
      <c r="I43" s="117"/>
      <c r="K43" s="161" t="str">
        <f>CHAR(168)</f>
        <v>¨</v>
      </c>
      <c r="L43" s="161"/>
      <c r="M43" s="134" t="s">
        <v>124</v>
      </c>
      <c r="N43" s="134"/>
      <c r="O43" s="134"/>
      <c r="P43" s="134"/>
      <c r="Q43" s="128"/>
      <c r="U43" s="118"/>
    </row>
    <row r="44">
      <c r="A44" s="159" t="s">
        <v>125</v>
      </c>
      <c r="B44" s="134"/>
      <c r="C44" s="134"/>
      <c r="D44" s="117"/>
      <c r="E44" s="158" t="str">
        <f>CHAR(168)</f>
        <v>¨</v>
      </c>
      <c r="F44" s="158"/>
      <c r="H44" s="108" t="s">
        <v>126</v>
      </c>
      <c r="I44" s="117"/>
      <c r="K44" s="161" t="str">
        <f>CHAR(168)</f>
        <v>¨</v>
      </c>
      <c r="L44" s="161"/>
      <c r="M44" s="134" t="s">
        <v>127</v>
      </c>
      <c r="N44" s="134"/>
      <c r="O44" s="134"/>
      <c r="P44" s="134"/>
      <c r="Q44" s="128"/>
      <c r="U44" s="118"/>
    </row>
    <row r="45" ht="12" customHeight="1">
      <c r="A45" s="159" t="s">
        <v>128</v>
      </c>
      <c r="B45" s="134"/>
      <c r="C45" s="134"/>
      <c r="D45" s="134"/>
      <c r="E45" s="158" t="str">
        <f>CHAR(168)</f>
        <v>¨</v>
      </c>
      <c r="F45" s="158"/>
      <c r="H45" s="108" t="s">
        <v>129</v>
      </c>
      <c r="I45" s="117"/>
      <c r="K45" s="161" t="str">
        <f>CHAR(168)</f>
        <v>¨</v>
      </c>
      <c r="L45" s="161"/>
      <c r="M45" s="162" t="s">
        <v>130</v>
      </c>
      <c r="N45" s="162"/>
      <c r="O45" s="162"/>
      <c r="P45" s="162"/>
      <c r="Q45" s="128"/>
      <c r="U45" s="118"/>
    </row>
    <row r="46">
      <c r="A46" s="119"/>
      <c r="U46" s="118"/>
    </row>
    <row r="47" ht="13.5" customHeight="1">
      <c r="A47" s="126" t="s">
        <v>131</v>
      </c>
      <c r="B47" s="127"/>
      <c r="C47" s="120"/>
      <c r="D47" s="121"/>
      <c r="E47" s="120"/>
      <c r="F47" s="120"/>
      <c r="G47" s="132" t="s">
        <v>132</v>
      </c>
      <c r="H47" s="121" t="s">
        <v>133</v>
      </c>
      <c r="I47" s="208"/>
      <c r="J47" s="208"/>
      <c r="K47" s="132"/>
      <c r="L47" s="120" t="s">
        <v>134</v>
      </c>
      <c r="M47" s="130"/>
      <c r="N47" s="133"/>
      <c r="O47" s="133"/>
      <c r="P47" s="133"/>
      <c r="Q47" s="120"/>
      <c r="R47" s="120"/>
      <c r="S47" s="120"/>
      <c r="T47" s="120"/>
      <c r="U47" s="122"/>
    </row>
  </sheetData>
  <mergeCells>
    <mergeCell ref="K8:P8"/>
    <mergeCell ref="P9:U9"/>
    <mergeCell ref="A10:E10"/>
    <mergeCell ref="F10:J10"/>
    <mergeCell ref="K10:O10"/>
    <mergeCell ref="P10:U10"/>
    <mergeCell ref="R30:S30"/>
    <mergeCell ref="T30:U30"/>
    <mergeCell ref="N26:P26"/>
    <mergeCell ref="L26:M26"/>
    <mergeCell ref="Q26:R26"/>
    <mergeCell ref="G26:H26"/>
    <mergeCell ref="P29:Q29"/>
    <mergeCell ref="A1:D4"/>
    <mergeCell ref="K6:O6"/>
    <mergeCell ref="P6:U6"/>
    <mergeCell ref="E1:P4"/>
    <mergeCell ref="A7:E7"/>
    <mergeCell ref="F7:J7"/>
    <mergeCell ref="K7:O7"/>
    <mergeCell ref="P7:U7"/>
    <mergeCell ref="Q1:U2"/>
    <mergeCell ref="Q3:U4"/>
    <mergeCell ref="A6:F6"/>
    <mergeCell ref="G6:J6"/>
    <mergeCell ref="A8:E8"/>
    <mergeCell ref="F8:J8"/>
    <mergeCell ref="A9:E9"/>
    <mergeCell ref="F9:J9"/>
    <mergeCell ref="K9:O9"/>
    <mergeCell ref="A11:E12"/>
    <mergeCell ref="F11:U12"/>
    <mergeCell ref="A14:H14"/>
    <mergeCell ref="I14:J14"/>
    <mergeCell ref="K14:U14"/>
    <mergeCell ref="A20:E20"/>
    <mergeCell ref="F20:I20"/>
    <mergeCell ref="J20:M20"/>
    <mergeCell ref="N20:Q20"/>
    <mergeCell ref="N19:Q19"/>
    <mergeCell ref="R19:U19"/>
    <mergeCell ref="M45:P45"/>
    <mergeCell ref="Q35:R35"/>
    <mergeCell ref="R33:U33"/>
    <mergeCell ref="S35:T35"/>
    <mergeCell ref="P31:Q31"/>
    <mergeCell ref="R31:S31"/>
    <mergeCell ref="T31:U31"/>
    <mergeCell ref="K31:N31"/>
    <mergeCell ref="A32:U32"/>
    <mergeCell ref="A45:D45"/>
    <mergeCell ref="A43:B43"/>
    <mergeCell ref="A42:C42"/>
    <mergeCell ref="A41:C41"/>
    <mergeCell ref="B33:G33"/>
    <mergeCell ref="A35:H35"/>
    <mergeCell ref="A24:I24"/>
    <mergeCell ref="A26:C26"/>
    <mergeCell ref="F23:I23"/>
    <mergeCell ref="N33:Q33"/>
    <mergeCell ref="R29:S29"/>
    <mergeCell ref="T29:U29"/>
    <mergeCell ref="A29:O29"/>
    <mergeCell ref="P30:Q30"/>
    <mergeCell ref="E41:F41"/>
    <mergeCell ref="E42:F42"/>
    <mergeCell ref="E43:F43"/>
    <mergeCell ref="E44:F44"/>
    <mergeCell ref="E45:F45"/>
    <mergeCell ref="A44:C44"/>
    <mergeCell ref="H33:I33"/>
    <mergeCell ref="I35:J35"/>
    <mergeCell ref="J33:M33"/>
    <mergeCell ref="K42:L42"/>
    <mergeCell ref="K41:L41"/>
    <mergeCell ref="K43:L43"/>
    <mergeCell ref="K44:L44"/>
    <mergeCell ref="K45:L45"/>
    <mergeCell ref="M41:P41"/>
    <mergeCell ref="M43:P43"/>
    <mergeCell ref="M42:P42"/>
    <mergeCell ref="M44:P44"/>
    <mergeCell ref="I47:J47"/>
    <mergeCell ref="N47:P47"/>
    <mergeCell ref="R41:U41"/>
    <mergeCell ref="Q8:U8"/>
    <mergeCell ref="A22:C22"/>
    <mergeCell ref="F22:J22"/>
    <mergeCell ref="D16:F16"/>
    <mergeCell ref="R20:U20"/>
    <mergeCell ref="A15:J15"/>
    <mergeCell ref="K15:U15"/>
    <mergeCell ref="A16:C16"/>
    <mergeCell ref="A18:E19"/>
    <mergeCell ref="F18:M18"/>
    <mergeCell ref="N18:U18"/>
    <mergeCell ref="F19:I19"/>
    <mergeCell ref="J19:M19"/>
    <mergeCell ref="K30:N30"/>
    <mergeCell ref="N23:P23"/>
    <mergeCell ref="A25:M25"/>
    <mergeCell ref="A27:U27"/>
    <mergeCell ref="D26:F26"/>
    <mergeCell ref="J26:K26"/>
    <mergeCell ref="K35:L35"/>
    <mergeCell ref="N35:P35"/>
  </mergeCells>
  <pageMargins left="0.7" right="0.7" top="0.75" bottom="0.75" header="0.3" footer="0.3"/>
  <pageSetup orientation="portrait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"/>
  <sheetViews>
    <sheetView workbookViewId="0">
      <selection activeCell="I1" sqref="I1"/>
    </sheetView>
  </sheetViews>
  <sheetFormatPr defaultRowHeight="15"/>
  <sheetData>
    <row r="1">
      <c r="A1" s="0" t="s">
        <v>1</v>
      </c>
      <c r="B1" s="0" t="s">
        <v>18</v>
      </c>
      <c r="C1" s="0" t="s">
        <v>19</v>
      </c>
      <c r="D1" s="0" t="s">
        <v>20</v>
      </c>
      <c r="E1" s="0" t="s">
        <v>21</v>
      </c>
      <c r="F1" s="0" t="s">
        <v>22</v>
      </c>
      <c r="G1" s="0" t="s">
        <v>23</v>
      </c>
      <c r="H1" s="0" t="s">
        <v>24</v>
      </c>
      <c r="I1" s="0" t="s">
        <v>25</v>
      </c>
      <c r="J1" s="0" t="s">
        <v>26</v>
      </c>
      <c r="K1" s="0" t="s">
        <v>27</v>
      </c>
      <c r="L1" s="0" t="s">
        <v>28</v>
      </c>
      <c r="M1" s="0" t="s">
        <v>29</v>
      </c>
      <c r="N1" s="0" t="s">
        <v>30</v>
      </c>
      <c r="O1" s="0" t="s">
        <v>31</v>
      </c>
      <c r="P1" s="0" t="s">
        <v>32</v>
      </c>
      <c r="Q1" s="0" t="s">
        <v>33</v>
      </c>
      <c r="R1" s="0" t="s">
        <v>34</v>
      </c>
      <c r="S1" s="0" t="s">
        <v>35</v>
      </c>
      <c r="T1" s="0" t="s">
        <v>36</v>
      </c>
      <c r="U1" s="0" t="s">
        <v>37</v>
      </c>
      <c r="V1" s="0" t="s">
        <v>38</v>
      </c>
      <c r="W1" s="0" t="s">
        <v>39</v>
      </c>
      <c r="X1" s="0" t="s">
        <v>40</v>
      </c>
      <c r="Y1" s="0" t="s">
        <v>41</v>
      </c>
      <c r="Z1" s="0" t="s">
        <v>42</v>
      </c>
      <c r="AA1" s="0" t="s">
        <v>43</v>
      </c>
      <c r="AB1" s="0" t="s">
        <v>44</v>
      </c>
      <c r="AC1" s="0" t="s">
        <v>45</v>
      </c>
      <c r="AD1" s="0" t="s">
        <v>46</v>
      </c>
      <c r="AE1" s="0" t="s">
        <v>47</v>
      </c>
      <c r="AF1" s="0" t="s">
        <v>48</v>
      </c>
      <c r="AG1" s="0" t="s">
        <v>49</v>
      </c>
      <c r="AH1" s="0" t="s">
        <v>50</v>
      </c>
      <c r="AI1" s="0" t="s">
        <v>51</v>
      </c>
      <c r="AJ1" s="0" t="s">
        <v>52</v>
      </c>
      <c r="AK1" s="0" t="s">
        <v>53</v>
      </c>
      <c r="AL1" s="0" t="s">
        <v>54</v>
      </c>
    </row>
    <row r="2">
      <c r="A2" s="0">
        <v>1377</v>
      </c>
      <c r="B2" s="0" t="s">
        <v>55</v>
      </c>
      <c r="L2" s="0">
        <v>0</v>
      </c>
      <c r="M2" s="0">
        <v>2.5</v>
      </c>
      <c r="N2" s="0">
        <v>4</v>
      </c>
      <c r="Q2" s="0" t="s">
        <v>56</v>
      </c>
      <c r="R2" s="0" t="s">
        <v>57</v>
      </c>
      <c r="S2" s="0" t="s">
        <v>58</v>
      </c>
      <c r="T2" s="0" t="s">
        <v>59</v>
      </c>
      <c r="U2" s="0">
        <v>300</v>
      </c>
      <c r="V2" s="0" t="s">
        <v>60</v>
      </c>
      <c r="Y2" s="0" t="s">
        <v>61</v>
      </c>
      <c r="Z2" s="0" t="s">
        <v>62</v>
      </c>
      <c r="AL2" s="0" t="s">
        <v>63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1"/>
  <sheetViews>
    <sheetView workbookViewId="0"/>
  </sheetViews>
  <sheetFormatPr defaultRowHeight="15"/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</row>
    <row r="2">
      <c r="A2" s="0">
        <v>10662</v>
      </c>
      <c r="B2" s="0">
        <v>1377</v>
      </c>
      <c r="C2" s="0" t="s">
        <v>8</v>
      </c>
      <c r="H2" s="0">
        <v>10662</v>
      </c>
    </row>
    <row r="3">
      <c r="A3" s="0">
        <v>10663</v>
      </c>
      <c r="B3" s="0">
        <v>1377</v>
      </c>
      <c r="C3" s="0" t="s">
        <v>9</v>
      </c>
      <c r="H3" s="0">
        <v>10663</v>
      </c>
    </row>
    <row r="4">
      <c r="A4" s="0">
        <v>10664</v>
      </c>
      <c r="B4" s="0">
        <v>1377</v>
      </c>
      <c r="C4" s="0" t="s">
        <v>10</v>
      </c>
      <c r="H4" s="0">
        <v>10664</v>
      </c>
    </row>
    <row r="5">
      <c r="A5" s="0">
        <v>10665</v>
      </c>
      <c r="B5" s="0">
        <v>1377</v>
      </c>
      <c r="C5" s="0" t="s">
        <v>11</v>
      </c>
      <c r="H5" s="0">
        <v>10665</v>
      </c>
    </row>
    <row r="6">
      <c r="A6" s="0">
        <v>10666</v>
      </c>
      <c r="B6" s="0">
        <v>1377</v>
      </c>
      <c r="C6" s="0" t="s">
        <v>12</v>
      </c>
      <c r="H6" s="0">
        <v>10666</v>
      </c>
    </row>
    <row r="7">
      <c r="A7" s="0">
        <v>10667</v>
      </c>
      <c r="B7" s="0">
        <v>1377</v>
      </c>
      <c r="C7" s="0" t="s">
        <v>13</v>
      </c>
      <c r="H7" s="0">
        <v>10667</v>
      </c>
    </row>
    <row r="8">
      <c r="A8" s="0">
        <v>10668</v>
      </c>
      <c r="B8" s="0">
        <v>1377</v>
      </c>
      <c r="C8" s="0" t="s">
        <v>14</v>
      </c>
      <c r="H8" s="0">
        <v>10668</v>
      </c>
    </row>
    <row r="9">
      <c r="A9" s="0">
        <v>10669</v>
      </c>
      <c r="B9" s="0">
        <v>1377</v>
      </c>
      <c r="C9" s="0" t="s">
        <v>15</v>
      </c>
      <c r="H9" s="0">
        <v>10669</v>
      </c>
    </row>
    <row r="10">
      <c r="A10" s="0">
        <v>10670</v>
      </c>
      <c r="B10" s="0">
        <v>1377</v>
      </c>
      <c r="C10" s="0" t="s">
        <v>16</v>
      </c>
      <c r="H10" s="0">
        <v>10670</v>
      </c>
    </row>
    <row r="11">
      <c r="A11" s="0">
        <v>10671</v>
      </c>
      <c r="B11" s="0">
        <v>1377</v>
      </c>
      <c r="C11" s="0" t="s">
        <v>17</v>
      </c>
      <c r="H11" s="0">
        <v>10671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sheetViews>
    <sheetView workbookViewId="0"/>
  </sheetViews>
  <sheetFormatPr defaultRowHeight="15"/>
  <sheetData/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zoomScale="85" zoomScaleNormal="85" workbookViewId="0">
      <selection activeCell="P34" sqref="P34"/>
    </sheetView>
  </sheetViews>
  <sheetFormatPr defaultRowHeight="15"/>
  <sheetData>
    <row r="1">
      <c r="A1" s="0" t="s">
        <v>150</v>
      </c>
      <c r="B1" s="0" t="s">
        <v>1</v>
      </c>
      <c r="C1" s="0" t="s">
        <v>35</v>
      </c>
      <c r="D1" s="0" t="s">
        <v>151</v>
      </c>
      <c r="E1" s="0" t="s">
        <v>152</v>
      </c>
      <c r="F1" s="0" t="s">
        <v>153</v>
      </c>
    </row>
    <row r="2">
      <c r="A2" s="0">
        <v>5653</v>
      </c>
      <c r="B2" s="0">
        <v>1377</v>
      </c>
      <c r="C2" s="0" t="s">
        <v>37</v>
      </c>
    </row>
    <row r="3">
      <c r="A3" s="0">
        <v>5654</v>
      </c>
      <c r="B3" s="0">
        <v>1377</v>
      </c>
      <c r="C3" s="0" t="s">
        <v>154</v>
      </c>
    </row>
    <row r="4">
      <c r="A4" s="0">
        <v>5655</v>
      </c>
      <c r="B4" s="0">
        <v>1377</v>
      </c>
      <c r="C4" s="0" t="s">
        <v>155</v>
      </c>
    </row>
    <row r="5">
      <c r="A5" s="0">
        <v>5656</v>
      </c>
      <c r="B5" s="0">
        <v>1377</v>
      </c>
      <c r="C5" s="0" t="s">
        <v>156</v>
      </c>
    </row>
    <row r="6">
      <c r="A6" s="0">
        <v>5657</v>
      </c>
      <c r="B6" s="0">
        <v>1377</v>
      </c>
      <c r="C6" s="0" t="s">
        <v>157</v>
      </c>
    </row>
    <row r="7">
      <c r="A7" s="0">
        <v>5658</v>
      </c>
      <c r="B7" s="0">
        <v>1377</v>
      </c>
      <c r="C7" s="0" t="s">
        <v>158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workbookViewId="0"/>
  </sheetViews>
  <sheetFormatPr defaultRowHeight="15"/>
  <sheetData>
    <row r="1">
      <c r="A1" s="0" t="s">
        <v>135</v>
      </c>
      <c r="B1" s="0" t="s">
        <v>136</v>
      </c>
      <c r="C1" s="0" t="s">
        <v>137</v>
      </c>
      <c r="D1" s="0" t="s">
        <v>138</v>
      </c>
      <c r="E1" s="0" t="s">
        <v>139</v>
      </c>
      <c r="F1" s="0" t="s">
        <v>140</v>
      </c>
      <c r="G1" s="0" t="s">
        <v>141</v>
      </c>
      <c r="H1" s="0" t="s">
        <v>142</v>
      </c>
    </row>
    <row r="2">
      <c r="A2" s="0">
        <v>10198</v>
      </c>
      <c r="B2" s="0">
        <v>1377</v>
      </c>
      <c r="C2" s="0">
        <v>1</v>
      </c>
      <c r="E2" s="0" t="s">
        <v>117</v>
      </c>
      <c r="F2" s="0">
        <v>1</v>
      </c>
      <c r="G2" s="0" t="s">
        <v>143</v>
      </c>
    </row>
    <row r="3">
      <c r="A3" s="0">
        <v>10199</v>
      </c>
      <c r="B3" s="0">
        <v>1377</v>
      </c>
      <c r="C3" s="0">
        <v>2</v>
      </c>
      <c r="E3" s="0" t="s">
        <v>144</v>
      </c>
      <c r="F3" s="0">
        <v>1</v>
      </c>
      <c r="G3" s="0" t="s">
        <v>143</v>
      </c>
    </row>
    <row r="4">
      <c r="A4" s="0">
        <v>10200</v>
      </c>
      <c r="B4" s="0">
        <v>1377</v>
      </c>
      <c r="C4" s="0">
        <v>3</v>
      </c>
      <c r="E4" s="0" t="s">
        <v>145</v>
      </c>
      <c r="F4" s="0">
        <v>1</v>
      </c>
      <c r="G4" s="0" t="s">
        <v>143</v>
      </c>
    </row>
    <row r="5">
      <c r="A5" s="0">
        <v>10201</v>
      </c>
      <c r="B5" s="0">
        <v>1377</v>
      </c>
      <c r="C5" s="0">
        <v>4</v>
      </c>
      <c r="E5" s="0" t="s">
        <v>121</v>
      </c>
      <c r="F5" s="0">
        <v>2</v>
      </c>
      <c r="G5" s="0" t="s">
        <v>146</v>
      </c>
    </row>
    <row r="6">
      <c r="A6" s="0">
        <v>10202</v>
      </c>
      <c r="B6" s="0">
        <v>1377</v>
      </c>
      <c r="C6" s="0">
        <v>5</v>
      </c>
      <c r="E6" s="0" t="s">
        <v>122</v>
      </c>
      <c r="F6" s="0">
        <v>2</v>
      </c>
      <c r="G6" s="0" t="s">
        <v>146</v>
      </c>
    </row>
    <row r="7">
      <c r="A7" s="0">
        <v>10203</v>
      </c>
      <c r="B7" s="0">
        <v>1377</v>
      </c>
      <c r="C7" s="0">
        <v>6</v>
      </c>
      <c r="E7" s="0" t="s">
        <v>123</v>
      </c>
      <c r="F7" s="0">
        <v>2</v>
      </c>
      <c r="G7" s="0" t="s">
        <v>146</v>
      </c>
    </row>
    <row r="8">
      <c r="A8" s="0">
        <v>10204</v>
      </c>
      <c r="B8" s="0">
        <v>1377</v>
      </c>
      <c r="C8" s="0">
        <v>7</v>
      </c>
      <c r="E8" s="0" t="s">
        <v>147</v>
      </c>
      <c r="F8" s="0">
        <v>2</v>
      </c>
      <c r="G8" s="0" t="s">
        <v>146</v>
      </c>
    </row>
    <row r="9">
      <c r="A9" s="0">
        <v>10205</v>
      </c>
      <c r="B9" s="0">
        <v>1377</v>
      </c>
      <c r="C9" s="0">
        <v>8</v>
      </c>
      <c r="E9" s="0" t="s">
        <v>126</v>
      </c>
      <c r="F9" s="0">
        <v>3</v>
      </c>
      <c r="G9" s="0" t="s">
        <v>148</v>
      </c>
    </row>
    <row r="10">
      <c r="A10" s="0">
        <v>10206</v>
      </c>
      <c r="B10" s="0">
        <v>1377</v>
      </c>
      <c r="C10" s="0">
        <v>9</v>
      </c>
      <c r="E10" s="0" t="s">
        <v>127</v>
      </c>
      <c r="F10" s="0">
        <v>3</v>
      </c>
      <c r="G10" s="0" t="s">
        <v>148</v>
      </c>
    </row>
    <row r="11">
      <c r="A11" s="0">
        <v>10207</v>
      </c>
      <c r="B11" s="0">
        <v>1377</v>
      </c>
      <c r="C11" s="0">
        <v>10</v>
      </c>
      <c r="E11" s="0" t="s">
        <v>129</v>
      </c>
      <c r="F11" s="0">
        <v>4</v>
      </c>
      <c r="G11" s="0" t="s">
        <v>149</v>
      </c>
    </row>
    <row r="12">
      <c r="A12" s="0">
        <v>10208</v>
      </c>
      <c r="B12" s="0">
        <v>1377</v>
      </c>
      <c r="C12" s="0">
        <v>11</v>
      </c>
      <c r="E12" s="0" t="s">
        <v>130</v>
      </c>
      <c r="F12" s="0">
        <v>4</v>
      </c>
      <c r="G12" s="0" t="s">
        <v>149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QCReport</vt:lpstr>
      <vt:lpstr>QCReportDataView</vt:lpstr>
      <vt:lpstr>QCReportDefectDataView</vt:lpstr>
      <vt:lpstr>QCReportDetailDataView</vt:lpstr>
      <vt:lpstr>QCReportImageDataView</vt:lpstr>
      <vt:lpstr>QCReportSummaryDataView</vt:lpstr>
      <vt:lpstr>QCReportTestEnvironmentDataView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Hau Tran</cp:lastModifiedBy>
  <cp:lastPrinted>2013-09-23T07:46:54Z</cp:lastPrinted>
  <dcterms:created xsi:type="dcterms:W3CDTF">2010-07-30T10:46:36Z</dcterms:created>
  <dcterms:modified xsi:type="dcterms:W3CDTF">2020-01-08T02:16:34Z</dcterms:modified>
</cp:coreProperties>
</file>