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Data1" sheetId="2" r:id="rId1"/>
    <sheet name="Data2" sheetId="3" r:id="rId2"/>
    <sheet name="Data3" sheetId="4" r:id="rId3"/>
    <sheet name="template" sheetId="5" r:id="rId4"/>
  </sheets>
  <functionGroups builtInGroupCount="18"/>
  <definedNames>
    <definedName name="_xlnm._FilterDatabase" localSheetId="3" hidden="1">'template'!$A$6:$AV$6</definedName>
  </definedNames>
  <calcPr calcId="152511" fullCalcOnLoad="1"/>
</workbook>
</file>

<file path=xl/sharedStrings.xml><?xml version="1.0" encoding="utf-8"?>
<sst xmlns="http://schemas.openxmlformats.org/spreadsheetml/2006/main" count="236" uniqueCount="236">
  <si>
    <t>SAMPLE ORDER OVERVIEW</t>
  </si>
  <si>
    <t>#</t>
  </si>
  <si>
    <t>Image</t>
  </si>
  <si>
    <t>Client Code / Name</t>
  </si>
  <si>
    <t>Factory</t>
  </si>
  <si>
    <t>Sample Order</t>
  </si>
  <si>
    <t>Purpose</t>
  </si>
  <si>
    <t>Transport Type</t>
  </si>
  <si>
    <t>Destination</t>
  </si>
  <si>
    <t>Remark</t>
  </si>
  <si>
    <t>Hard Deadline</t>
  </si>
  <si>
    <t>Deadline</t>
  </si>
  <si>
    <t xml:space="preserve">QR
Code</t>
  </si>
  <si>
    <t>Code Sample</t>
  </si>
  <si>
    <t>Description</t>
  </si>
  <si>
    <t>Sample Qty</t>
  </si>
  <si>
    <t>Sub Factory</t>
  </si>
  <si>
    <t>Material Name</t>
  </si>
  <si>
    <t>Material Type Name</t>
  </si>
  <si>
    <t>Material Color Name</t>
  </si>
  <si>
    <t>Material 2 Name</t>
  </si>
  <si>
    <t>Material 2 Type Name</t>
  </si>
  <si>
    <t>Material 2 Color Name</t>
  </si>
  <si>
    <t>Material 3 Name</t>
  </si>
  <si>
    <t>Material 3 Type Name</t>
  </si>
  <si>
    <t>Material 3 Color Name</t>
  </si>
  <si>
    <t>Seat Cushion Name</t>
  </si>
  <si>
    <t>Back Cushion Name</t>
  </si>
  <si>
    <t>Cushion Color Name</t>
  </si>
  <si>
    <t>Over all Dimension</t>
  </si>
  <si>
    <t>TD</t>
  </si>
  <si>
    <t>Net Weight</t>
  </si>
  <si>
    <t>Gross Weight</t>
  </si>
  <si>
    <t>Load Ability</t>
  </si>
  <si>
    <t>Item/Box</t>
  </si>
  <si>
    <t>Box/Set</t>
  </si>
  <si>
    <t>Carton Box Dimension</t>
  </si>
  <si>
    <t>Status</t>
  </si>
  <si>
    <t xml:space="preserve">Sample progress 
/ 
Latest picture</t>
  </si>
  <si>
    <t>Intern Remark</t>
  </si>
  <si>
    <t>Adding Intern Remark</t>
  </si>
  <si>
    <t>QA / FAC Remark</t>
  </si>
  <si>
    <t xml:space="preserve"> Adding QA / FAC Remark</t>
  </si>
  <si>
    <t>L</t>
  </si>
  <si>
    <t>W</t>
  </si>
  <si>
    <t>H</t>
  </si>
  <si>
    <t>20DC</t>
  </si>
  <si>
    <t>40DC</t>
  </si>
  <si>
    <t>40HC</t>
  </si>
  <si>
    <t>SampleOrderID</t>
  </si>
  <si>
    <t>SampleOrderUD</t>
  </si>
  <si>
    <t>ClientUD</t>
  </si>
  <si>
    <t>00000607</t>
  </si>
  <si>
    <t>001263</t>
  </si>
  <si>
    <t>Season</t>
  </si>
  <si>
    <t>2020/2021</t>
  </si>
  <si>
    <t>SampleProductID</t>
  </si>
  <si>
    <t>ThumbnailLocation</t>
  </si>
  <si>
    <t>ClientNM</t>
  </si>
  <si>
    <t>HardDeadline</t>
  </si>
  <si>
    <t>SampleProductStatusNM</t>
  </si>
  <si>
    <t>ArticleDescription</t>
  </si>
  <si>
    <t>Quantity</t>
  </si>
  <si>
    <t>VNSuggestedFactoryUD</t>
  </si>
  <si>
    <t>SubFactory</t>
  </si>
  <si>
    <t>MaterialDescription</t>
  </si>
  <si>
    <t>MaterialTypeDescription</t>
  </si>
  <si>
    <t>MaterialColorDescription</t>
  </si>
  <si>
    <t>Material2Description</t>
  </si>
  <si>
    <t>Material2TypeDescription</t>
  </si>
  <si>
    <t>Material2ColorDescription</t>
  </si>
  <si>
    <t>Material3Description</t>
  </si>
  <si>
    <t>Material3TypeDescription</t>
  </si>
  <si>
    <t>Material3ColorDescription</t>
  </si>
  <si>
    <t>FrameMaterialDescription</t>
  </si>
  <si>
    <t>FrameMaterialColorDescription</t>
  </si>
  <si>
    <t>SubMaterialDescription</t>
  </si>
  <si>
    <t>SubMaterialColorDescription</t>
  </si>
  <si>
    <t>SeatCushionDescription</t>
  </si>
  <si>
    <t>BackCushionDescription</t>
  </si>
  <si>
    <t>CushionColorDescription</t>
  </si>
  <si>
    <t>SeatCushionSpecification</t>
  </si>
  <si>
    <t>BackCushionSpecification</t>
  </si>
  <si>
    <t>OverallDimL</t>
  </si>
  <si>
    <t>OverallDimW</t>
  </si>
  <si>
    <t>OverallDimH</t>
  </si>
  <si>
    <t>TechnicalDrawingStatusNM</t>
  </si>
  <si>
    <t>NetWeight</t>
  </si>
  <si>
    <t>GrossWeight</t>
  </si>
  <si>
    <t>LoadAbility20DC</t>
  </si>
  <si>
    <t>LoadAbility40DC</t>
  </si>
  <si>
    <t>LoadAbility40HC</t>
  </si>
  <si>
    <t>ItemPerBox</t>
  </si>
  <si>
    <t>BoxPerSet</t>
  </si>
  <si>
    <t>CartonBoxDimL</t>
  </si>
  <si>
    <t>CartonBoxDimW</t>
  </si>
  <si>
    <t>CartonBoxDimH</t>
  </si>
  <si>
    <t>LastMinuteTableRemark</t>
  </si>
  <si>
    <t>InternRemark</t>
  </si>
  <si>
    <t>LastProgressThumbnailLocation</t>
  </si>
  <si>
    <t>SampleOrderStatusID</t>
  </si>
  <si>
    <t>VNSuggestedFactoryID</t>
  </si>
  <si>
    <t>ClientID</t>
  </si>
  <si>
    <t>SampleProductStatusID</t>
  </si>
  <si>
    <t>CodeSample</t>
  </si>
  <si>
    <t>IndicatedPrice</t>
  </si>
  <si>
    <t>RowIndex</t>
  </si>
  <si>
    <t>Barcode</t>
  </si>
  <si>
    <t>SampleProductUD</t>
  </si>
  <si>
    <t>SampleOrderStatusNM</t>
  </si>
  <si>
    <t>PurposeNM</t>
  </si>
  <si>
    <t>TransportTypeNM</t>
  </si>
  <si>
    <t>9/23102019/a6abb97385dd4cb586857242d9ac0d5a.jpg</t>
  </si>
  <si>
    <t>Client B</t>
  </si>
  <si>
    <t>2019-10-30</t>
  </si>
  <si>
    <t>ISSUED</t>
  </si>
  <si>
    <t>DENVER DINING CHAIR ANTHRACITE - 278141</t>
  </si>
  <si>
    <t>PAL-01-VHM</t>
  </si>
  <si>
    <t>ROPE</t>
  </si>
  <si>
    <t>ROUND 4,5MM</t>
  </si>
  <si>
    <t>ANTHRACITE</t>
  </si>
  <si>
    <t>ALUMINIUM</t>
  </si>
  <si>
    <t>LIGHT BAMBOO</t>
  </si>
  <si>
    <t>STANDARD, WITH TIE</t>
  </si>
  <si>
    <t>NONE</t>
  </si>
  <si>
    <t>ROYAL ANTHRACITE 240</t>
  </si>
  <si>
    <t>NO NEED</t>
  </si>
  <si>
    <t xml:space="preserve">2. Ngo Duy Hung(28-10-2019 10:44:06)
PLEASE FIND HEREWITH TD
1. Ngo Duy Hung(15-10-2019 05:28:35)
PLEASE CHECK IF THE SEAT CAN BE MADE IN BRAIDED OUTDOOR 30MM, BUT THE OUTSIDE LOOK MUST BE IN ROPE (AS LILLE 1263 THIS YEAR) TO REDUCE PRICE
</t>
  </si>
  <si>
    <t>c/19112019/b5d0a6af1a4c41caadec08bf25f57030.jpg</t>
  </si>
  <si>
    <t>1 ISSUED- Code: 20191015/PAL/001263/00000607/001</t>
  </si>
  <si>
    <t>20191015/PAL/001263/00000607/001</t>
  </si>
  <si>
    <t>PENDING</t>
  </si>
  <si>
    <t>SHOWROOM VISIT</t>
  </si>
  <si>
    <t>AN VIET THINH SHOWROOM</t>
  </si>
  <si>
    <t>5/23102019/74a3ba96be5f43cba716b1bf1e303042.jpg</t>
  </si>
  <si>
    <t>DENVER DINING CHAIR TAUPE - 278143</t>
  </si>
  <si>
    <t>TAUPE</t>
  </si>
  <si>
    <t xml:space="preserve">OFF WHITE  240</t>
  </si>
  <si>
    <t xml:space="preserve">1. Ngo Duy Hung(15-10-2019 05:28:35)
PLEASE CHECK IF THE SEAT CAN BE MADE IN BRAIDED OUTDOOR 30MM, BUT THE OUTSIDE LOOK MUST BE IN ROPE (AS LILLE 1263 THIS YEAR) TO REDUCE PRICE
</t>
  </si>
  <si>
    <t>7/25102019/f4ba32a1bdb348069ba2f8e2d7a90923.jpg</t>
  </si>
  <si>
    <t>2 ISSUED- Code: 20191015/PAL/001263/00000607/002</t>
  </si>
  <si>
    <t>20191015/PAL/001263/00000607/002</t>
  </si>
  <si>
    <t>9/15102019/0ea70ee69c8a4ae7b9c8516c49dec3e1.jpg</t>
  </si>
  <si>
    <t>REIMS DINING CHAIR</t>
  </si>
  <si>
    <t>OVAL 30MM</t>
  </si>
  <si>
    <t>STANDARD</t>
  </si>
  <si>
    <t xml:space="preserve">3. Ngo Duy Hung(25-10-2019 09:38:10)
PLEASE MODIFY SO IT CAN BE STACKABLE
2. Ngo Duy Hung(24-10-2019 11:22:31)
PLEASE FIND HEREWITH TD
1. Ngo Duy Hung(15-10-2019 06:12:09)
1/ NO WEAVING ON FRONT SIDE OF ARM
</t>
  </si>
  <si>
    <t>8/22102019/a6fcf8d94bc74ea3b6687ab06375c13f.jpg</t>
  </si>
  <si>
    <t>3 ISSUED- Code: 20191015/PAL/001263/00000607/003</t>
  </si>
  <si>
    <t>20191015/PAL/001263/00000607/003</t>
  </si>
  <si>
    <t>0/15102019/70b51f3e5a6e4eb6b40d189cd8c125e1.jpg</t>
  </si>
  <si>
    <t>REIMS LOUNGE SET - 277191 &amp; 277193</t>
  </si>
  <si>
    <t xml:space="preserve">2. Ngo Duy Hung(24-10-2019 11:22:31)
PLEASE FIND HEREWITH TD
1. Ngo Duy Hung(15-10-2019 06:12:09)
1/ FRONT OF ARM WITHOUT WEAVING
2/ IS IT POSSIBLE TO MAKE THE SET STACKABLE ?
3/ SEATING IN BRAIDED OUTDOOR, BUT THE OUTSIDE LOOK MUST BE IN ROPE
</t>
  </si>
  <si>
    <t>7/22102019/400126171fc6473ea5db8bb304ecdf11.jpg</t>
  </si>
  <si>
    <t>4 ISSUED- Code: 20191015/PAL/001263/00000607/004</t>
  </si>
  <si>
    <t>20191015/PAL/001263/00000607/004</t>
  </si>
  <si>
    <t>6/15102019/4a77ea3bd6a34bc5ac0e8ad57eaf8716.jpg</t>
  </si>
  <si>
    <t>FINISHED</t>
  </si>
  <si>
    <t>MONTRACOL STACKING CHAIR - 277185</t>
  </si>
  <si>
    <t>BIG-07-VHU</t>
  </si>
  <si>
    <t>WOOD</t>
  </si>
  <si>
    <t>ACACIA</t>
  </si>
  <si>
    <t>LIGHT TEAK LOOK</t>
  </si>
  <si>
    <t>c/01112019/c6c5f4964686464691f017a0285e6f2d.jpg</t>
  </si>
  <si>
    <t>5 FINISHED- Code: 20191015/BIG/001263/00000607/005</t>
  </si>
  <si>
    <t>20191015/BIG/001263/00000607/005</t>
  </si>
  <si>
    <t>e/15102019/e5d535781a6e442eae4f0116fb5c1882.jpg</t>
  </si>
  <si>
    <t>MAUI LOUNGE SET - 312472 &amp; 312473</t>
  </si>
  <si>
    <t>WICKER BANANA LEAF</t>
  </si>
  <si>
    <t>MIXED LIGHT BROWN</t>
  </si>
  <si>
    <t xml:space="preserve">1. Ngo Duy Hung(15-10-2019 06:12:11)
SEATING IN BRADED OUTDOOR 30MM
</t>
  </si>
  <si>
    <t>6 ISSUED- Code: 20191015/PAL/001263/00000607/006</t>
  </si>
  <si>
    <t>20191015/PAL/001263/00000607/006</t>
  </si>
  <si>
    <t>b/25102019/cd72bd2967f243e5b9dcb0362796b07f.jpg</t>
  </si>
  <si>
    <t>MAUI CORNER SET - 277126</t>
  </si>
  <si>
    <t xml:space="preserve">2. Ngo Duy Hung(24-10-2019 11:22:31)
PLEASE FIND HEREWITH TD
1. Ngo Duy Hung(15-10-2019 06:12:11)
SEATING IN BRAIDED OUTDOOR 30MM
</t>
  </si>
  <si>
    <t>7 ISSUED- Code: 20191015/PAL/001263/00000607/007</t>
  </si>
  <si>
    <t>20191015/PAL/001263/00000607/007</t>
  </si>
  <si>
    <t>c/15102019/7ce2644285a94f019c12e3501dea2721.jpg</t>
  </si>
  <si>
    <t>LOS ANGELES CORNER SET 1263 - 278136</t>
  </si>
  <si>
    <t xml:space="preserve">1. Ngo Duy Hung(16-10-2019 06:01:01)
IS IT POSSIBLE TO MAKE ADDITIONAL WOOD ACACIA LIGHT TEAK LOOK LEG SET TO REPLACE THE ALU LEGS IN CASE CLIENT WOULD LIKE ANOTHER LEG OPTION
</t>
  </si>
  <si>
    <t>8 ISSUED- Code: 20191015/PAL/001263/00000607/008</t>
  </si>
  <si>
    <t>20191015/PAL/001263/00000607/008</t>
  </si>
  <si>
    <t>1/15102019/1c2f08450e7142f5a48a8c5813399b27.jpg</t>
  </si>
  <si>
    <t>EXTENDABLE TABLE - 278163</t>
  </si>
  <si>
    <t>ROS-02-VQN</t>
  </si>
  <si>
    <t>TEAK LOOK</t>
  </si>
  <si>
    <t xml:space="preserve">2. Ngo Duy Hung(24-10-2019 11:42:28)
PLEASE FIND HEREWITH TD
1. Ngo Duy Hung(15-10-2019 06:35:10)
1/ EXTENDABLE TABLE : 200 (EXTENDED 260) x 90 x 75 CM
2/ THICKNESS TOP &amp; LEG: 3.5CM
3/ ROUNDED TABLE CORNERS
</t>
  </si>
  <si>
    <t>9 ISSUED- Code: 20191015/ROS/001263/00000607/009</t>
  </si>
  <si>
    <t>20191015/ROS/001263/00000607/009</t>
  </si>
  <si>
    <t>3/15102019/70a2e627baba472b8b062bc865590b4b.jpg</t>
  </si>
  <si>
    <t>LOS ANGELES SUNLOUNGER - 278133</t>
  </si>
  <si>
    <t>TEC-40-VHM</t>
  </si>
  <si>
    <t>STANDARD WITH HEAD CUSHION</t>
  </si>
  <si>
    <t>ROYAL GREY 240</t>
  </si>
  <si>
    <t xml:space="preserve">3. Ngo Duy Hung(25-10-2019 09:46:57)
MAKE 1 MORE CUSHION SET IN OFF WHITE 240
2. Ngo Duy Hung(24-10-2019 11:42:28)
PLEASE FIND HEREWITH TD
1. Ngo Duy Hung(15-10-2019 06:44:32)
ADJUSTABLE BACK BUT SHOULD AVOID ACCIDENTAL FALL
CUSHION THICKNESS: 5CM
</t>
  </si>
  <si>
    <t>10 ISSUED- Code: 20191015/TEC/001263/00000607/010</t>
  </si>
  <si>
    <t>20191015/TEC/001263/00000607/010</t>
  </si>
  <si>
    <t>3/16102018/3cc8f9272fa0401486baf90699b74d82.jpg</t>
  </si>
  <si>
    <t>NESTING SIDE TABLES SET (3PCS)</t>
  </si>
  <si>
    <t>STEEL</t>
  </si>
  <si>
    <t>POWDER COATED</t>
  </si>
  <si>
    <t>BLACK</t>
  </si>
  <si>
    <t>11 ISSUED- Code: 20191015/AKI/001263/00000607/011</t>
  </si>
  <si>
    <t>20191015/AKI/001263/00000607/011</t>
  </si>
  <si>
    <t>4/15102019/51201a8a33984595bf86d598c765fc95.jpg</t>
  </si>
  <si>
    <t>HONOLULU LOUNGE CHAIR 1263 PORTIMAO WEAVE</t>
  </si>
  <si>
    <t>WICKER</t>
  </si>
  <si>
    <t>PORTIMAO WEAVE</t>
  </si>
  <si>
    <t>BLACK &amp; OFF WHITE</t>
  </si>
  <si>
    <t>1 PILLOW 50X50CM</t>
  </si>
  <si>
    <t xml:space="preserve">2. Ngo Duy Hung(24-10-2019 11:59:16)
PLEASE FIND HEREWITH TD
1. Ngo Duy Hung(15-10-2019 06:55:18)
1/ PILLOW WITH POINTED CORNERS AS THIS YEAR HONOLULU 1263
2/ INNER SEATING IN BRAIDED OUTDOOR 30MM
</t>
  </si>
  <si>
    <t>12 ISSUED- Code: 20191015/PAL/001263/00000607/012</t>
  </si>
  <si>
    <t>20191015/PAL/001263/00000607/012</t>
  </si>
  <si>
    <t>2/15102019/0d75b4081b1042aabd504d53b7e3017c.jpg</t>
  </si>
  <si>
    <t>HONOLULU LOUNGE BENCH 1263 PORTIMAO WEAVE</t>
  </si>
  <si>
    <t>FILL WITH PILLOW 50X50CM</t>
  </si>
  <si>
    <t xml:space="preserve">2. Ngo Duy Hung(24-10-2019 11:59:16)
PLEASE FIND HEREWITH TD
1. Ngo Duy Hung(15-10-2019 06:55:18)
1/ PILLOW WITH POINTED CORNERS AS HONOLULU 1263 THIS YEAR
2/ INNER SEATING IN BRAIDED OUTDOOR 30MM
</t>
  </si>
  <si>
    <t>13 ISSUED- Code: 20191015/PAL/001263/00000607/013</t>
  </si>
  <si>
    <t>20191015/PAL/001263/00000607/013</t>
  </si>
  <si>
    <t>0/16102019/2355f6f2987f4f06aef1ce67fafef2eb.jpg</t>
  </si>
  <si>
    <t>WOODEN CUSHION BOX WITH WHEELS - 312465</t>
  </si>
  <si>
    <t xml:space="preserve">2. Ngo Duy Hung(25-10-2019 09:38:10)
ADDING 2 HOLES ON THE OPPOSITE SIDE OF THE SIDE WITH WHEELS FOR USER TO PUT FINGERS FOR PULLING, PLEASE SEE ATTACHED PHOTO
1. Ngo Duy Hung(16-10-2019 06:01:02)
DIMENSION: 207 X 90 X 80CM
MUST HAVE WATER-PROOF COVER INSIDE TO STORE CUSHION
</t>
  </si>
  <si>
    <t>14 ISSUED- Code: 20191016/ROS/001263/00000607/014</t>
  </si>
  <si>
    <t>20191016/ROS/001263/00000607/014</t>
  </si>
  <si>
    <t>f/24102019/e79e7df0ab7545ab88f4a34e473aa323.jpg</t>
  </si>
  <si>
    <t>2019-11-12</t>
  </si>
  <si>
    <t>LOS ANGELES SUNBED - 312463</t>
  </si>
  <si>
    <t xml:space="preserve">2. Ngo Duy Hung(29-10-2019 04:19:22)
PLEASE FIND HEREWITH TD
1. Ngo Duy Hung(24-10-2019 09:49:18)
MUST HAVE CURTAIN &amp; ROLLER BLIND
</t>
  </si>
  <si>
    <t>15 ISSUED- Code: 20191024/TEC/001263/00000607/015</t>
  </si>
  <si>
    <t>20191024/TEC/001263/00000607/015</t>
  </si>
  <si>
    <t>d/25102019/9dd9ac13effb46449936dbe7fcca4c81.jpg</t>
  </si>
  <si>
    <t>MAUI LOUNGE CHAIR - 312472</t>
  </si>
  <si>
    <t xml:space="preserve">1. Ngo Duy Hung(25-10-2019 09:46:21)
SEATING IN BRAIDED OUTDOOR 30MM ANTHRACITE BUT OUTSIDE FRAME WEAVED IN ROPE, SAME PROCESS AS STAFFORD
</t>
  </si>
  <si>
    <t>16 ISSUED- Code: 20191025/PAL/001263/00000607/016</t>
  </si>
  <si>
    <t>20191025/PAL/001263/00000607/016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</si>
</sst>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applyNumberFormat="1" fontId="0" applyFont="1" fillId="0" applyFill="1" borderId="0" applyBorder="1" xfId="0"/>
    <xf numFmtId="0" applyNumberFormat="1" fontId="1" applyFont="1" fillId="0" applyFill="1" borderId="0" applyBorder="1" xfId="0"/>
    <xf numFmtId="0" applyNumberFormat="1" fontId="1" applyFont="1" fillId="2" applyFill="1" borderId="1" applyBorder="1" xfId="0"/>
    <xf numFmtId="0" applyNumberFormat="1" fontId="1" applyFont="1" fillId="0" applyFill="1" borderId="1" applyBorder="1" xfId="0"/>
    <xf numFmtId="0" applyNumberFormat="1" fontId="3" applyFont="1" fillId="0" applyFill="1" borderId="0" applyBorder="1" xfId="0"/>
    <xf numFmtId="0" applyNumberFormat="1" fontId="1" applyFont="1" fillId="0" applyFill="1" borderId="1" applyBorder="1" xfId="0">
      <alignment vertical="top" wrapText="1"/>
    </xf>
    <xf numFmtId="0" applyNumberFormat="1" fontId="4" applyFont="1" fillId="0" applyFill="1" borderId="0" applyBorder="1" xfId="0"/>
    <xf numFmtId="0" applyNumberFormat="1" fontId="1" applyFont="1" fillId="0" applyFill="1" borderId="1" applyBorder="1" xfId="0">
      <alignment horizontal="left" vertical="top" wrapText="1"/>
    </xf>
    <xf numFmtId="0" applyNumberFormat="1" fontId="1" applyFont="1" fillId="0" applyFill="1" borderId="1" applyBorder="1" xfId="0">
      <alignment horizontal="center" vertical="top" wrapText="1"/>
    </xf>
    <xf numFmtId="14" applyNumberFormat="1" fontId="1" applyFont="1" fillId="0" applyFill="1" borderId="1" applyBorder="1" xfId="0">
      <alignment horizontal="center" vertical="top" wrapText="1"/>
    </xf>
    <xf numFmtId="0" applyNumberFormat="1" fontId="2" applyFont="1" fillId="4" applyFill="1" borderId="1" applyBorder="1" xfId="0">
      <alignment horizontal="center" vertical="center" wrapText="1"/>
    </xf>
    <xf numFmtId="0" applyNumberFormat="1" fontId="1" applyFont="1" fillId="0" applyFill="1" borderId="1" applyBorder="1" xfId="0">
      <alignment horizontal="left" vertical="top"/>
    </xf>
    <xf numFmtId="0" applyNumberFormat="1" fontId="2" applyFont="1" fillId="3" applyFill="1" borderId="1" applyBorder="1" xfId="0">
      <alignment horizontal="center" vertical="center" wrapText="1"/>
    </xf>
    <xf numFmtId="0" applyNumberFormat="1" fontId="2" applyFont="1" fillId="3" applyFill="1" borderId="2" applyBorder="1" xfId="0">
      <alignment horizontal="center" vertical="center" wrapText="1"/>
    </xf>
    <xf numFmtId="0" applyNumberFormat="1" fontId="2" applyFont="1" fillId="3" applyFill="1" borderId="3" applyBorder="1" xfId="0">
      <alignment horizontal="center" vertical="center" wrapText="1"/>
    </xf>
    <xf numFmtId="0" applyNumberFormat="1" fontId="2" applyFont="1" fillId="4" applyFill="1" borderId="1" applyBorder="1" xfId="0">
      <alignment horizontal="center" vertical="center" wrapText="1"/>
    </xf>
    <xf numFmtId="0" applyNumberFormat="1" fontId="2" applyFont="1" fillId="4" applyFill="1" borderId="2" applyBorder="1" xfId="0">
      <alignment horizontal="center" vertical="center" wrapText="1"/>
    </xf>
    <xf numFmtId="0" applyNumberFormat="1" fontId="2" applyFont="1" fillId="4" applyFill="1" borderId="3" applyBorder="1" xfId="0">
      <alignment horizontal="center" vertical="center" wrapText="1"/>
    </xf>
    <xf numFmtId="0" applyNumberFormat="1" fontId="5" applyFont="1" fillId="7" applyFill="1" borderId="2" applyBorder="1" xfId="0">
      <alignment horizontal="center" vertical="center" wrapText="1"/>
    </xf>
    <xf numFmtId="0" applyNumberFormat="1" fontId="5" applyFont="1" fillId="7" applyFill="1" borderId="3" applyBorder="1" xfId="0">
      <alignment horizontal="center" vertical="center" wrapText="1"/>
    </xf>
    <xf numFmtId="0" applyNumberFormat="1" fontId="5" applyFont="1" fillId="5" applyFill="1" borderId="2" applyBorder="1" xfId="0">
      <alignment horizontal="center" vertical="center" wrapText="1"/>
    </xf>
    <xf numFmtId="0" applyNumberFormat="1" fontId="5" applyFont="1" fillId="5" applyFill="1" borderId="3" applyBorder="1" xfId="0">
      <alignment horizontal="center" vertical="center" wrapText="1"/>
    </xf>
    <xf numFmtId="0" applyNumberFormat="1" fontId="2" applyFont="1" fillId="6" applyFill="1" borderId="1" applyBorder="1" xfId="0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17"/>
  <sheetViews>
    <sheetView workbookViewId="0">
      <selection activeCell="AV2" sqref="AV2"/>
    </sheetView>
  </sheetViews>
  <sheetFormatPr defaultRowHeight="15" x14ac:dyDescent="0.25"/>
  <cols>
    <col min="1" max="1" bestFit="1" width="16.42578125" customWidth="1"/>
    <col min="2" max="2" bestFit="1" width="49.85546875" customWidth="1"/>
    <col min="3" max="3" bestFit="1" width="50.85546875" customWidth="1"/>
    <col min="4" max="4" width="50.7109375" customWidth="1"/>
    <col min="5" max="5" bestFit="1" width="49.28515625" customWidth="1"/>
    <col min="6" max="6" bestFit="1" width="49.42578125" customWidth="1"/>
    <col min="7" max="7" width="50.7109375" customWidth="1"/>
    <col min="8" max="8" bestFit="1" width="50" customWidth="1"/>
    <col min="9" max="9" bestFit="1" width="50.140625" customWidth="1"/>
    <col min="10" max="12" width="50.7109375" customWidth="1"/>
    <col min="13" max="13" bestFit="1" width="15.42578125" customWidth="1"/>
    <col min="14" max="14" bestFit="1" width="8.85546875" customWidth="1"/>
    <col min="15" max="15" bestFit="1" width="43.140625" customWidth="1"/>
    <col min="16" max="16" bestFit="1" width="13.28515625" customWidth="1"/>
    <col min="17" max="18" bestFit="1" width="23.42578125" customWidth="1"/>
    <col min="19" max="19" bestFit="1" width="9.28515625" customWidth="1"/>
    <col min="20" max="20" width="50.7109375" customWidth="1"/>
    <col min="21" max="21" bestFit="1" width="8.7109375" customWidth="1"/>
    <col min="22" max="22" bestFit="1" width="21.85546875" customWidth="1"/>
    <col min="23" max="23" bestFit="1" width="22.28515625" customWidth="1"/>
    <col min="24" max="24" bestFit="1" width="18" customWidth="1"/>
    <col min="25" max="25" bestFit="1" width="28" customWidth="1"/>
    <col min="26" max="26" bestFit="1" width="18.42578125" customWidth="1"/>
    <col min="27" max="27" bestFit="1" width="25.140625" customWidth="1"/>
    <col min="28" max="28" bestFit="1" width="53" customWidth="1"/>
    <col min="29" max="29" bestFit="1" width="32.28515625" customWidth="1"/>
    <col min="30" max="30" bestFit="1" width="28.7109375" customWidth="1"/>
    <col min="31" max="31" bestFit="1" width="15.28515625" customWidth="1"/>
    <col min="32" max="32" bestFit="1" width="21.140625" customWidth="1"/>
    <col min="33" max="33" bestFit="1" width="25" customWidth="1"/>
    <col min="34" max="34" bestFit="1" width="14.7109375" customWidth="1"/>
    <col min="35" max="35" bestFit="1" width="14.28515625" customWidth="1"/>
    <col min="36" max="36" bestFit="1" width="15.7109375" customWidth="1"/>
    <col min="37" max="37" bestFit="1" width="18.140625" customWidth="1"/>
    <col min="38" max="38" bestFit="1" width="15.5703125" customWidth="1"/>
    <col min="39" max="39" bestFit="1" width="11.85546875" customWidth="1"/>
    <col min="40" max="40" bestFit="1" width="12.28515625" customWidth="1"/>
    <col min="41" max="43" bestFit="1" width="15.5703125" customWidth="1"/>
    <col min="44" max="44" bestFit="1" width="14.7109375" customWidth="1"/>
    <col min="45" max="45" bestFit="1" width="15.7109375" customWidth="1"/>
    <col min="46" max="46" bestFit="1" width="15.140625" customWidth="1"/>
    <col min="47" max="47" bestFit="1" width="10.140625" customWidth="1"/>
    <col min="48" max="48" width="24.140625" customWidth="1"/>
    <col min="49" max="49" bestFit="1" width="21.5703125" customWidth="1"/>
    <col min="50" max="50" bestFit="1" width="21" customWidth="1"/>
    <col min="51" max="51" bestFit="1" width="14.7109375" customWidth="1"/>
    <col min="52" max="52" bestFit="1" width="22.140625" customWidth="1"/>
  </cols>
  <sheetData>
    <row r="1">
      <c r="A1" s="0" t="s">
        <v>56</v>
      </c>
      <c r="B1" s="0" t="s">
        <v>57</v>
      </c>
      <c r="C1" s="0" t="s">
        <v>51</v>
      </c>
      <c r="D1" s="0" t="s">
        <v>58</v>
      </c>
      <c r="E1" s="0" t="s">
        <v>59</v>
      </c>
      <c r="F1" s="0" t="s">
        <v>11</v>
      </c>
      <c r="G1" s="0" t="s">
        <v>60</v>
      </c>
      <c r="H1" s="0" t="s">
        <v>61</v>
      </c>
      <c r="I1" s="0" t="s">
        <v>62</v>
      </c>
      <c r="J1" s="0" t="s">
        <v>63</v>
      </c>
      <c r="K1" s="0" t="s">
        <v>64</v>
      </c>
      <c r="L1" s="0" t="s">
        <v>65</v>
      </c>
      <c r="M1" s="0" t="s">
        <v>66</v>
      </c>
      <c r="N1" s="0" t="s">
        <v>67</v>
      </c>
      <c r="O1" s="0" t="s">
        <v>68</v>
      </c>
      <c r="P1" s="0" t="s">
        <v>69</v>
      </c>
      <c r="Q1" s="0" t="s">
        <v>70</v>
      </c>
      <c r="R1" s="0" t="s">
        <v>71</v>
      </c>
      <c r="S1" s="0" t="s">
        <v>72</v>
      </c>
      <c r="T1" s="0" t="s">
        <v>73</v>
      </c>
      <c r="U1" s="0" t="s">
        <v>74</v>
      </c>
      <c r="V1" s="0" t="s">
        <v>75</v>
      </c>
      <c r="W1" s="0" t="s">
        <v>76</v>
      </c>
      <c r="X1" s="0" t="s">
        <v>77</v>
      </c>
      <c r="Y1" s="0" t="s">
        <v>78</v>
      </c>
      <c r="Z1" s="0" t="s">
        <v>79</v>
      </c>
      <c r="AA1" s="0" t="s">
        <v>80</v>
      </c>
      <c r="AB1" s="0" t="s">
        <v>81</v>
      </c>
      <c r="AC1" s="0" t="s">
        <v>82</v>
      </c>
      <c r="AD1" s="0" t="s">
        <v>83</v>
      </c>
      <c r="AE1" s="0" t="s">
        <v>84</v>
      </c>
      <c r="AF1" s="0" t="s">
        <v>85</v>
      </c>
      <c r="AG1" s="0" t="s">
        <v>86</v>
      </c>
      <c r="AH1" s="0" t="s">
        <v>87</v>
      </c>
      <c r="AI1" s="0" t="s">
        <v>88</v>
      </c>
      <c r="AJ1" s="0" t="s">
        <v>89</v>
      </c>
      <c r="AK1" s="0" t="s">
        <v>90</v>
      </c>
      <c r="AL1" s="0" t="s">
        <v>91</v>
      </c>
      <c r="AM1" s="0" t="s">
        <v>92</v>
      </c>
      <c r="AN1" s="0" t="s">
        <v>93</v>
      </c>
      <c r="AO1" s="0" t="s">
        <v>94</v>
      </c>
      <c r="AP1" s="0" t="s">
        <v>95</v>
      </c>
      <c r="AQ1" s="0" t="s">
        <v>96</v>
      </c>
      <c r="AR1" s="0" t="s">
        <v>97</v>
      </c>
      <c r="AS1" s="0" t="s">
        <v>98</v>
      </c>
      <c r="AT1" s="0" t="s">
        <v>99</v>
      </c>
      <c r="AU1" s="0" t="s">
        <v>49</v>
      </c>
      <c r="AV1" s="0" t="s">
        <v>50</v>
      </c>
      <c r="AW1" s="0" t="s">
        <v>54</v>
      </c>
      <c r="AX1" s="0" t="s">
        <v>100</v>
      </c>
      <c r="AY1" s="0" t="s">
        <v>101</v>
      </c>
      <c r="AZ1" s="0" t="s">
        <v>102</v>
      </c>
      <c r="BA1" s="0" t="s">
        <v>103</v>
      </c>
      <c r="BB1" s="0" t="s">
        <v>104</v>
      </c>
      <c r="BC1" s="0" t="s">
        <v>105</v>
      </c>
      <c r="BD1" s="0" t="s">
        <v>106</v>
      </c>
      <c r="BE1" s="0" t="s">
        <v>107</v>
      </c>
      <c r="BF1" s="0" t="s">
        <v>108</v>
      </c>
      <c r="BG1" s="0" t="s">
        <v>109</v>
      </c>
      <c r="BH1" s="0" t="s">
        <v>110</v>
      </c>
      <c r="BI1" s="0" t="s">
        <v>111</v>
      </c>
      <c r="BJ1" s="0" t="s">
        <v>8</v>
      </c>
      <c r="BK1" s="0" t="s">
        <v>9</v>
      </c>
    </row>
    <row r="2">
      <c r="A2" s="0">
        <v>6563</v>
      </c>
      <c r="B2" s="0" t="s">
        <v>112</v>
      </c>
      <c r="C2" s="0" t="s">
        <v>53</v>
      </c>
      <c r="D2" s="0" t="s">
        <v>113</v>
      </c>
      <c r="E2" s="0" t="s">
        <v>114</v>
      </c>
      <c r="F2" s="0" t="s">
        <v>114</v>
      </c>
      <c r="G2" s="0" t="s">
        <v>115</v>
      </c>
      <c r="H2" s="0" t="s">
        <v>116</v>
      </c>
      <c r="I2" s="0">
        <v>1</v>
      </c>
      <c r="J2" s="0" t="s">
        <v>117</v>
      </c>
      <c r="L2" s="0" t="s">
        <v>118</v>
      </c>
      <c r="M2" s="0" t="s">
        <v>119</v>
      </c>
      <c r="N2" s="0" t="s">
        <v>120</v>
      </c>
      <c r="O2" s="0" t="s">
        <v>121</v>
      </c>
      <c r="Q2" s="0" t="s">
        <v>122</v>
      </c>
      <c r="Y2" s="0" t="s">
        <v>123</v>
      </c>
      <c r="Z2" s="0" t="s">
        <v>124</v>
      </c>
      <c r="AA2" s="0" t="s">
        <v>125</v>
      </c>
      <c r="AG2" s="0" t="s">
        <v>126</v>
      </c>
      <c r="AK2" s="0">
        <v>60</v>
      </c>
      <c r="AS2" s="0" t="s">
        <v>127</v>
      </c>
      <c r="AT2" s="0" t="s">
        <v>128</v>
      </c>
      <c r="AU2" s="0">
        <v>607</v>
      </c>
      <c r="AV2" s="0" t="s">
        <v>52</v>
      </c>
      <c r="AW2" s="0" t="s">
        <v>55</v>
      </c>
      <c r="AX2" s="0">
        <v>1</v>
      </c>
      <c r="AY2" s="0">
        <v>374043</v>
      </c>
      <c r="AZ2" s="0">
        <v>90875</v>
      </c>
      <c r="BA2" s="0">
        <v>2</v>
      </c>
      <c r="BB2" s="0" t="s">
        <v>129</v>
      </c>
      <c r="BD2" s="0">
        <v>473</v>
      </c>
      <c r="BF2" s="0" t="s">
        <v>130</v>
      </c>
      <c r="BG2" s="0" t="s">
        <v>131</v>
      </c>
      <c r="BH2" s="0" t="s">
        <v>132</v>
      </c>
      <c r="BJ2" s="0" t="s">
        <v>133</v>
      </c>
    </row>
    <row r="3">
      <c r="A3" s="0">
        <v>6564</v>
      </c>
      <c r="B3" s="0" t="s">
        <v>134</v>
      </c>
      <c r="C3" s="0" t="s">
        <v>53</v>
      </c>
      <c r="D3" s="0" t="s">
        <v>113</v>
      </c>
      <c r="E3" s="0" t="s">
        <v>114</v>
      </c>
      <c r="F3" s="0" t="s">
        <v>114</v>
      </c>
      <c r="G3" s="0" t="s">
        <v>115</v>
      </c>
      <c r="H3" s="0" t="s">
        <v>135</v>
      </c>
      <c r="I3" s="0">
        <v>1</v>
      </c>
      <c r="J3" s="0" t="s">
        <v>117</v>
      </c>
      <c r="L3" s="0" t="s">
        <v>118</v>
      </c>
      <c r="M3" s="0" t="s">
        <v>119</v>
      </c>
      <c r="N3" s="0" t="s">
        <v>136</v>
      </c>
      <c r="O3" s="0" t="s">
        <v>121</v>
      </c>
      <c r="Q3" s="0" t="s">
        <v>122</v>
      </c>
      <c r="Y3" s="0" t="s">
        <v>123</v>
      </c>
      <c r="Z3" s="0" t="s">
        <v>124</v>
      </c>
      <c r="AA3" s="0" t="s">
        <v>137</v>
      </c>
      <c r="AG3" s="0" t="s">
        <v>126</v>
      </c>
      <c r="AS3" s="0" t="s">
        <v>138</v>
      </c>
      <c r="AT3" s="0" t="s">
        <v>139</v>
      </c>
      <c r="AU3" s="0">
        <v>607</v>
      </c>
      <c r="AV3" s="0" t="s">
        <v>52</v>
      </c>
      <c r="AW3" s="0" t="s">
        <v>55</v>
      </c>
      <c r="AX3" s="0">
        <v>1</v>
      </c>
      <c r="AY3" s="0">
        <v>374043</v>
      </c>
      <c r="AZ3" s="0">
        <v>90875</v>
      </c>
      <c r="BA3" s="0">
        <v>2</v>
      </c>
      <c r="BB3" s="0" t="s">
        <v>140</v>
      </c>
      <c r="BD3" s="0">
        <v>857</v>
      </c>
      <c r="BF3" s="0" t="s">
        <v>141</v>
      </c>
      <c r="BG3" s="0" t="s">
        <v>131</v>
      </c>
      <c r="BH3" s="0" t="s">
        <v>132</v>
      </c>
      <c r="BJ3" s="0" t="s">
        <v>133</v>
      </c>
    </row>
    <row r="4">
      <c r="A4" s="0">
        <v>6565</v>
      </c>
      <c r="B4" s="0" t="s">
        <v>142</v>
      </c>
      <c r="C4" s="0" t="s">
        <v>53</v>
      </c>
      <c r="D4" s="0" t="s">
        <v>113</v>
      </c>
      <c r="E4" s="0" t="s">
        <v>114</v>
      </c>
      <c r="F4" s="0" t="s">
        <v>114</v>
      </c>
      <c r="G4" s="0" t="s">
        <v>115</v>
      </c>
      <c r="H4" s="0" t="s">
        <v>143</v>
      </c>
      <c r="I4" s="0">
        <v>1</v>
      </c>
      <c r="J4" s="0" t="s">
        <v>117</v>
      </c>
      <c r="L4" s="0" t="s">
        <v>118</v>
      </c>
      <c r="M4" s="0" t="s">
        <v>144</v>
      </c>
      <c r="N4" s="0" t="s">
        <v>120</v>
      </c>
      <c r="O4" s="0" t="s">
        <v>121</v>
      </c>
      <c r="Q4" s="0" t="s">
        <v>120</v>
      </c>
      <c r="Y4" s="0" t="s">
        <v>145</v>
      </c>
      <c r="Z4" s="0" t="s">
        <v>124</v>
      </c>
      <c r="AA4" s="0" t="s">
        <v>137</v>
      </c>
      <c r="AG4" s="0" t="s">
        <v>126</v>
      </c>
      <c r="AS4" s="0" t="s">
        <v>146</v>
      </c>
      <c r="AT4" s="0" t="s">
        <v>147</v>
      </c>
      <c r="AU4" s="0">
        <v>607</v>
      </c>
      <c r="AV4" s="0" t="s">
        <v>52</v>
      </c>
      <c r="AW4" s="0" t="s">
        <v>55</v>
      </c>
      <c r="AX4" s="0">
        <v>1</v>
      </c>
      <c r="AY4" s="0">
        <v>374043</v>
      </c>
      <c r="AZ4" s="0">
        <v>90875</v>
      </c>
      <c r="BA4" s="0">
        <v>2</v>
      </c>
      <c r="BB4" s="0" t="s">
        <v>148</v>
      </c>
      <c r="BD4" s="0">
        <v>1183</v>
      </c>
      <c r="BF4" s="0" t="s">
        <v>149</v>
      </c>
      <c r="BG4" s="0" t="s">
        <v>131</v>
      </c>
      <c r="BH4" s="0" t="s">
        <v>132</v>
      </c>
      <c r="BJ4" s="0" t="s">
        <v>133</v>
      </c>
    </row>
    <row r="5">
      <c r="A5" s="0">
        <v>6566</v>
      </c>
      <c r="B5" s="0" t="s">
        <v>150</v>
      </c>
      <c r="C5" s="0" t="s">
        <v>53</v>
      </c>
      <c r="D5" s="0" t="s">
        <v>113</v>
      </c>
      <c r="E5" s="0" t="s">
        <v>114</v>
      </c>
      <c r="F5" s="0" t="s">
        <v>114</v>
      </c>
      <c r="G5" s="0" t="s">
        <v>115</v>
      </c>
      <c r="H5" s="0" t="s">
        <v>151</v>
      </c>
      <c r="I5" s="0">
        <v>1</v>
      </c>
      <c r="J5" s="0" t="s">
        <v>117</v>
      </c>
      <c r="L5" s="0" t="s">
        <v>118</v>
      </c>
      <c r="M5" s="0" t="s">
        <v>144</v>
      </c>
      <c r="N5" s="0" t="s">
        <v>120</v>
      </c>
      <c r="O5" s="0" t="s">
        <v>121</v>
      </c>
      <c r="Q5" s="0" t="s">
        <v>120</v>
      </c>
      <c r="Y5" s="0" t="s">
        <v>145</v>
      </c>
      <c r="Z5" s="0" t="s">
        <v>145</v>
      </c>
      <c r="AA5" s="0" t="s">
        <v>137</v>
      </c>
      <c r="AG5" s="0" t="s">
        <v>126</v>
      </c>
      <c r="AS5" s="0" t="s">
        <v>152</v>
      </c>
      <c r="AT5" s="0" t="s">
        <v>153</v>
      </c>
      <c r="AU5" s="0">
        <v>607</v>
      </c>
      <c r="AV5" s="0" t="s">
        <v>52</v>
      </c>
      <c r="AW5" s="0" t="s">
        <v>55</v>
      </c>
      <c r="AX5" s="0">
        <v>1</v>
      </c>
      <c r="AY5" s="0">
        <v>374043</v>
      </c>
      <c r="AZ5" s="0">
        <v>90875</v>
      </c>
      <c r="BA5" s="0">
        <v>2</v>
      </c>
      <c r="BB5" s="0" t="s">
        <v>154</v>
      </c>
      <c r="BD5" s="0">
        <v>1478</v>
      </c>
      <c r="BF5" s="0" t="s">
        <v>155</v>
      </c>
      <c r="BG5" s="0" t="s">
        <v>131</v>
      </c>
      <c r="BH5" s="0" t="s">
        <v>132</v>
      </c>
      <c r="BJ5" s="0" t="s">
        <v>133</v>
      </c>
    </row>
    <row r="6">
      <c r="A6" s="0">
        <v>6567</v>
      </c>
      <c r="B6" s="0" t="s">
        <v>156</v>
      </c>
      <c r="C6" s="0" t="s">
        <v>53</v>
      </c>
      <c r="D6" s="0" t="s">
        <v>113</v>
      </c>
      <c r="E6" s="0" t="s">
        <v>114</v>
      </c>
      <c r="F6" s="0" t="s">
        <v>114</v>
      </c>
      <c r="G6" s="0" t="s">
        <v>157</v>
      </c>
      <c r="H6" s="0" t="s">
        <v>158</v>
      </c>
      <c r="I6" s="0">
        <v>2</v>
      </c>
      <c r="J6" s="0" t="s">
        <v>159</v>
      </c>
      <c r="L6" s="0" t="s">
        <v>118</v>
      </c>
      <c r="M6" s="0" t="s">
        <v>119</v>
      </c>
      <c r="N6" s="0" t="s">
        <v>120</v>
      </c>
      <c r="O6" s="0" t="s">
        <v>121</v>
      </c>
      <c r="Q6" s="0" t="s">
        <v>120</v>
      </c>
      <c r="R6" s="0" t="s">
        <v>160</v>
      </c>
      <c r="S6" s="0" t="s">
        <v>161</v>
      </c>
      <c r="T6" s="0" t="s">
        <v>162</v>
      </c>
      <c r="Y6" s="0" t="s">
        <v>124</v>
      </c>
      <c r="Z6" s="0" t="s">
        <v>124</v>
      </c>
      <c r="AG6" s="0" t="s">
        <v>126</v>
      </c>
      <c r="AT6" s="0" t="s">
        <v>163</v>
      </c>
      <c r="AU6" s="0">
        <v>607</v>
      </c>
      <c r="AV6" s="0" t="s">
        <v>52</v>
      </c>
      <c r="AW6" s="0" t="s">
        <v>55</v>
      </c>
      <c r="AX6" s="0">
        <v>1</v>
      </c>
      <c r="AY6" s="0">
        <v>14</v>
      </c>
      <c r="AZ6" s="0">
        <v>90875</v>
      </c>
      <c r="BA6" s="0">
        <v>4</v>
      </c>
      <c r="BB6" s="0" t="s">
        <v>164</v>
      </c>
      <c r="BD6" s="0">
        <v>1744</v>
      </c>
      <c r="BF6" s="0" t="s">
        <v>165</v>
      </c>
      <c r="BG6" s="0" t="s">
        <v>131</v>
      </c>
      <c r="BH6" s="0" t="s">
        <v>132</v>
      </c>
      <c r="BJ6" s="0" t="s">
        <v>133</v>
      </c>
    </row>
    <row r="7">
      <c r="A7" s="0">
        <v>6568</v>
      </c>
      <c r="B7" s="0" t="s">
        <v>166</v>
      </c>
      <c r="C7" s="0" t="s">
        <v>53</v>
      </c>
      <c r="D7" s="0" t="s">
        <v>113</v>
      </c>
      <c r="E7" s="0" t="s">
        <v>114</v>
      </c>
      <c r="F7" s="0" t="s">
        <v>114</v>
      </c>
      <c r="G7" s="0" t="s">
        <v>115</v>
      </c>
      <c r="H7" s="0" t="s">
        <v>167</v>
      </c>
      <c r="I7" s="0">
        <v>1</v>
      </c>
      <c r="J7" s="0" t="s">
        <v>117</v>
      </c>
      <c r="L7" s="0" t="s">
        <v>168</v>
      </c>
      <c r="M7" s="0" t="s">
        <v>119</v>
      </c>
      <c r="N7" s="0" t="s">
        <v>169</v>
      </c>
      <c r="O7" s="0" t="s">
        <v>160</v>
      </c>
      <c r="P7" s="0" t="s">
        <v>161</v>
      </c>
      <c r="Q7" s="0" t="s">
        <v>162</v>
      </c>
      <c r="Y7" s="0" t="s">
        <v>145</v>
      </c>
      <c r="Z7" s="0" t="s">
        <v>145</v>
      </c>
      <c r="AA7" s="0" t="s">
        <v>137</v>
      </c>
      <c r="AG7" s="0" t="s">
        <v>126</v>
      </c>
      <c r="AS7" s="0" t="s">
        <v>170</v>
      </c>
      <c r="AU7" s="0">
        <v>607</v>
      </c>
      <c r="AV7" s="0" t="s">
        <v>52</v>
      </c>
      <c r="AW7" s="0" t="s">
        <v>55</v>
      </c>
      <c r="AX7" s="0">
        <v>1</v>
      </c>
      <c r="AY7" s="0">
        <v>374043</v>
      </c>
      <c r="AZ7" s="0">
        <v>90875</v>
      </c>
      <c r="BA7" s="0">
        <v>2</v>
      </c>
      <c r="BB7" s="0" t="s">
        <v>171</v>
      </c>
      <c r="BD7" s="0">
        <v>1985</v>
      </c>
      <c r="BF7" s="0" t="s">
        <v>172</v>
      </c>
      <c r="BG7" s="0" t="s">
        <v>131</v>
      </c>
      <c r="BH7" s="0" t="s">
        <v>132</v>
      </c>
      <c r="BJ7" s="0" t="s">
        <v>133</v>
      </c>
    </row>
    <row r="8">
      <c r="A8" s="0">
        <v>6569</v>
      </c>
      <c r="B8" s="0" t="s">
        <v>173</v>
      </c>
      <c r="C8" s="0" t="s">
        <v>53</v>
      </c>
      <c r="D8" s="0" t="s">
        <v>113</v>
      </c>
      <c r="E8" s="0" t="s">
        <v>114</v>
      </c>
      <c r="F8" s="0" t="s">
        <v>114</v>
      </c>
      <c r="G8" s="0" t="s">
        <v>115</v>
      </c>
      <c r="H8" s="0" t="s">
        <v>174</v>
      </c>
      <c r="I8" s="0">
        <v>1</v>
      </c>
      <c r="J8" s="0" t="s">
        <v>117</v>
      </c>
      <c r="L8" s="0" t="s">
        <v>168</v>
      </c>
      <c r="M8" s="0" t="s">
        <v>119</v>
      </c>
      <c r="N8" s="0" t="s">
        <v>169</v>
      </c>
      <c r="O8" s="0" t="s">
        <v>160</v>
      </c>
      <c r="P8" s="0" t="s">
        <v>161</v>
      </c>
      <c r="Q8" s="0" t="s">
        <v>162</v>
      </c>
      <c r="Y8" s="0" t="s">
        <v>145</v>
      </c>
      <c r="Z8" s="0" t="s">
        <v>145</v>
      </c>
      <c r="AA8" s="0" t="s">
        <v>137</v>
      </c>
      <c r="AG8" s="0" t="s">
        <v>126</v>
      </c>
      <c r="AS8" s="0" t="s">
        <v>175</v>
      </c>
      <c r="AU8" s="0">
        <v>607</v>
      </c>
      <c r="AV8" s="0" t="s">
        <v>52</v>
      </c>
      <c r="AW8" s="0" t="s">
        <v>55</v>
      </c>
      <c r="AX8" s="0">
        <v>1</v>
      </c>
      <c r="AY8" s="0">
        <v>374043</v>
      </c>
      <c r="AZ8" s="0">
        <v>90875</v>
      </c>
      <c r="BA8" s="0">
        <v>2</v>
      </c>
      <c r="BB8" s="0" t="s">
        <v>176</v>
      </c>
      <c r="BD8" s="0">
        <v>2211</v>
      </c>
      <c r="BF8" s="0" t="s">
        <v>177</v>
      </c>
      <c r="BG8" s="0" t="s">
        <v>131</v>
      </c>
      <c r="BH8" s="0" t="s">
        <v>132</v>
      </c>
      <c r="BJ8" s="0" t="s">
        <v>133</v>
      </c>
    </row>
    <row r="9">
      <c r="A9" s="0">
        <v>6570</v>
      </c>
      <c r="B9" s="0" t="s">
        <v>178</v>
      </c>
      <c r="C9" s="0" t="s">
        <v>53</v>
      </c>
      <c r="D9" s="0" t="s">
        <v>113</v>
      </c>
      <c r="E9" s="0" t="s">
        <v>114</v>
      </c>
      <c r="F9" s="0" t="s">
        <v>114</v>
      </c>
      <c r="G9" s="0" t="s">
        <v>115</v>
      </c>
      <c r="H9" s="0" t="s">
        <v>179</v>
      </c>
      <c r="I9" s="0">
        <v>1</v>
      </c>
      <c r="J9" s="0" t="s">
        <v>117</v>
      </c>
      <c r="L9" s="0" t="s">
        <v>160</v>
      </c>
      <c r="M9" s="0" t="s">
        <v>161</v>
      </c>
      <c r="N9" s="0" t="s">
        <v>162</v>
      </c>
      <c r="O9" s="0" t="s">
        <v>121</v>
      </c>
      <c r="Q9" s="0" t="s">
        <v>122</v>
      </c>
      <c r="Y9" s="0" t="s">
        <v>145</v>
      </c>
      <c r="Z9" s="0" t="s">
        <v>145</v>
      </c>
      <c r="AA9" s="0" t="s">
        <v>137</v>
      </c>
      <c r="AG9" s="0" t="s">
        <v>126</v>
      </c>
      <c r="AS9" s="0" t="s">
        <v>180</v>
      </c>
      <c r="AU9" s="0">
        <v>607</v>
      </c>
      <c r="AV9" s="0" t="s">
        <v>52</v>
      </c>
      <c r="AW9" s="0" t="s">
        <v>55</v>
      </c>
      <c r="AX9" s="0">
        <v>1</v>
      </c>
      <c r="AY9" s="0">
        <v>374043</v>
      </c>
      <c r="AZ9" s="0">
        <v>90875</v>
      </c>
      <c r="BA9" s="0">
        <v>2</v>
      </c>
      <c r="BB9" s="0" t="s">
        <v>181</v>
      </c>
      <c r="BD9" s="0">
        <v>2416</v>
      </c>
      <c r="BF9" s="0" t="s">
        <v>182</v>
      </c>
      <c r="BG9" s="0" t="s">
        <v>131</v>
      </c>
      <c r="BH9" s="0" t="s">
        <v>132</v>
      </c>
      <c r="BJ9" s="0" t="s">
        <v>133</v>
      </c>
    </row>
    <row r="10">
      <c r="A10" s="0">
        <v>6571</v>
      </c>
      <c r="B10" s="0" t="s">
        <v>183</v>
      </c>
      <c r="C10" s="0" t="s">
        <v>53</v>
      </c>
      <c r="D10" s="0" t="s">
        <v>113</v>
      </c>
      <c r="E10" s="0" t="s">
        <v>114</v>
      </c>
      <c r="F10" s="0" t="s">
        <v>114</v>
      </c>
      <c r="G10" s="0" t="s">
        <v>115</v>
      </c>
      <c r="H10" s="0" t="s">
        <v>184</v>
      </c>
      <c r="I10" s="0">
        <v>1</v>
      </c>
      <c r="J10" s="0" t="s">
        <v>185</v>
      </c>
      <c r="L10" s="0" t="s">
        <v>160</v>
      </c>
      <c r="M10" s="0" t="s">
        <v>161</v>
      </c>
      <c r="N10" s="0" t="s">
        <v>186</v>
      </c>
      <c r="Y10" s="0" t="s">
        <v>124</v>
      </c>
      <c r="Z10" s="0" t="s">
        <v>124</v>
      </c>
      <c r="AG10" s="0" t="s">
        <v>126</v>
      </c>
      <c r="AS10" s="0" t="s">
        <v>187</v>
      </c>
      <c r="AU10" s="0">
        <v>607</v>
      </c>
      <c r="AV10" s="0" t="s">
        <v>52</v>
      </c>
      <c r="AW10" s="0" t="s">
        <v>55</v>
      </c>
      <c r="AX10" s="0">
        <v>1</v>
      </c>
      <c r="AY10" s="0">
        <v>10</v>
      </c>
      <c r="AZ10" s="0">
        <v>90875</v>
      </c>
      <c r="BA10" s="0">
        <v>2</v>
      </c>
      <c r="BB10" s="0" t="s">
        <v>188</v>
      </c>
      <c r="BD10" s="0">
        <v>2611</v>
      </c>
      <c r="BF10" s="0" t="s">
        <v>189</v>
      </c>
      <c r="BG10" s="0" t="s">
        <v>131</v>
      </c>
      <c r="BH10" s="0" t="s">
        <v>132</v>
      </c>
      <c r="BJ10" s="0" t="s">
        <v>133</v>
      </c>
    </row>
    <row r="11">
      <c r="A11" s="0">
        <v>6572</v>
      </c>
      <c r="B11" s="0" t="s">
        <v>190</v>
      </c>
      <c r="C11" s="0" t="s">
        <v>53</v>
      </c>
      <c r="D11" s="0" t="s">
        <v>113</v>
      </c>
      <c r="E11" s="0" t="s">
        <v>114</v>
      </c>
      <c r="F11" s="0" t="s">
        <v>114</v>
      </c>
      <c r="G11" s="0" t="s">
        <v>115</v>
      </c>
      <c r="H11" s="0" t="s">
        <v>191</v>
      </c>
      <c r="I11" s="0">
        <v>1</v>
      </c>
      <c r="J11" s="0" t="s">
        <v>192</v>
      </c>
      <c r="L11" s="0" t="s">
        <v>160</v>
      </c>
      <c r="M11" s="0" t="s">
        <v>161</v>
      </c>
      <c r="N11" s="0" t="s">
        <v>186</v>
      </c>
      <c r="Y11" s="0" t="s">
        <v>145</v>
      </c>
      <c r="Z11" s="0" t="s">
        <v>193</v>
      </c>
      <c r="AA11" s="0" t="s">
        <v>194</v>
      </c>
      <c r="AG11" s="0" t="s">
        <v>126</v>
      </c>
      <c r="AS11" s="0" t="s">
        <v>195</v>
      </c>
      <c r="AU11" s="0">
        <v>607</v>
      </c>
      <c r="AV11" s="0" t="s">
        <v>52</v>
      </c>
      <c r="AW11" s="0" t="s">
        <v>55</v>
      </c>
      <c r="AX11" s="0">
        <v>1</v>
      </c>
      <c r="AY11" s="0">
        <v>374053</v>
      </c>
      <c r="AZ11" s="0">
        <v>90875</v>
      </c>
      <c r="BA11" s="0">
        <v>2</v>
      </c>
      <c r="BB11" s="0" t="s">
        <v>196</v>
      </c>
      <c r="BD11" s="0">
        <v>2786</v>
      </c>
      <c r="BF11" s="0" t="s">
        <v>197</v>
      </c>
      <c r="BG11" s="0" t="s">
        <v>131</v>
      </c>
      <c r="BH11" s="0" t="s">
        <v>132</v>
      </c>
      <c r="BJ11" s="0" t="s">
        <v>133</v>
      </c>
    </row>
    <row r="12">
      <c r="A12" s="0">
        <v>6573</v>
      </c>
      <c r="B12" s="0" t="s">
        <v>198</v>
      </c>
      <c r="C12" s="0" t="s">
        <v>53</v>
      </c>
      <c r="D12" s="0" t="s">
        <v>113</v>
      </c>
      <c r="E12" s="0" t="s">
        <v>114</v>
      </c>
      <c r="F12" s="0" t="s">
        <v>114</v>
      </c>
      <c r="G12" s="0" t="s">
        <v>115</v>
      </c>
      <c r="H12" s="0" t="s">
        <v>199</v>
      </c>
      <c r="I12" s="0">
        <v>1</v>
      </c>
      <c r="J12" s="0" t="s">
        <v>117</v>
      </c>
      <c r="L12" s="0" t="s">
        <v>160</v>
      </c>
      <c r="M12" s="0" t="s">
        <v>161</v>
      </c>
      <c r="N12" s="0" t="s">
        <v>162</v>
      </c>
      <c r="O12" s="0" t="s">
        <v>200</v>
      </c>
      <c r="P12" s="0" t="s">
        <v>201</v>
      </c>
      <c r="Q12" s="0" t="s">
        <v>202</v>
      </c>
      <c r="Y12" s="0" t="s">
        <v>124</v>
      </c>
      <c r="Z12" s="0" t="s">
        <v>124</v>
      </c>
      <c r="AG12" s="0" t="s">
        <v>126</v>
      </c>
      <c r="AU12" s="0">
        <v>607</v>
      </c>
      <c r="AV12" s="0" t="s">
        <v>52</v>
      </c>
      <c r="AW12" s="0" t="s">
        <v>55</v>
      </c>
      <c r="AX12" s="0">
        <v>1</v>
      </c>
      <c r="AY12" s="0">
        <v>374043</v>
      </c>
      <c r="AZ12" s="0">
        <v>90875</v>
      </c>
      <c r="BA12" s="0">
        <v>2</v>
      </c>
      <c r="BB12" s="0" t="s">
        <v>203</v>
      </c>
      <c r="BD12" s="0">
        <v>2956</v>
      </c>
      <c r="BF12" s="0" t="s">
        <v>204</v>
      </c>
      <c r="BG12" s="0" t="s">
        <v>131</v>
      </c>
      <c r="BH12" s="0" t="s">
        <v>132</v>
      </c>
      <c r="BJ12" s="0" t="s">
        <v>133</v>
      </c>
    </row>
    <row r="13">
      <c r="A13" s="0">
        <v>6574</v>
      </c>
      <c r="B13" s="0" t="s">
        <v>205</v>
      </c>
      <c r="C13" s="0" t="s">
        <v>53</v>
      </c>
      <c r="D13" s="0" t="s">
        <v>113</v>
      </c>
      <c r="E13" s="0" t="s">
        <v>114</v>
      </c>
      <c r="F13" s="0" t="s">
        <v>114</v>
      </c>
      <c r="G13" s="0" t="s">
        <v>115</v>
      </c>
      <c r="H13" s="0" t="s">
        <v>206</v>
      </c>
      <c r="I13" s="0">
        <v>2</v>
      </c>
      <c r="J13" s="0" t="s">
        <v>117</v>
      </c>
      <c r="L13" s="0" t="s">
        <v>207</v>
      </c>
      <c r="M13" s="0" t="s">
        <v>208</v>
      </c>
      <c r="N13" s="0" t="s">
        <v>209</v>
      </c>
      <c r="O13" s="0" t="s">
        <v>121</v>
      </c>
      <c r="Q13" s="0" t="s">
        <v>120</v>
      </c>
      <c r="Y13" s="0" t="s">
        <v>145</v>
      </c>
      <c r="Z13" s="0" t="s">
        <v>210</v>
      </c>
      <c r="AA13" s="0" t="s">
        <v>137</v>
      </c>
      <c r="AG13" s="0" t="s">
        <v>126</v>
      </c>
      <c r="AS13" s="0" t="s">
        <v>211</v>
      </c>
      <c r="AU13" s="0">
        <v>607</v>
      </c>
      <c r="AV13" s="0" t="s">
        <v>52</v>
      </c>
      <c r="AW13" s="0" t="s">
        <v>55</v>
      </c>
      <c r="AX13" s="0">
        <v>1</v>
      </c>
      <c r="AY13" s="0">
        <v>374043</v>
      </c>
      <c r="AZ13" s="0">
        <v>90875</v>
      </c>
      <c r="BA13" s="0">
        <v>2</v>
      </c>
      <c r="BB13" s="0" t="s">
        <v>212</v>
      </c>
      <c r="BD13" s="0">
        <v>3122</v>
      </c>
      <c r="BF13" s="0" t="s">
        <v>213</v>
      </c>
      <c r="BG13" s="0" t="s">
        <v>131</v>
      </c>
      <c r="BH13" s="0" t="s">
        <v>132</v>
      </c>
      <c r="BJ13" s="0" t="s">
        <v>133</v>
      </c>
    </row>
    <row r="14">
      <c r="A14" s="0">
        <v>6575</v>
      </c>
      <c r="B14" s="0" t="s">
        <v>214</v>
      </c>
      <c r="C14" s="0" t="s">
        <v>53</v>
      </c>
      <c r="D14" s="0" t="s">
        <v>113</v>
      </c>
      <c r="E14" s="0" t="s">
        <v>114</v>
      </c>
      <c r="F14" s="0" t="s">
        <v>114</v>
      </c>
      <c r="G14" s="0" t="s">
        <v>115</v>
      </c>
      <c r="H14" s="0" t="s">
        <v>215</v>
      </c>
      <c r="I14" s="0">
        <v>1</v>
      </c>
      <c r="J14" s="0" t="s">
        <v>117</v>
      </c>
      <c r="L14" s="0" t="s">
        <v>207</v>
      </c>
      <c r="M14" s="0" t="s">
        <v>208</v>
      </c>
      <c r="N14" s="0" t="s">
        <v>209</v>
      </c>
      <c r="O14" s="0" t="s">
        <v>121</v>
      </c>
      <c r="Q14" s="0" t="s">
        <v>120</v>
      </c>
      <c r="Y14" s="0" t="s">
        <v>145</v>
      </c>
      <c r="Z14" s="0" t="s">
        <v>216</v>
      </c>
      <c r="AA14" s="0" t="s">
        <v>137</v>
      </c>
      <c r="AG14" s="0" t="s">
        <v>126</v>
      </c>
      <c r="AS14" s="0" t="s">
        <v>217</v>
      </c>
      <c r="AU14" s="0">
        <v>607</v>
      </c>
      <c r="AV14" s="0" t="s">
        <v>52</v>
      </c>
      <c r="AW14" s="0" t="s">
        <v>55</v>
      </c>
      <c r="AX14" s="0">
        <v>1</v>
      </c>
      <c r="AY14" s="0">
        <v>374043</v>
      </c>
      <c r="AZ14" s="0">
        <v>90875</v>
      </c>
      <c r="BA14" s="0">
        <v>2</v>
      </c>
      <c r="BB14" s="0" t="s">
        <v>218</v>
      </c>
      <c r="BD14" s="0">
        <v>3272</v>
      </c>
      <c r="BF14" s="0" t="s">
        <v>219</v>
      </c>
      <c r="BG14" s="0" t="s">
        <v>131</v>
      </c>
      <c r="BH14" s="0" t="s">
        <v>132</v>
      </c>
      <c r="BJ14" s="0" t="s">
        <v>133</v>
      </c>
    </row>
    <row r="15">
      <c r="A15" s="0">
        <v>6576</v>
      </c>
      <c r="B15" s="0" t="s">
        <v>220</v>
      </c>
      <c r="C15" s="0" t="s">
        <v>53</v>
      </c>
      <c r="D15" s="0" t="s">
        <v>113</v>
      </c>
      <c r="E15" s="0" t="s">
        <v>114</v>
      </c>
      <c r="F15" s="0" t="s">
        <v>114</v>
      </c>
      <c r="G15" s="0" t="s">
        <v>115</v>
      </c>
      <c r="H15" s="0" t="s">
        <v>221</v>
      </c>
      <c r="I15" s="0">
        <v>1</v>
      </c>
      <c r="J15" s="0" t="s">
        <v>185</v>
      </c>
      <c r="L15" s="0" t="s">
        <v>160</v>
      </c>
      <c r="M15" s="0" t="s">
        <v>161</v>
      </c>
      <c r="N15" s="0" t="s">
        <v>186</v>
      </c>
      <c r="Y15" s="0" t="s">
        <v>124</v>
      </c>
      <c r="Z15" s="0" t="s">
        <v>124</v>
      </c>
      <c r="AG15" s="0" t="s">
        <v>126</v>
      </c>
      <c r="AS15" s="0" t="s">
        <v>222</v>
      </c>
      <c r="AU15" s="0">
        <v>607</v>
      </c>
      <c r="AV15" s="0" t="s">
        <v>52</v>
      </c>
      <c r="AW15" s="0" t="s">
        <v>55</v>
      </c>
      <c r="AX15" s="0">
        <v>1</v>
      </c>
      <c r="AY15" s="0">
        <v>10</v>
      </c>
      <c r="AZ15" s="0">
        <v>90875</v>
      </c>
      <c r="BA15" s="0">
        <v>2</v>
      </c>
      <c r="BB15" s="0" t="s">
        <v>223</v>
      </c>
      <c r="BD15" s="0">
        <v>3405</v>
      </c>
      <c r="BF15" s="0" t="s">
        <v>224</v>
      </c>
      <c r="BG15" s="0" t="s">
        <v>131</v>
      </c>
      <c r="BH15" s="0" t="s">
        <v>132</v>
      </c>
      <c r="BJ15" s="0" t="s">
        <v>133</v>
      </c>
    </row>
    <row r="16">
      <c r="A16" s="0">
        <v>6614</v>
      </c>
      <c r="B16" s="0" t="s">
        <v>225</v>
      </c>
      <c r="C16" s="0" t="s">
        <v>53</v>
      </c>
      <c r="D16" s="0" t="s">
        <v>113</v>
      </c>
      <c r="E16" s="0" t="s">
        <v>114</v>
      </c>
      <c r="F16" s="0" t="s">
        <v>226</v>
      </c>
      <c r="G16" s="0" t="s">
        <v>115</v>
      </c>
      <c r="H16" s="0" t="s">
        <v>227</v>
      </c>
      <c r="I16" s="0">
        <v>1</v>
      </c>
      <c r="J16" s="0" t="s">
        <v>192</v>
      </c>
      <c r="L16" s="0" t="s">
        <v>160</v>
      </c>
      <c r="M16" s="0" t="s">
        <v>161</v>
      </c>
      <c r="N16" s="0" t="s">
        <v>186</v>
      </c>
      <c r="Y16" s="0" t="s">
        <v>145</v>
      </c>
      <c r="Z16" s="0" t="s">
        <v>145</v>
      </c>
      <c r="AA16" s="0" t="s">
        <v>194</v>
      </c>
      <c r="AG16" s="0" t="s">
        <v>126</v>
      </c>
      <c r="AS16" s="0" t="s">
        <v>228</v>
      </c>
      <c r="AU16" s="0">
        <v>607</v>
      </c>
      <c r="AV16" s="0" t="s">
        <v>52</v>
      </c>
      <c r="AW16" s="0" t="s">
        <v>55</v>
      </c>
      <c r="AX16" s="0">
        <v>1</v>
      </c>
      <c r="AY16" s="0">
        <v>374053</v>
      </c>
      <c r="AZ16" s="0">
        <v>90875</v>
      </c>
      <c r="BA16" s="0">
        <v>2</v>
      </c>
      <c r="BB16" s="0" t="s">
        <v>229</v>
      </c>
      <c r="BD16" s="0">
        <v>3527</v>
      </c>
      <c r="BF16" s="0" t="s">
        <v>230</v>
      </c>
      <c r="BG16" s="0" t="s">
        <v>131</v>
      </c>
      <c r="BH16" s="0" t="s">
        <v>132</v>
      </c>
      <c r="BJ16" s="0" t="s">
        <v>133</v>
      </c>
    </row>
    <row r="17">
      <c r="A17" s="0">
        <v>6627</v>
      </c>
      <c r="B17" s="0" t="s">
        <v>231</v>
      </c>
      <c r="C17" s="0" t="s">
        <v>53</v>
      </c>
      <c r="D17" s="0" t="s">
        <v>113</v>
      </c>
      <c r="E17" s="0" t="s">
        <v>114</v>
      </c>
      <c r="F17" s="0" t="s">
        <v>226</v>
      </c>
      <c r="G17" s="0" t="s">
        <v>115</v>
      </c>
      <c r="H17" s="0" t="s">
        <v>232</v>
      </c>
      <c r="I17" s="0">
        <v>1</v>
      </c>
      <c r="J17" s="0" t="s">
        <v>117</v>
      </c>
      <c r="L17" s="0" t="s">
        <v>118</v>
      </c>
      <c r="M17" s="0" t="s">
        <v>119</v>
      </c>
      <c r="N17" s="0" t="s">
        <v>120</v>
      </c>
      <c r="O17" s="0" t="s">
        <v>160</v>
      </c>
      <c r="P17" s="0" t="s">
        <v>161</v>
      </c>
      <c r="Q17" s="0" t="s">
        <v>162</v>
      </c>
      <c r="Y17" s="0" t="s">
        <v>145</v>
      </c>
      <c r="Z17" s="0" t="s">
        <v>145</v>
      </c>
      <c r="AA17" s="0" t="s">
        <v>137</v>
      </c>
      <c r="AG17" s="0" t="s">
        <v>126</v>
      </c>
      <c r="AS17" s="0" t="s">
        <v>233</v>
      </c>
      <c r="AU17" s="0">
        <v>607</v>
      </c>
      <c r="AV17" s="0" t="s">
        <v>52</v>
      </c>
      <c r="AW17" s="0" t="s">
        <v>55</v>
      </c>
      <c r="AX17" s="0">
        <v>1</v>
      </c>
      <c r="AY17" s="0">
        <v>374043</v>
      </c>
      <c r="AZ17" s="0">
        <v>90875</v>
      </c>
      <c r="BA17" s="0">
        <v>2</v>
      </c>
      <c r="BB17" s="0" t="s">
        <v>234</v>
      </c>
      <c r="BD17" s="0">
        <v>3645</v>
      </c>
      <c r="BF17" s="0" t="s">
        <v>235</v>
      </c>
      <c r="BG17" s="0" t="s">
        <v>131</v>
      </c>
      <c r="BH17" s="0" t="s">
        <v>132</v>
      </c>
      <c r="BJ17" s="0" t="s">
        <v>133</v>
      </c>
    </row>
  </sheetData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sqref="A1:XFD1048576"/>
    </sheetView>
  </sheetViews>
  <sheetFormatPr defaultRowHeight="15" x14ac:dyDescent="0.25"/>
  <sheetData>
    <row r="1">
      <c r="A1" s="0" t="s">
        <v>49</v>
      </c>
      <c r="B1" s="0" t="s">
        <v>50</v>
      </c>
      <c r="C1" s="0" t="s">
        <v>51</v>
      </c>
    </row>
    <row r="2">
      <c r="A2" s="0">
        <v>607</v>
      </c>
      <c r="B2" s="0" t="s">
        <v>52</v>
      </c>
      <c r="C2" s="0" t="s">
        <v>53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workbookViewId="0">
      <selection activeCell="E15" sqref="E15"/>
    </sheetView>
  </sheetViews>
  <sheetFormatPr defaultRowHeight="15" x14ac:dyDescent="0.25"/>
  <sheetData>
    <row r="1">
      <c r="A1" s="0" t="s">
        <v>54</v>
      </c>
    </row>
    <row r="2">
      <c r="A2" s="0" t="s">
        <v>55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7"/>
  <sheetViews>
    <sheetView tabSelected="1" zoomScale="73" zoomScaleNormal="73" workbookViewId="0">
      <pane xSplit="11" ySplit="6" topLeftCell="L7" activePane="bottomRight" state="frozen"/>
      <selection pane="topRight" activeCell="K1" sqref="K1"/>
      <selection pane="bottomLeft" activeCell="A7" sqref="A7"/>
      <selection pane="bottomRight" activeCell="P7" sqref="P7"/>
    </sheetView>
  </sheetViews>
  <sheetFormatPr defaultColWidth="9.140625" defaultRowHeight="168.6" customHeight="1" x14ac:dyDescent="0.2"/>
  <cols>
    <col min="1" max="1" width="5.28515625" customWidth="1" style="1"/>
    <col min="2" max="2" width="33.5703125" customWidth="1" style="1"/>
    <col min="3" max="3" width="7.7109375" customWidth="1" style="1"/>
    <col min="4" max="4" width="12.140625" customWidth="1" style="1"/>
    <col min="5" max="5" width="10.42578125" customWidth="1" style="1"/>
    <col min="6" max="6" width="10.7109375" customWidth="1" style="1"/>
    <col min="7" max="7" width="11" customWidth="1" style="1"/>
    <col min="8" max="8" width="12.42578125" customWidth="1" style="1"/>
    <col min="9" max="11" width="12.28515625" customWidth="1" style="1"/>
    <col min="12" max="12" width="17.7109375" customWidth="1" style="1"/>
    <col min="13" max="13" width="27.140625" customWidth="1" style="1"/>
    <col min="14" max="14" width="36.5703125" customWidth="1" style="1"/>
    <col min="15" max="15" width="8" customWidth="1" style="1"/>
    <col min="16" max="16" width="18.28515625" customWidth="1" style="1"/>
    <col min="17" max="25" width="8.7109375" customWidth="1" style="1"/>
    <col min="26" max="31" width="6.7109375" customWidth="1" style="1"/>
    <col min="32" max="32" hidden="1" width="6.7109375" customWidth="1" style="1"/>
    <col min="33" max="42" width="6.7109375" customWidth="1" style="1"/>
    <col min="43" max="43" width="8" customWidth="1" style="1"/>
    <col min="44" max="45" width="33.7109375" customWidth="1" style="1"/>
    <col min="46" max="48" width="33.5703125" customWidth="1" style="1"/>
    <col min="49" max="16384" width="9.140625" customWidth="1" style="1"/>
  </cols>
  <sheetData>
    <row r="1" ht="18">
      <c r="A1" s="4" t="s">
        <v>0</v>
      </c>
      <c r="J1" s="6" t="str">
        <f>Data3!A2&amp;""</f>
      </c>
      <c r="K1" s="6"/>
      <c r="M1" s="6"/>
    </row>
    <row r="2" ht="60" customHeight="1">
      <c r="A2" s="12" t="s">
        <v>1</v>
      </c>
      <c r="B2" s="12" t="s">
        <v>2</v>
      </c>
      <c r="C2" s="12" t="s">
        <v>3</v>
      </c>
      <c r="D2" s="12" t="s">
        <v>4</v>
      </c>
      <c r="E2" s="13" t="s">
        <v>5</v>
      </c>
      <c r="F2" s="13" t="s">
        <v>6</v>
      </c>
      <c r="G2" s="13" t="s">
        <v>7</v>
      </c>
      <c r="H2" s="13" t="s">
        <v>8</v>
      </c>
      <c r="I2" s="13" t="s">
        <v>9</v>
      </c>
      <c r="J2" s="12" t="s">
        <v>10</v>
      </c>
      <c r="K2" s="12" t="s">
        <v>11</v>
      </c>
      <c r="L2" s="12" t="s">
        <v>12</v>
      </c>
      <c r="M2" s="13" t="s">
        <v>13</v>
      </c>
      <c r="N2" s="12" t="s">
        <v>14</v>
      </c>
      <c r="O2" s="12" t="s">
        <v>15</v>
      </c>
      <c r="P2" s="12" t="s">
        <v>16</v>
      </c>
      <c r="Q2" s="13" t="s">
        <v>17</v>
      </c>
      <c r="R2" s="12" t="s">
        <v>18</v>
      </c>
      <c r="S2" s="12" t="s">
        <v>19</v>
      </c>
      <c r="T2" s="13" t="s">
        <v>20</v>
      </c>
      <c r="U2" s="12" t="s">
        <v>21</v>
      </c>
      <c r="V2" s="12" t="s">
        <v>22</v>
      </c>
      <c r="W2" s="13" t="s">
        <v>23</v>
      </c>
      <c r="X2" s="12" t="s">
        <v>24</v>
      </c>
      <c r="Y2" s="12" t="s">
        <v>25</v>
      </c>
      <c r="Z2" s="12" t="s">
        <v>26</v>
      </c>
      <c r="AA2" s="12" t="s">
        <v>27</v>
      </c>
      <c r="AB2" s="12" t="s">
        <v>28</v>
      </c>
      <c r="AC2" s="15" t="s">
        <v>29</v>
      </c>
      <c r="AD2" s="15"/>
      <c r="AE2" s="15"/>
      <c r="AF2" s="16" t="s">
        <v>30</v>
      </c>
      <c r="AG2" s="15" t="s">
        <v>31</v>
      </c>
      <c r="AH2" s="15" t="s">
        <v>32</v>
      </c>
      <c r="AI2" s="15" t="s">
        <v>33</v>
      </c>
      <c r="AJ2" s="15"/>
      <c r="AK2" s="15"/>
      <c r="AL2" s="10" t="s">
        <v>34</v>
      </c>
      <c r="AM2" s="10" t="s">
        <v>35</v>
      </c>
      <c r="AN2" s="15" t="s">
        <v>36</v>
      </c>
      <c r="AO2" s="15"/>
      <c r="AP2" s="15"/>
      <c r="AQ2" s="12" t="s">
        <v>37</v>
      </c>
      <c r="AR2" s="15" t="s">
        <v>38</v>
      </c>
      <c r="AS2" s="12" t="s">
        <v>39</v>
      </c>
      <c r="AT2" s="20" t="s">
        <v>40</v>
      </c>
      <c r="AU2" s="22" t="s">
        <v>41</v>
      </c>
      <c r="AV2" s="18" t="s">
        <v>42</v>
      </c>
    </row>
    <row r="3" ht="12.75">
      <c r="A3" s="12"/>
      <c r="B3" s="12"/>
      <c r="C3" s="12"/>
      <c r="D3" s="12"/>
      <c r="E3" s="14"/>
      <c r="F3" s="14"/>
      <c r="G3" s="14"/>
      <c r="H3" s="14"/>
      <c r="I3" s="14"/>
      <c r="J3" s="12"/>
      <c r="K3" s="12"/>
      <c r="L3" s="12"/>
      <c r="M3" s="14"/>
      <c r="N3" s="12"/>
      <c r="O3" s="12"/>
      <c r="P3" s="12"/>
      <c r="Q3" s="14"/>
      <c r="R3" s="12"/>
      <c r="S3" s="12"/>
      <c r="T3" s="14"/>
      <c r="U3" s="12"/>
      <c r="V3" s="12"/>
      <c r="W3" s="14"/>
      <c r="X3" s="12"/>
      <c r="Y3" s="12"/>
      <c r="Z3" s="12"/>
      <c r="AA3" s="12"/>
      <c r="AB3" s="12"/>
      <c r="AC3" s="10" t="s">
        <v>43</v>
      </c>
      <c r="AD3" s="10" t="s">
        <v>44</v>
      </c>
      <c r="AE3" s="10" t="s">
        <v>45</v>
      </c>
      <c r="AF3" s="17"/>
      <c r="AG3" s="15"/>
      <c r="AH3" s="15"/>
      <c r="AI3" s="10" t="s">
        <v>46</v>
      </c>
      <c r="AJ3" s="10" t="s">
        <v>47</v>
      </c>
      <c r="AK3" s="10" t="s">
        <v>48</v>
      </c>
      <c r="AL3" s="10"/>
      <c r="AM3" s="10"/>
      <c r="AN3" s="10" t="s">
        <v>43</v>
      </c>
      <c r="AO3" s="10" t="s">
        <v>44</v>
      </c>
      <c r="AP3" s="10" t="s">
        <v>45</v>
      </c>
      <c r="AQ3" s="12"/>
      <c r="AR3" s="15"/>
      <c r="AS3" s="12"/>
      <c r="AT3" s="21"/>
      <c r="AU3" s="22"/>
      <c r="AV3" s="19"/>
    </row>
    <row r="4" ht="12.7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ht="12.7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ht="12.7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ht="168.6" customHeight="1">
      <c r="A7" s="5">
        <f>ROW()-6</f>
        <v>1</v>
      </c>
      <c r="B7" s="5" t="str">
        <f>IF(ISBLANK(Data1!B2)=FALSE,"http://media-tilsoft.com/thumbnail/"&amp;Data1!B2,"")</f>
      </c>
      <c r="C7" s="8" t="str">
        <f>Data1!C2&amp;"/"&amp;Data1!D2</f>
        <v>/</v>
      </c>
      <c r="D7" s="8" t="str">
        <f>Data1!J2&amp;""</f>
      </c>
      <c r="E7" s="8" t="str">
        <f>IF(ISBLANK(Data1!AV2)=FALSE, VALUE(Data1!AV2),"")</f>
      </c>
      <c r="F7" s="8" t="str">
        <f>IF(ISBLANK(Data1!BH2)=FALSE, VALUE(Data1!BH2),"")</f>
      </c>
      <c r="G7" s="8" t="str">
        <f>IF(ISBLANK(Data1!BI2)=FALSE,VALUE(Data1!BI2),"")</f>
      </c>
      <c r="H7" s="8" t="str">
        <f>IF(ISBLANK(Data1!BJ2)=FALSE,VALUE(Data1!BJ2),"")</f>
      </c>
      <c r="I7" s="8" t="str">
        <f>IF(ISBLANK(Data1!BK2)=FALSE,VALUE(Data1!BK2),"")</f>
      </c>
      <c r="J7" s="9" t="str">
        <f>IF(ISBLANK(Data1!E2)=FALSE,DATEVALUE(Data1!E2),"")</f>
      </c>
      <c r="K7" s="9" t="str">
        <f>IF(ISBLANK(Data1!F2)=FALSE,DATEVALUE(Data1!F2),"")</f>
      </c>
      <c r="L7" s="3"/>
      <c r="M7" s="9" t="str">
        <f>Data1!BB2&amp;""</f>
      </c>
      <c r="N7" s="7" t="str">
        <f>Data1!H2&amp;""</f>
      </c>
      <c r="O7" s="5">
        <f>Data1!I2</f>
        <v>0</v>
      </c>
      <c r="P7" s="8" t="str">
        <f>Data1!K2&amp;""</f>
      </c>
      <c r="Q7" s="8" t="str">
        <f>Data1!L2&amp;""</f>
      </c>
      <c r="R7" s="8" t="str">
        <f>Data1!M2&amp;""</f>
      </c>
      <c r="S7" s="8" t="str">
        <f>Data1!N2&amp;""</f>
      </c>
      <c r="T7" s="8" t="str">
        <f>Data1!O2&amp;""</f>
      </c>
      <c r="U7" s="8" t="str">
        <f>Data1!P2&amp;""</f>
      </c>
      <c r="V7" s="8" t="str">
        <f>Data1!Q2&amp;""</f>
      </c>
      <c r="W7" s="8" t="str">
        <f>Data1!R2&amp;""</f>
      </c>
      <c r="X7" s="8" t="str">
        <f>Data1!S2&amp;""</f>
      </c>
      <c r="Y7" s="8" t="str">
        <f>Data1!T2&amp;""</f>
      </c>
      <c r="Z7" s="8" t="str">
        <f>Data1!Y2&amp;""</f>
      </c>
      <c r="AA7" s="8" t="str">
        <f>Data1!Z2&amp;""</f>
      </c>
      <c r="AB7" s="8" t="str">
        <f>Data1!AA2&amp;""</f>
      </c>
      <c r="AC7" s="8" t="str">
        <f>Data1!AD2&amp;""</f>
      </c>
      <c r="AD7" s="8" t="str">
        <f>Data1!AE2&amp;""</f>
      </c>
      <c r="AE7" s="8" t="str">
        <f>Data1!AF2&amp;""</f>
      </c>
      <c r="AF7" s="8" t="str">
        <f>Data1!AG2&amp;""</f>
      </c>
      <c r="AG7" s="8" t="str">
        <f>Data1!AH2&amp;""</f>
      </c>
      <c r="AH7" s="8" t="str">
        <f>Data1!AI2&amp;""</f>
      </c>
      <c r="AI7" s="8" t="str">
        <f>Data1!AJ2&amp;""</f>
      </c>
      <c r="AJ7" s="8" t="str">
        <f>Data1!AK2&amp;""</f>
      </c>
      <c r="AK7" s="8" t="str">
        <f>Data1!AL2&amp;""</f>
      </c>
      <c r="AL7" s="8" t="str">
        <f>Data1!AM2&amp;""</f>
      </c>
      <c r="AM7" s="8" t="str">
        <f>Data1!AN2&amp;""</f>
      </c>
      <c r="AN7" s="8" t="str">
        <f>Data1!AO2&amp;""</f>
      </c>
      <c r="AO7" s="8" t="str">
        <f>Data1!AP2&amp;""</f>
      </c>
      <c r="AP7" s="8" t="str">
        <f>Data1!AQ2&amp;""</f>
      </c>
      <c r="AQ7" s="8" t="str">
        <f>Data1!G2&amp;""</f>
      </c>
      <c r="AR7" s="7" t="str">
        <f>IF(ISBLANK(Data1!AT2)=FALSE,"http://media-tilsoft.com/thumbnail/"&amp;Data1!AT2,"")</f>
      </c>
      <c r="AS7" s="7" t="str">
        <f>Data1!AS2&amp;""</f>
      </c>
      <c r="AT7" s="11"/>
      <c r="AU7" s="11"/>
      <c r="AV7" s="11"/>
    </row>
  </sheetData>
  <autoFilter ref="A6:AV6"/>
  <mergeCells>
    <mergeCell ref="AV2:AV3"/>
    <mergeCell ref="T2:T3"/>
    <mergeCell ref="AR2:AR3"/>
    <mergeCell ref="AS2:AS3"/>
    <mergeCell ref="AT2:AT3"/>
    <mergeCell ref="AU2:AU3"/>
    <mergeCell ref="AB2:AB3"/>
    <mergeCell ref="U2:U3"/>
    <mergeCell ref="Z2:Z3"/>
    <mergeCell ref="AA2:AA3"/>
    <mergeCell ref="AQ2:AQ3"/>
    <mergeCell ref="D2:D3"/>
    <mergeCell ref="A2:A3"/>
    <mergeCell ref="B2:B3"/>
    <mergeCell ref="C2:C3"/>
    <mergeCell ref="J2:J3"/>
    <mergeCell ref="K2:K3"/>
    <mergeCell ref="E2:E3"/>
    <mergeCell ref="F2:F3"/>
    <mergeCell ref="G2:G3"/>
    <mergeCell ref="H2:H3"/>
    <mergeCell ref="I2:I3"/>
    <mergeCell ref="P2:P3"/>
    <mergeCell ref="Q2:Q3"/>
    <mergeCell ref="R2:R3"/>
    <mergeCell ref="S2:S3"/>
    <mergeCell ref="L2:L3"/>
    <mergeCell ref="M2:M3"/>
    <mergeCell ref="AN2:AP2"/>
    <mergeCell ref="AC2:AE2"/>
    <mergeCell ref="AF2:AF3"/>
    <mergeCell ref="AG2:AG3"/>
    <mergeCell ref="AH2:AH3"/>
    <mergeCell ref="AI2:AK2"/>
    <mergeCell ref="V2:V3"/>
    <mergeCell ref="W2:W3"/>
    <mergeCell ref="X2:X3"/>
    <mergeCell ref="Y2:Y3"/>
    <mergeCell ref="N2:N3"/>
    <mergeCell ref="O2:O3"/>
  </mergeCells>
  <pageMargins left="0.7" right="0.7" top="0.75" bottom="0.75" header="0.3" footer="0.3"/>
  <pageSetup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Data1</vt:lpstr>
      <vt:lpstr>Data2</vt:lpstr>
      <vt:lpstr>Data3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2019-11-20T09:52:11Z</dcterms:modified>
</cp:coreProperties>
</file>