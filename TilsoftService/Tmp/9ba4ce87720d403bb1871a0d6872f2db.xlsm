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240" yWindow="420" windowWidth="15600" windowHeight="9195"/>
  </bookViews>
  <sheets>
    <sheet name="EurofarSampleCollection" sheetId="5" r:id="rId1"/>
    <sheet name="SampleProduct" sheetId="3" r:id="rId2"/>
  </sheets>
  <definedNames>
    <definedName name="_xlnm._FilterDatabase" localSheetId="0" hidden="1">'EurofarSampleCollection'!$A$3:$E$3</definedName>
  </definedNames>
  <calcPr calcId="152511" fullCalcOn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<sst xmlns="http://schemas.openxmlformats.org/spreadsheetml/2006/main" count="36" uniqueCount="36">
  <si>
    <t>EUROFAR SAMPLE COLLECTION</t>
  </si>
  <si>
    <t>Image</t>
  </si>
  <si>
    <t>Season</t>
  </si>
  <si>
    <t>Client</t>
  </si>
  <si>
    <t xml:space="preserve"> Description</t>
  </si>
  <si>
    <t>Sample Order</t>
  </si>
  <si>
    <t>SampleProductID</t>
  </si>
  <si>
    <t>SampleProductUD</t>
  </si>
  <si>
    <t>SampleOrderID</t>
  </si>
  <si>
    <t>ArticleDescription</t>
  </si>
  <si>
    <t>ModelID</t>
  </si>
  <si>
    <t>SampleProductStatusID</t>
  </si>
  <si>
    <t>ModelUD</t>
  </si>
  <si>
    <t>ModelNM</t>
  </si>
  <si>
    <t>FinishedImageThumbnailLocation</t>
  </si>
  <si>
    <t>FinishedImageFileLocation</t>
  </si>
  <si>
    <t>FinishedImage</t>
  </si>
  <si>
    <t>IsEurofarSampleCollection</t>
  </si>
  <si>
    <t>EurofarSampleCollectionName</t>
  </si>
  <si>
    <t>EurofarSampleCollectionDate</t>
  </si>
  <si>
    <t>EurofarSampleCollectionDateReport</t>
  </si>
  <si>
    <t>ClientID</t>
  </si>
  <si>
    <t>ClientUD</t>
  </si>
  <si>
    <t>ClientNM</t>
  </si>
  <si>
    <t>SampleOrderUD</t>
  </si>
  <si>
    <t>RankName</t>
  </si>
  <si>
    <t>EurofarSampleCollectionBy</t>
  </si>
  <si>
    <t>20191024/APO/001084/00000612/002</t>
  </si>
  <si>
    <t>LENCO PROMO SET 1084 (2X CHAIRS; 1X BENCH)</t>
  </si>
  <si>
    <t>Nguyen Duy Hanh</t>
  </si>
  <si>
    <t>16/12/2019</t>
  </si>
  <si>
    <t>2020/2021</t>
  </si>
  <si>
    <t>001084</t>
  </si>
  <si>
    <t>AT HOME</t>
  </si>
  <si>
    <t>00000612</t>
  </si>
  <si>
    <t>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</si>
</sst>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\ _B_F_-;\-* #,##0\ _B_F_-;_-* &quot;-&quot;\ _B_F_-;_-@_-"/>
    <numFmt numFmtId="165" formatCode="_-* #,##0.00_-;_-* #,##0.00\-;_-* &quot;-&quot;??_-;_-@_-"/>
    <numFmt numFmtId="166" formatCode="_-* #,##0\ _B_F_-;\-* #,##0\ _B_F_-;_-* &quot;- &quot;_B_F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3" fillId="0" borderId="0"/>
    <xf numFmtId="43" fontId="1" fillId="0" borderId="0"/>
    <xf numFmtId="166" fontId="3" fillId="0" borderId="0"/>
    <xf numFmtId="43" fontId="4" fillId="0" borderId="0"/>
    <xf numFmtId="0" fontId="1" fillId="0" borderId="0"/>
    <xf numFmtId="0" fontId="2" fillId="0" borderId="0"/>
    <xf numFmtId="164" fontId="4" fillId="0" borderId="0"/>
    <xf numFmtId="164" fontId="3" fillId="0" borderId="0"/>
    <xf numFmtId="0" fontId="3" fillId="0" borderId="0"/>
  </cellStyleXfs>
  <cellXfs count="21">
    <xf numFmtId="0" applyNumberFormat="1" fontId="0" applyFont="1" fillId="0" applyFill="1" borderId="0" applyBorder="1" xfId="0"/>
    <xf numFmtId="165" applyNumberFormat="1" fontId="3" applyFont="1" fillId="0" applyFill="1" borderId="0" applyBorder="1" xfId="1"/>
    <xf numFmtId="43" applyNumberFormat="1" fontId="1" applyFont="1" fillId="0" applyFill="1" borderId="0" applyBorder="1" xfId="2"/>
    <xf numFmtId="166" applyNumberFormat="1" fontId="3" applyFont="1" fillId="0" applyFill="1" borderId="0" applyBorder="1" xfId="3"/>
    <xf numFmtId="43" applyNumberFormat="1" fontId="4" applyFont="1" fillId="0" applyFill="1" borderId="0" applyBorder="1" xfId="4"/>
    <xf numFmtId="0" applyNumberFormat="1" fontId="1" applyFont="1" fillId="0" applyFill="1" borderId="0" applyBorder="1" xfId="5"/>
    <xf numFmtId="0" applyNumberFormat="1" fontId="2" applyFont="1" fillId="0" applyFill="1" borderId="0" applyBorder="1" xfId="6"/>
    <xf numFmtId="164" applyNumberFormat="1" fontId="4" applyFont="1" fillId="0" applyFill="1" borderId="0" applyBorder="1" xfId="7"/>
    <xf numFmtId="164" applyNumberFormat="1" fontId="3" applyFont="1" fillId="0" applyFill="1" borderId="0" applyBorder="1" xfId="8"/>
    <xf numFmtId="0" applyNumberFormat="1" fontId="3" applyFont="1" fillId="0" applyFill="1" borderId="0" applyBorder="1" xfId="9"/>
    <xf numFmtId="0" applyNumberFormat="1" fontId="0" applyFont="1" fillId="0" applyFill="1" borderId="0" applyBorder="1" xfId="0">
      <alignment horizontal="left"/>
    </xf>
    <xf numFmtId="0" applyNumberFormat="1" fontId="0" applyFont="1" fillId="0" applyFill="1" borderId="0" applyBorder="1" xfId="0"/>
    <xf numFmtId="0" applyNumberFormat="1" fontId="5" applyFont="1" fillId="0" applyFill="1" borderId="0" applyBorder="1" xfId="0">
      <alignment horizontal="left"/>
    </xf>
    <xf numFmtId="0" applyNumberFormat="1" fontId="6" applyFont="1" fillId="0" applyFill="1" borderId="0" applyBorder="1" xfId="0">
      <alignment horizontal="left"/>
    </xf>
    <xf numFmtId="0" applyNumberFormat="1" fontId="6" applyFont="1" fillId="0" applyFill="1" borderId="0" applyBorder="1" xfId="0"/>
    <xf numFmtId="0" applyNumberFormat="1" fontId="5" applyFont="1" fillId="2" applyFill="1" borderId="1" applyBorder="1" xfId="0">
      <alignment horizontal="center" vertical="center"/>
    </xf>
    <xf numFmtId="0" applyNumberFormat="1" fontId="6" applyFont="1" fillId="0" applyFill="1" borderId="0" applyBorder="1" xfId="0">
      <alignment horizontal="center" vertical="center"/>
    </xf>
    <xf numFmtId="0" applyNumberFormat="1" fontId="6" applyFont="1" fillId="0" applyFill="1" borderId="0" applyBorder="1" xfId="0">
      <alignment horizontal="left" wrapText="1"/>
    </xf>
    <xf numFmtId="0" applyNumberFormat="1" fontId="6" applyFont="1" fillId="0" applyFill="1" borderId="0" applyBorder="1" xfId="0"/>
    <xf numFmtId="0" applyNumberFormat="1" fontId="7" applyFont="1" fillId="0" applyFill="1" borderId="0" applyBorder="1" xfId="0">
      <alignment horizontal="left" vertical="top" wrapText="1"/>
    </xf>
    <xf numFmtId="0" applyNumberFormat="1" fontId="7" applyFont="1" fillId="0" applyFill="1" borderId="0" applyBorder="1" xfId="0">
      <alignment horizontal="center" vertical="center" wrapText="1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TANDAARD LAY-OUT SAMPLES 2009" xfId="8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1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showZeros="0" tabSelected="1" workbookViewId="0">
      <selection activeCell="B9" sqref="B9"/>
    </sheetView>
  </sheetViews>
  <sheetFormatPr defaultRowHeight="15"/>
  <cols>
    <col min="1" max="1" width="23.85546875" customWidth="1" style="10"/>
    <col min="2" max="2" width="13.5703125" customWidth="1" style="10"/>
    <col min="3" max="3" width="23.5703125" customWidth="1" style="10"/>
    <col min="4" max="4" width="45.140625" customWidth="1" style="10"/>
    <col min="5" max="5" width="23.7109375" customWidth="1" style="10"/>
    <col min="6" max="6" hidden="1" width="3.7109375" customWidth="1"/>
  </cols>
  <sheetData>
    <row r="1" s="14" customFormat="1">
      <c r="A1" s="12" t="s">
        <v>0</v>
      </c>
      <c r="B1" s="13"/>
      <c r="C1" s="13"/>
      <c r="D1" s="13"/>
      <c r="E1" s="13"/>
    </row>
    <row r="2" s="16" customFormat="1">
      <c r="A2" s="15" t="s">
        <v>1</v>
      </c>
      <c r="B2" s="15" t="s">
        <v>2</v>
      </c>
      <c r="C2" s="15" t="s">
        <v>3</v>
      </c>
      <c r="D2" s="15" t="s">
        <v>4</v>
      </c>
      <c r="E2" s="15" t="s">
        <v>5</v>
      </c>
    </row>
    <row r="3" ht="14.25" s="18" customFormat="1">
      <c r="A3" s="17"/>
      <c r="B3" s="17"/>
      <c r="C3" s="17"/>
      <c r="D3" s="17"/>
      <c r="E3" s="17"/>
    </row>
    <row r="4" ht="105.75" customHeight="1" s="14" customFormat="1">
      <c r="A4" s="20" t="str">
        <f> "http://media-tilsoft.com/thumbnail/"&amp; SampleProduct!I2</f>
        <v>http://media-tilsoft.com/thumbnail/</v>
      </c>
      <c r="B4" s="19">
        <f>SampleProduct!P2</f>
        <v>0</v>
      </c>
      <c r="C4" s="19" t="str">
        <f>SampleProduct!R2 &amp; CHAR(10) &amp; SampleProduct!S2</f>
      </c>
      <c r="D4" s="19" t="e">
        <f>SampleProduct!B2 &amp; (SampleProduct!G2) &amp; CHAR(10) &amp; SampleProduct!D2 &amp; CHAR(10) &amp; Added to collection by &amp; SampleProduct!M2 &amp; on &amp; SampleProduct!O2</f>
        <v>#NAME?</v>
      </c>
      <c r="E4" s="19" t="str">
        <f>SampleProduct!T2 &amp;(SampleProduct!U2)</f>
      </c>
      <c r="F4" s="14">
        <f>SampleProduct!A2</f>
        <v>0</v>
      </c>
    </row>
  </sheetData>
  <autoFilter ref="A3:E3"/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"/>
  <sheetViews>
    <sheetView workbookViewId="0">
      <selection activeCell="B1" sqref="B1"/>
    </sheetView>
  </sheetViews>
  <sheetFormatPr defaultRowHeight="15"/>
  <cols>
    <col min="1" max="1" bestFit="1" width="11.7109375" customWidth="1"/>
    <col min="2" max="2" bestFit="1" width="13.140625" customWidth="1"/>
    <col min="3" max="3" bestFit="1" width="17" customWidth="1"/>
    <col min="4" max="4" bestFit="1" width="8.85546875" customWidth="1"/>
    <col min="5" max="5" bestFit="1" width="6.85546875" customWidth="1"/>
    <col min="6" max="6" bestFit="1" width="11.5703125" customWidth="1"/>
    <col min="7" max="7" bestFit="1" width="8.140625" customWidth="1"/>
    <col min="8" max="8" bestFit="1" width="19.7109375" customWidth="1"/>
    <col min="9" max="9" bestFit="1" width="11.5703125" customWidth="1"/>
    <col min="10" max="10" bestFit="1" width="22.28515625" customWidth="1"/>
    <col min="11" max="11" bestFit="1" width="11.85546875" customWidth="1"/>
    <col min="12" max="12" bestFit="1" width="8" customWidth="1"/>
    <col min="13" max="13" bestFit="1" width="11.85546875" customWidth="1"/>
    <col min="14" max="14" width="14.7109375" customWidth="1"/>
    <col min="15" max="15" bestFit="1" width="14.28515625" customWidth="1"/>
    <col min="16" max="16" bestFit="1" width="7.28515625" customWidth="1"/>
    <col min="17" max="17" bestFit="1" width="9.28515625" customWidth="1"/>
    <col min="18" max="18" bestFit="1" width="14.28515625" customWidth="1"/>
    <col min="19" max="19" bestFit="1" width="11.5703125" customWidth="1"/>
    <col min="20" max="20" bestFit="1" width="18.140625" customWidth="1"/>
    <col min="21" max="21" bestFit="1" width="11.7109375" customWidth="1"/>
    <col min="22" max="22" bestFit="1" width="8.5703125" customWidth="1"/>
  </cols>
  <sheetData>
    <row r="1" s="11" customFormat="1">
      <c r="A1" s="11" t="s">
        <v>6</v>
      </c>
      <c r="B1" s="11" t="s">
        <v>7</v>
      </c>
      <c r="C1" s="11" t="s">
        <v>8</v>
      </c>
      <c r="D1" s="11" t="s">
        <v>9</v>
      </c>
      <c r="E1" s="11" t="s">
        <v>10</v>
      </c>
      <c r="F1" s="11" t="s">
        <v>11</v>
      </c>
      <c r="G1" s="11" t="s">
        <v>12</v>
      </c>
      <c r="H1" s="11" t="s">
        <v>13</v>
      </c>
      <c r="I1" s="11" t="s">
        <v>14</v>
      </c>
      <c r="J1" s="11" t="s">
        <v>15</v>
      </c>
      <c r="K1" s="11" t="s">
        <v>16</v>
      </c>
      <c r="L1" s="11" t="s">
        <v>17</v>
      </c>
      <c r="M1" s="11" t="s">
        <v>18</v>
      </c>
      <c r="N1" s="11" t="s">
        <v>19</v>
      </c>
      <c r="O1" s="11" t="s">
        <v>20</v>
      </c>
      <c r="P1" s="11" t="s">
        <v>2</v>
      </c>
      <c r="Q1" s="11" t="s">
        <v>21</v>
      </c>
      <c r="R1" s="11" t="s">
        <v>22</v>
      </c>
      <c r="S1" s="11" t="s">
        <v>23</v>
      </c>
      <c r="T1" s="11" t="s">
        <v>24</v>
      </c>
      <c r="U1" s="11" t="s">
        <v>25</v>
      </c>
      <c r="V1" s="11" t="s">
        <v>26</v>
      </c>
    </row>
    <row r="2">
      <c r="A2" s="0">
        <v>6616</v>
      </c>
      <c r="B2" s="0" t="s">
        <v>27</v>
      </c>
      <c r="C2" s="0">
        <v>612</v>
      </c>
      <c r="D2" s="0" t="s">
        <v>28</v>
      </c>
      <c r="F2" s="0">
        <v>2</v>
      </c>
      <c r="L2" s="0" t="b">
        <v>1</v>
      </c>
      <c r="M2" s="0" t="s">
        <v>29</v>
      </c>
      <c r="N2" s="0">
        <v>43815.5728552083</v>
      </c>
      <c r="O2" s="0" t="s">
        <v>30</v>
      </c>
      <c r="P2" s="0" t="s">
        <v>31</v>
      </c>
      <c r="Q2" s="0">
        <v>519081</v>
      </c>
      <c r="R2" s="0" t="s">
        <v>32</v>
      </c>
      <c r="S2" s="0" t="s">
        <v>33</v>
      </c>
      <c r="T2" s="0" t="s">
        <v>34</v>
      </c>
      <c r="U2" s="0" t="s">
        <v>35</v>
      </c>
      <c r="V2" s="0">
        <v>253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EurofarSampleCollection</vt:lpstr>
      <vt:lpstr>SampleProduct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2019-12-16T07:42:08Z</dcterms:modified>
</cp:coreProperties>
</file>